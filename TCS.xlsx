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d.docs.live.net/c67147f803addd22/Attachments/Desktop/"/>
    </mc:Choice>
  </mc:AlternateContent>
  <xr:revisionPtr revIDLastSave="1641" documentId="13_ncr:1_{68966A3E-D2DB-419F-9647-27F7F438D312}" xr6:coauthVersionLast="47" xr6:coauthVersionMax="47" xr10:uidLastSave="{02FBD0D2-7AFC-44F3-A6B8-A2DE8B4EACE1}"/>
  <bookViews>
    <workbookView xWindow="-110" yWindow="-110" windowWidth="19420" windowHeight="10300" firstSheet="6" activeTab="7" xr2:uid="{00000000-000D-0000-FFFF-FFFF00000000}"/>
  </bookViews>
  <sheets>
    <sheet name="Sheet3" sheetId="25" r:id="rId1"/>
    <sheet name="Profit &amp; Loss" sheetId="1" r:id="rId2"/>
    <sheet name="Quarters" sheetId="3" r:id="rId3"/>
    <sheet name="Balance Sheet" sheetId="2" r:id="rId4"/>
    <sheet name="Cash Flow" sheetId="4" r:id="rId5"/>
    <sheet name="Customization" sheetId="5" r:id="rId6"/>
    <sheet name="Data Sheet" sheetId="6" r:id="rId7"/>
    <sheet name="One Page Profil" sheetId="22" r:id="rId8"/>
    <sheet name="Historicail Financial Statement" sheetId="7" r:id="rId9"/>
    <sheet name="Ratio Analysis" sheetId="8" r:id="rId10"/>
    <sheet name="FORECASTING" sheetId="10" r:id="rId11"/>
    <sheet name="COMMANSIZE STATMENT" sheetId="11" r:id="rId12"/>
    <sheet name="Risk Free Rate" sheetId="14" r:id="rId13"/>
    <sheet name="WACC" sheetId="12" r:id="rId14"/>
    <sheet name="Regretion Beta" sheetId="13" r:id="rId15"/>
    <sheet name="Instrc Growth" sheetId="15" r:id="rId16"/>
    <sheet name="DCF" sheetId="16" r:id="rId17"/>
    <sheet name="Comps_val" sheetId="17" r:id="rId18"/>
    <sheet name="FootballFeledValuvetionAnalysis" sheetId="18" r:id="rId19"/>
    <sheet name="VAR" sheetId="19" r:id="rId20"/>
    <sheet name="Dupoint Analysis" sheetId="21" r:id="rId21"/>
    <sheet name="Altman's Zscore Analysis" sheetId="23" r:id="rId22"/>
    <sheet name="TCS-LBO" sheetId="26" r:id="rId23"/>
    <sheet name="TCS-M&amp;A Modeling" sheetId="27" r:id="rId24"/>
  </sheets>
  <externalReferences>
    <externalReference r:id="rId25"/>
  </externalReferences>
  <definedNames>
    <definedName name="_xlchart.v1.2" hidden="1">VAR!$G$5</definedName>
    <definedName name="_xlchart.v1.3" hidden="1">VAR!$G$6:$G$10005</definedName>
    <definedName name="_xlchart.v2.0" hidden="1">Sheet3!$C$3:$C$7</definedName>
    <definedName name="_xlchart.v2.1" hidden="1">Sheet3!$D$3:$D$7</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4" i="7" l="1"/>
  <c r="E44" i="27"/>
  <c r="E43" i="27"/>
  <c r="E34" i="27"/>
  <c r="E35" i="27" s="1"/>
  <c r="E37" i="27" l="1"/>
  <c r="E38" i="27"/>
  <c r="E36" i="27"/>
  <c r="E39" i="27" s="1"/>
  <c r="E58" i="26"/>
  <c r="H41" i="26" l="1"/>
  <c r="G41" i="26"/>
  <c r="F41" i="26"/>
  <c r="E41" i="26"/>
  <c r="K5" i="26" l="1"/>
  <c r="E9" i="27" s="1"/>
  <c r="E50" i="27" s="1"/>
  <c r="Q4" i="25" l="1" a="1"/>
  <c r="Q4" i="25" s="1"/>
  <c r="Q5" i="25" a="1"/>
  <c r="Q5" i="25" s="1"/>
  <c r="Q6" i="25" a="1"/>
  <c r="Q6" i="25" s="1"/>
  <c r="Q7" i="25" a="1"/>
  <c r="Q7" i="25" s="1"/>
  <c r="Q8" i="25" a="1"/>
  <c r="Q8" i="25" s="1"/>
  <c r="L52" i="22"/>
  <c r="L50" i="22"/>
  <c r="L47" i="22"/>
  <c r="K100" i="6"/>
  <c r="J100" i="6"/>
  <c r="I100" i="6"/>
  <c r="H100" i="6"/>
  <c r="G100" i="6"/>
  <c r="F100" i="6"/>
  <c r="E100" i="6"/>
  <c r="D100" i="6"/>
  <c r="C100" i="6"/>
  <c r="B100" i="6"/>
  <c r="K109" i="6"/>
  <c r="G30" i="22" s="1"/>
  <c r="J109" i="6"/>
  <c r="F30" i="22" s="1"/>
  <c r="I109" i="6"/>
  <c r="E30" i="22" s="1"/>
  <c r="H109" i="6"/>
  <c r="D30" i="22" s="1"/>
  <c r="G109" i="6"/>
  <c r="F109" i="6"/>
  <c r="E109" i="6"/>
  <c r="D109" i="6"/>
  <c r="C109" i="6"/>
  <c r="B109" i="6"/>
  <c r="K107" i="6"/>
  <c r="J107" i="6"/>
  <c r="I107" i="6"/>
  <c r="H107" i="6"/>
  <c r="G107" i="6"/>
  <c r="F107" i="6"/>
  <c r="E107" i="6"/>
  <c r="D107" i="6"/>
  <c r="C107" i="6"/>
  <c r="B107" i="6"/>
  <c r="K103" i="6"/>
  <c r="J103" i="6"/>
  <c r="I103" i="6"/>
  <c r="H103" i="6"/>
  <c r="G103" i="6"/>
  <c r="F103" i="6"/>
  <c r="E103" i="6"/>
  <c r="D103" i="6"/>
  <c r="C103" i="6"/>
  <c r="B103" i="6"/>
  <c r="K102" i="6"/>
  <c r="L51" i="22" s="1"/>
  <c r="K8" i="26" s="1"/>
  <c r="J102" i="6"/>
  <c r="I102" i="6"/>
  <c r="H102" i="6"/>
  <c r="G102" i="6"/>
  <c r="F102" i="6"/>
  <c r="E102" i="6"/>
  <c r="D102" i="6"/>
  <c r="C102" i="6"/>
  <c r="B102" i="6"/>
  <c r="K101" i="6"/>
  <c r="J101" i="6"/>
  <c r="I101" i="6"/>
  <c r="H101" i="6"/>
  <c r="G101" i="6"/>
  <c r="F101" i="6"/>
  <c r="E101" i="6"/>
  <c r="D101" i="6"/>
  <c r="C101" i="6"/>
  <c r="B101" i="6"/>
  <c r="K88" i="6"/>
  <c r="G22" i="22" s="1"/>
  <c r="J88" i="6"/>
  <c r="F22" i="22" s="1"/>
  <c r="I88" i="6"/>
  <c r="E22" i="22" s="1"/>
  <c r="H88" i="6"/>
  <c r="D22" i="22" s="1"/>
  <c r="G88" i="6"/>
  <c r="F88" i="6"/>
  <c r="E88" i="6"/>
  <c r="D88" i="6"/>
  <c r="C88" i="6"/>
  <c r="K75" i="23"/>
  <c r="J75" i="23"/>
  <c r="I75" i="23"/>
  <c r="H75" i="23"/>
  <c r="G75" i="23"/>
  <c r="F75" i="23"/>
  <c r="E75" i="23"/>
  <c r="D75" i="23"/>
  <c r="K76" i="23"/>
  <c r="J76" i="23"/>
  <c r="I76" i="23"/>
  <c r="H76" i="23"/>
  <c r="G76" i="23"/>
  <c r="F76" i="23"/>
  <c r="E76" i="23"/>
  <c r="D76" i="23"/>
  <c r="B64" i="23"/>
  <c r="B70" i="23" s="1"/>
  <c r="D58" i="23"/>
  <c r="D64" i="23" s="1"/>
  <c r="D70" i="23" s="1"/>
  <c r="D82" i="23" s="1"/>
  <c r="K58" i="23"/>
  <c r="K64" i="23" s="1"/>
  <c r="K70" i="23" s="1"/>
  <c r="K82" i="23" s="1"/>
  <c r="J58" i="23"/>
  <c r="J64" i="23" s="1"/>
  <c r="J70" i="23" s="1"/>
  <c r="J82" i="23" s="1"/>
  <c r="I58" i="23"/>
  <c r="I64" i="23" s="1"/>
  <c r="I70" i="23" s="1"/>
  <c r="I82" i="23" s="1"/>
  <c r="H58" i="23"/>
  <c r="H64" i="23" s="1"/>
  <c r="H70" i="23" s="1"/>
  <c r="H82" i="23" s="1"/>
  <c r="G58" i="23"/>
  <c r="G64" i="23" s="1"/>
  <c r="G70" i="23" s="1"/>
  <c r="G82" i="23" s="1"/>
  <c r="F58" i="23"/>
  <c r="F64" i="23" s="1"/>
  <c r="F70" i="23" s="1"/>
  <c r="F82" i="23" s="1"/>
  <c r="E58" i="23"/>
  <c r="E64" i="23" s="1"/>
  <c r="E70" i="23" s="1"/>
  <c r="E82" i="23" s="1"/>
  <c r="F77" i="23" l="1"/>
  <c r="K108" i="6"/>
  <c r="G29" i="22" s="1"/>
  <c r="B108" i="6"/>
  <c r="I108" i="6"/>
  <c r="E29" i="22" s="1"/>
  <c r="G77" i="23"/>
  <c r="H105" i="6"/>
  <c r="D105" i="6"/>
  <c r="G105" i="6"/>
  <c r="K105" i="6"/>
  <c r="C105" i="6"/>
  <c r="I105" i="6"/>
  <c r="J108" i="6"/>
  <c r="F29" i="22" s="1"/>
  <c r="E77" i="23"/>
  <c r="H108" i="6"/>
  <c r="D29" i="22" s="1"/>
  <c r="J105" i="6"/>
  <c r="F105" i="6"/>
  <c r="G108" i="6"/>
  <c r="E105" i="6"/>
  <c r="B105" i="6"/>
  <c r="E108" i="6"/>
  <c r="C108" i="6"/>
  <c r="F108" i="6"/>
  <c r="D108" i="6"/>
  <c r="D77" i="23"/>
  <c r="H77" i="23"/>
  <c r="K77" i="23"/>
  <c r="I77" i="23"/>
  <c r="J77" i="23"/>
  <c r="B5" i="23" l="1"/>
  <c r="B3" i="23"/>
  <c r="B5" i="21"/>
  <c r="B3" i="21"/>
  <c r="B91" i="21" l="1"/>
  <c r="B87" i="21"/>
  <c r="B86" i="21"/>
  <c r="B80" i="21"/>
  <c r="B90" i="21" s="1"/>
  <c r="B79" i="21"/>
  <c r="B85" i="21" s="1"/>
  <c r="B72" i="21"/>
  <c r="B71" i="21"/>
  <c r="J68" i="21"/>
  <c r="J71" i="21" s="1"/>
  <c r="I68" i="21"/>
  <c r="I71" i="21" s="1"/>
  <c r="H68" i="21"/>
  <c r="H80" i="21" s="1"/>
  <c r="H90" i="21" s="1"/>
  <c r="G68" i="21"/>
  <c r="G71" i="21" s="1"/>
  <c r="F68" i="21"/>
  <c r="F71" i="21" s="1"/>
  <c r="E68" i="21"/>
  <c r="E80" i="21" s="1"/>
  <c r="E90" i="21" s="1"/>
  <c r="D68" i="21"/>
  <c r="D80" i="21" s="1"/>
  <c r="D90" i="21" s="1"/>
  <c r="K68" i="21"/>
  <c r="K80" i="21" s="1"/>
  <c r="K90" i="21" s="1"/>
  <c r="J58" i="21"/>
  <c r="J72" i="21" s="1"/>
  <c r="I58" i="21"/>
  <c r="I72" i="21" s="1"/>
  <c r="H58" i="21"/>
  <c r="H72" i="21" s="1"/>
  <c r="G58" i="21"/>
  <c r="G72" i="21" s="1"/>
  <c r="F58" i="21"/>
  <c r="F72" i="21" s="1"/>
  <c r="E58" i="21"/>
  <c r="E72" i="21" s="1"/>
  <c r="D58" i="21"/>
  <c r="D72" i="21" s="1"/>
  <c r="K58" i="21"/>
  <c r="K72" i="21" s="1"/>
  <c r="B67" i="21"/>
  <c r="B89" i="21" s="1"/>
  <c r="F3" i="19"/>
  <c r="C2" i="16"/>
  <c r="E2" i="17"/>
  <c r="K26" i="19"/>
  <c r="K25" i="19"/>
  <c r="K24" i="19"/>
  <c r="K23" i="19"/>
  <c r="J26" i="19"/>
  <c r="J25" i="19"/>
  <c r="J24" i="19"/>
  <c r="J23" i="19"/>
  <c r="M9" i="19"/>
  <c r="C99" i="6"/>
  <c r="H71" i="21" l="1"/>
  <c r="H73" i="21" s="1"/>
  <c r="F80" i="21"/>
  <c r="F90" i="21" s="1"/>
  <c r="G80" i="21"/>
  <c r="G90" i="21" s="1"/>
  <c r="I80" i="21"/>
  <c r="I90" i="21" s="1"/>
  <c r="J80" i="21"/>
  <c r="J90" i="21" s="1"/>
  <c r="F73" i="21"/>
  <c r="G73" i="21"/>
  <c r="I73" i="21"/>
  <c r="J73" i="21"/>
  <c r="K71" i="21"/>
  <c r="K73" i="21" s="1"/>
  <c r="D71" i="21"/>
  <c r="D73" i="21" s="1"/>
  <c r="E71" i="21"/>
  <c r="E73" i="21" s="1"/>
  <c r="M12" i="19"/>
  <c r="M11" i="19"/>
  <c r="M10" i="19"/>
  <c r="G1280" i="19" s="1"/>
  <c r="D127" i="19"/>
  <c r="D126" i="19"/>
  <c r="D125" i="19"/>
  <c r="D124" i="19"/>
  <c r="D123" i="19"/>
  <c r="D122" i="19"/>
  <c r="D121" i="19"/>
  <c r="D120" i="19"/>
  <c r="D119" i="19"/>
  <c r="D118" i="19"/>
  <c r="D117" i="19"/>
  <c r="D116" i="19"/>
  <c r="D115" i="19"/>
  <c r="D114" i="19"/>
  <c r="D113" i="19"/>
  <c r="D112" i="19"/>
  <c r="D111" i="19"/>
  <c r="D110" i="19"/>
  <c r="D109" i="19"/>
  <c r="D108" i="19"/>
  <c r="D107" i="19"/>
  <c r="D106" i="19"/>
  <c r="D105" i="19"/>
  <c r="D104" i="19"/>
  <c r="D103" i="19"/>
  <c r="D102" i="19"/>
  <c r="D101" i="19"/>
  <c r="D100" i="19"/>
  <c r="D99" i="19"/>
  <c r="D98" i="19"/>
  <c r="D97" i="19"/>
  <c r="D96" i="19"/>
  <c r="D95" i="19"/>
  <c r="D94" i="19"/>
  <c r="D93" i="19"/>
  <c r="D92" i="19"/>
  <c r="D91" i="19"/>
  <c r="D90" i="19"/>
  <c r="D89" i="19"/>
  <c r="D88" i="19"/>
  <c r="D87" i="19"/>
  <c r="D86" i="19"/>
  <c r="D85" i="19"/>
  <c r="D84" i="19"/>
  <c r="D83" i="19"/>
  <c r="D82" i="19"/>
  <c r="D81" i="19"/>
  <c r="D80" i="19"/>
  <c r="D79" i="19"/>
  <c r="D78" i="19"/>
  <c r="D77" i="19"/>
  <c r="D76" i="19"/>
  <c r="D75" i="19"/>
  <c r="D74" i="19"/>
  <c r="D73" i="19"/>
  <c r="D72" i="19"/>
  <c r="D71" i="19"/>
  <c r="D70" i="19"/>
  <c r="D69" i="19"/>
  <c r="D68" i="19"/>
  <c r="D67" i="19"/>
  <c r="D66" i="19"/>
  <c r="D65" i="19"/>
  <c r="D64" i="19"/>
  <c r="D63" i="19"/>
  <c r="D62" i="19"/>
  <c r="D61" i="19"/>
  <c r="D60" i="19"/>
  <c r="D59" i="19"/>
  <c r="D58" i="19"/>
  <c r="D57" i="19"/>
  <c r="D56" i="19"/>
  <c r="D55" i="19"/>
  <c r="D54" i="19"/>
  <c r="D53" i="19"/>
  <c r="D52" i="19"/>
  <c r="D51" i="19"/>
  <c r="D50" i="19"/>
  <c r="D49" i="19"/>
  <c r="D48" i="19"/>
  <c r="D47" i="19"/>
  <c r="D46" i="19"/>
  <c r="D45" i="19"/>
  <c r="D44" i="19"/>
  <c r="D43" i="19"/>
  <c r="D42" i="19"/>
  <c r="D41" i="19"/>
  <c r="D40" i="19"/>
  <c r="D39" i="19"/>
  <c r="D38" i="19"/>
  <c r="D37" i="19"/>
  <c r="D36" i="19"/>
  <c r="D35" i="19"/>
  <c r="D34" i="19"/>
  <c r="D33" i="19"/>
  <c r="D32" i="19"/>
  <c r="D31" i="19"/>
  <c r="D30" i="19"/>
  <c r="D29" i="19"/>
  <c r="D28" i="19"/>
  <c r="D27" i="19"/>
  <c r="D26" i="19"/>
  <c r="D25" i="19"/>
  <c r="D24" i="19"/>
  <c r="D23" i="19"/>
  <c r="D22" i="19"/>
  <c r="D21" i="19"/>
  <c r="D20" i="19"/>
  <c r="D19" i="19"/>
  <c r="D18" i="19"/>
  <c r="D17" i="19"/>
  <c r="D16" i="19"/>
  <c r="D15" i="19"/>
  <c r="D14" i="19"/>
  <c r="D13" i="19"/>
  <c r="D12" i="19"/>
  <c r="D11" i="19"/>
  <c r="D10" i="19"/>
  <c r="D9" i="19"/>
  <c r="D8" i="19"/>
  <c r="D7" i="19"/>
  <c r="J4" i="18"/>
  <c r="F23" i="16"/>
  <c r="P27" i="17"/>
  <c r="O27" i="17"/>
  <c r="N27" i="17"/>
  <c r="P25" i="17"/>
  <c r="O25" i="17"/>
  <c r="N25" i="17"/>
  <c r="F13" i="17"/>
  <c r="P13" i="17" s="1"/>
  <c r="F12" i="17"/>
  <c r="P12" i="17" s="1"/>
  <c r="F11" i="17"/>
  <c r="P11" i="17" s="1"/>
  <c r="F10" i="17"/>
  <c r="P10" i="17" s="1"/>
  <c r="G1778" i="19" l="1"/>
  <c r="G254" i="19"/>
  <c r="G5353" i="19"/>
  <c r="G140" i="19"/>
  <c r="G7730" i="19"/>
  <c r="G7902" i="19"/>
  <c r="G1322" i="19"/>
  <c r="G399" i="19"/>
  <c r="G4410" i="19"/>
  <c r="G1065" i="19"/>
  <c r="G9332" i="19"/>
  <c r="G8136" i="19"/>
  <c r="G1174" i="19"/>
  <c r="G751" i="19"/>
  <c r="G469" i="19"/>
  <c r="G1247" i="19"/>
  <c r="G328" i="19"/>
  <c r="G863" i="19"/>
  <c r="G2987" i="19"/>
  <c r="G866" i="19"/>
  <c r="G1656" i="19"/>
  <c r="G321" i="19"/>
  <c r="G757" i="19"/>
  <c r="G2734" i="19"/>
  <c r="G1223" i="19"/>
  <c r="G6320" i="19"/>
  <c r="G364" i="19"/>
  <c r="G2576" i="19"/>
  <c r="G2376" i="19"/>
  <c r="G3162" i="19"/>
  <c r="G476" i="19"/>
  <c r="G2196" i="19"/>
  <c r="G2732" i="19"/>
  <c r="G4193" i="19"/>
  <c r="G2263" i="19"/>
  <c r="G3300" i="19"/>
  <c r="G7038" i="19"/>
  <c r="G2908" i="19"/>
  <c r="G3276" i="19"/>
  <c r="G1762" i="19"/>
  <c r="G3774" i="19"/>
  <c r="G3979" i="19"/>
  <c r="G3063" i="19"/>
  <c r="G8216" i="19"/>
  <c r="G2782" i="19"/>
  <c r="G1935" i="19"/>
  <c r="G2816" i="19"/>
  <c r="G4272" i="19"/>
  <c r="G52" i="19"/>
  <c r="G2280" i="19"/>
  <c r="G4230" i="19"/>
  <c r="G1157" i="19"/>
  <c r="G6758" i="19"/>
  <c r="G7244" i="19"/>
  <c r="G8719" i="19"/>
  <c r="G1004" i="19"/>
  <c r="G1082" i="19"/>
  <c r="G2028" i="19"/>
  <c r="G4231" i="19"/>
  <c r="G9217" i="19"/>
  <c r="G7817" i="19"/>
  <c r="G1130" i="19"/>
  <c r="G1102" i="19"/>
  <c r="G154" i="19"/>
  <c r="G4289" i="19"/>
  <c r="G2843" i="19"/>
  <c r="G3834" i="19"/>
  <c r="G1604" i="19"/>
  <c r="G6034" i="19"/>
  <c r="G2321" i="19"/>
  <c r="G8394" i="19"/>
  <c r="G2943" i="19"/>
  <c r="G6097" i="19"/>
  <c r="G899" i="19"/>
  <c r="G7928" i="19"/>
  <c r="G3022" i="19"/>
  <c r="G2549" i="19"/>
  <c r="G2191" i="19"/>
  <c r="G7812" i="19"/>
  <c r="G1719" i="19"/>
  <c r="G8" i="19"/>
  <c r="G3114" i="19"/>
  <c r="G8695" i="19"/>
  <c r="G3115" i="19"/>
  <c r="G3623" i="19"/>
  <c r="G7881" i="19"/>
  <c r="G2788" i="19"/>
  <c r="G38" i="19"/>
  <c r="G4202" i="19"/>
  <c r="G6407" i="19"/>
  <c r="G2417" i="19"/>
  <c r="G4134" i="19"/>
  <c r="G4920" i="19"/>
  <c r="G3873" i="19"/>
  <c r="G4754" i="19"/>
  <c r="G3259" i="19"/>
  <c r="G255" i="19"/>
  <c r="G2836" i="19"/>
  <c r="G1999" i="19"/>
  <c r="G3154" i="19"/>
  <c r="G4844" i="19"/>
  <c r="G355" i="19"/>
  <c r="G2359" i="19"/>
  <c r="G4256" i="19"/>
  <c r="G1193" i="19"/>
  <c r="G4915" i="19"/>
  <c r="G7784" i="19"/>
  <c r="G8878" i="19"/>
  <c r="G403" i="19"/>
  <c r="G5732" i="19"/>
  <c r="G5529" i="19"/>
  <c r="G7895" i="19"/>
  <c r="G149" i="19"/>
  <c r="G6723" i="19"/>
  <c r="G1117" i="19"/>
  <c r="G5807" i="19"/>
  <c r="G4735" i="19"/>
  <c r="G7912" i="19"/>
  <c r="G220" i="19"/>
  <c r="G532" i="19"/>
  <c r="G1160" i="19"/>
  <c r="G5863" i="19"/>
  <c r="G3161" i="19"/>
  <c r="G134" i="19"/>
  <c r="G7448" i="19"/>
  <c r="G6893" i="19"/>
  <c r="G7008" i="19"/>
  <c r="G1219" i="19"/>
  <c r="G7594" i="19"/>
  <c r="G4160" i="19"/>
  <c r="G7023" i="19"/>
  <c r="G1739" i="19"/>
  <c r="G8707" i="19"/>
  <c r="G2308" i="19"/>
  <c r="G4249" i="19"/>
  <c r="G5073" i="19"/>
  <c r="G2962" i="19"/>
  <c r="G4884" i="19"/>
  <c r="G3431" i="19"/>
  <c r="G869" i="19"/>
  <c r="G2861" i="19"/>
  <c r="G2041" i="19"/>
  <c r="G3180" i="19"/>
  <c r="G4954" i="19"/>
  <c r="G618" i="19"/>
  <c r="G2483" i="19"/>
  <c r="G4454" i="19"/>
  <c r="G1205" i="19"/>
  <c r="G4931" i="19"/>
  <c r="G9048" i="19"/>
  <c r="G9346" i="19"/>
  <c r="G9534" i="19"/>
  <c r="G3695" i="19"/>
  <c r="G1012" i="19"/>
  <c r="G2841" i="19"/>
  <c r="G2829" i="19"/>
  <c r="G7892" i="19"/>
  <c r="G2138" i="19"/>
  <c r="G1648" i="19"/>
  <c r="G7257" i="19"/>
  <c r="G342" i="19"/>
  <c r="G2434" i="19"/>
  <c r="G2490" i="19"/>
  <c r="G8452" i="19"/>
  <c r="G4961" i="19"/>
  <c r="G3020" i="19"/>
  <c r="G1503" i="19"/>
  <c r="G3926" i="19"/>
  <c r="G3100" i="19"/>
  <c r="G9200" i="19"/>
  <c r="G3287" i="19"/>
  <c r="G3480" i="19"/>
  <c r="G1634" i="19"/>
  <c r="G2764" i="19"/>
  <c r="G2248" i="19"/>
  <c r="G6384" i="19"/>
  <c r="G3905" i="19"/>
  <c r="G955" i="19"/>
  <c r="G4546" i="19"/>
  <c r="G5376" i="19"/>
  <c r="G927" i="19"/>
  <c r="G5130" i="19"/>
  <c r="G3465" i="19"/>
  <c r="G884" i="19"/>
  <c r="G5253" i="19"/>
  <c r="G820" i="19"/>
  <c r="G98" i="19"/>
  <c r="G1966" i="19"/>
  <c r="G2509" i="19"/>
  <c r="G7536" i="19"/>
  <c r="G4127" i="19"/>
  <c r="G5290" i="19"/>
  <c r="G3662" i="19"/>
  <c r="G9533" i="19"/>
  <c r="G76" i="19"/>
  <c r="G2465" i="19"/>
  <c r="G2084" i="19"/>
  <c r="G5444" i="19"/>
  <c r="G8480" i="19"/>
  <c r="G962" i="19"/>
  <c r="G7254" i="19"/>
  <c r="G3663" i="19"/>
  <c r="G998" i="19"/>
  <c r="G5303" i="19"/>
  <c r="G868" i="19"/>
  <c r="G126" i="19"/>
  <c r="G2008" i="19"/>
  <c r="G2532" i="19"/>
  <c r="G7628" i="19"/>
  <c r="G4151" i="19"/>
  <c r="G2815" i="19"/>
  <c r="G3896" i="19"/>
  <c r="G7446" i="19"/>
  <c r="G33" i="19"/>
  <c r="G3551" i="19"/>
  <c r="G3487" i="19"/>
  <c r="G823" i="19"/>
  <c r="G6521" i="19"/>
  <c r="G1680" i="19"/>
  <c r="G302" i="19"/>
  <c r="G4686" i="19"/>
  <c r="G651" i="19"/>
  <c r="G5995" i="19"/>
  <c r="G3892" i="19"/>
  <c r="G911" i="19"/>
  <c r="G4700" i="19"/>
  <c r="G2505" i="19"/>
  <c r="G1217" i="19"/>
  <c r="G4422" i="19"/>
  <c r="G5071" i="19"/>
  <c r="G5678" i="19"/>
  <c r="G9078" i="19"/>
  <c r="G8130" i="19"/>
  <c r="G1432" i="19"/>
  <c r="G674" i="19"/>
  <c r="G1279" i="19"/>
  <c r="G2517" i="19"/>
  <c r="G2277" i="19"/>
  <c r="G797" i="19"/>
  <c r="G3173" i="19"/>
  <c r="G3221" i="19"/>
  <c r="G7359" i="19"/>
  <c r="G2310" i="19"/>
  <c r="G4727" i="19"/>
  <c r="G374" i="19"/>
  <c r="G1679" i="19"/>
  <c r="G3609" i="19"/>
  <c r="G9051" i="19"/>
  <c r="G3752" i="19"/>
  <c r="G841" i="19"/>
  <c r="G6605" i="19"/>
  <c r="G1724" i="19"/>
  <c r="G316" i="19"/>
  <c r="G4750" i="19"/>
  <c r="G666" i="19"/>
  <c r="G6770" i="19"/>
  <c r="G3915" i="19"/>
  <c r="G923" i="19"/>
  <c r="G1021" i="19"/>
  <c r="G2604" i="19"/>
  <c r="G1409" i="19"/>
  <c r="G4441" i="19"/>
  <c r="G5087" i="19"/>
  <c r="G7886" i="19"/>
  <c r="G9116" i="19"/>
  <c r="G8685" i="19"/>
  <c r="G1348" i="19"/>
  <c r="G8591" i="19"/>
  <c r="G2852" i="19"/>
  <c r="G833" i="19"/>
  <c r="G3878" i="19"/>
  <c r="G3282" i="19"/>
  <c r="G7716" i="19"/>
  <c r="G2356" i="19"/>
  <c r="G4782" i="19"/>
  <c r="G422" i="19"/>
  <c r="G1809" i="19"/>
  <c r="G3884" i="19"/>
  <c r="G9739" i="19"/>
  <c r="G3842" i="19"/>
  <c r="G937" i="19"/>
  <c r="G6675" i="19"/>
  <c r="G1766" i="19"/>
  <c r="G392" i="19"/>
  <c r="G4797" i="19"/>
  <c r="G682" i="19"/>
  <c r="G957" i="19"/>
  <c r="G3963" i="19"/>
  <c r="G1072" i="19"/>
  <c r="G1034" i="19"/>
  <c r="G2638" i="19"/>
  <c r="G4556" i="19"/>
  <c r="G4469" i="19"/>
  <c r="G5399" i="19"/>
  <c r="G7919" i="19"/>
  <c r="G9715" i="19"/>
  <c r="G8436" i="19"/>
  <c r="G2418" i="19"/>
  <c r="G205" i="19"/>
  <c r="G3596" i="19"/>
  <c r="G351" i="19"/>
  <c r="G4141" i="19"/>
  <c r="G1666" i="19"/>
  <c r="G9107" i="19"/>
  <c r="G9747" i="19"/>
  <c r="G9398" i="19"/>
  <c r="G8659" i="19"/>
  <c r="G9566" i="19"/>
  <c r="G9999" i="19"/>
  <c r="G9937" i="19"/>
  <c r="G8393" i="19"/>
  <c r="G7027" i="19"/>
  <c r="G8002" i="19"/>
  <c r="G8518" i="19"/>
  <c r="G7849" i="19"/>
  <c r="G6441" i="19"/>
  <c r="G7863" i="19"/>
  <c r="G9008" i="19"/>
  <c r="G9303" i="19"/>
  <c r="G8472" i="19"/>
  <c r="G6572" i="19"/>
  <c r="G5248" i="19"/>
  <c r="G8947" i="19"/>
  <c r="G6794" i="19"/>
  <c r="G5451" i="19"/>
  <c r="G9413" i="19"/>
  <c r="G6964" i="19"/>
  <c r="G8614" i="19"/>
  <c r="G6157" i="19"/>
  <c r="G4603" i="19"/>
  <c r="G7794" i="19"/>
  <c r="G5810" i="19"/>
  <c r="G9787" i="19"/>
  <c r="G6476" i="19"/>
  <c r="G7354" i="19"/>
  <c r="G8388" i="19"/>
  <c r="G5897" i="19"/>
  <c r="G4484" i="19"/>
  <c r="G3518" i="19"/>
  <c r="G2618" i="19"/>
  <c r="G7841" i="19"/>
  <c r="G5934" i="19"/>
  <c r="G4845" i="19"/>
  <c r="G3856" i="19"/>
  <c r="G2989" i="19"/>
  <c r="G7932" i="19"/>
  <c r="G6104" i="19"/>
  <c r="G4929" i="19"/>
  <c r="G8434" i="19"/>
  <c r="G5850" i="19"/>
  <c r="G4331" i="19"/>
  <c r="G6882" i="19"/>
  <c r="G5064" i="19"/>
  <c r="G3707" i="19"/>
  <c r="G2787" i="19"/>
  <c r="G1830" i="19"/>
  <c r="G1098" i="19"/>
  <c r="G6278" i="19"/>
  <c r="G4509" i="19"/>
  <c r="G3418" i="19"/>
  <c r="G2514" i="19"/>
  <c r="G1817" i="19"/>
  <c r="G8975" i="19"/>
  <c r="G6153" i="19"/>
  <c r="G4806" i="19"/>
  <c r="G3748" i="19"/>
  <c r="G3028" i="19"/>
  <c r="G6213" i="19"/>
  <c r="G4496" i="19"/>
  <c r="G3285" i="19"/>
  <c r="G2457" i="19"/>
  <c r="G1747" i="19"/>
  <c r="G8542" i="19"/>
  <c r="G5635" i="19"/>
  <c r="G3969" i="19"/>
  <c r="G3035" i="19"/>
  <c r="G2206" i="19"/>
  <c r="G1600" i="19"/>
  <c r="G984" i="19"/>
  <c r="G420" i="19"/>
  <c r="G8283" i="19"/>
  <c r="G5562" i="19"/>
  <c r="G4149" i="19"/>
  <c r="G530" i="19"/>
  <c r="G5024" i="19"/>
  <c r="G716" i="19"/>
  <c r="G6138" i="19"/>
  <c r="G2209" i="19"/>
  <c r="G9023" i="19"/>
  <c r="G9646" i="19"/>
  <c r="G9296" i="19"/>
  <c r="G8575" i="19"/>
  <c r="G9446" i="19"/>
  <c r="G9854" i="19"/>
  <c r="G9788" i="19"/>
  <c r="G8293" i="19"/>
  <c r="G9831" i="19"/>
  <c r="G7910" i="19"/>
  <c r="G8417" i="19"/>
  <c r="G7738" i="19"/>
  <c r="G6357" i="19"/>
  <c r="G7752" i="19"/>
  <c r="G8847" i="19"/>
  <c r="G9017" i="19"/>
  <c r="G8296" i="19"/>
  <c r="G6481" i="19"/>
  <c r="G5164" i="19"/>
  <c r="G8741" i="19"/>
  <c r="G6702" i="19"/>
  <c r="G5367" i="19"/>
  <c r="G9111" i="19"/>
  <c r="G6864" i="19"/>
  <c r="G8338" i="19"/>
  <c r="G6057" i="19"/>
  <c r="G4501" i="19"/>
  <c r="G7580" i="19"/>
  <c r="G5710" i="19"/>
  <c r="G9289" i="19"/>
  <c r="G6383" i="19"/>
  <c r="G7329" i="19"/>
  <c r="G8132" i="19"/>
  <c r="G5705" i="19"/>
  <c r="G4466" i="19"/>
  <c r="G3506" i="19"/>
  <c r="G2594" i="19"/>
  <c r="G7655" i="19"/>
  <c r="G5915" i="19"/>
  <c r="G4777" i="19"/>
  <c r="G3745" i="19"/>
  <c r="G2977" i="19"/>
  <c r="G7883" i="19"/>
  <c r="G6046" i="19"/>
  <c r="G4879" i="19"/>
  <c r="G8356" i="19"/>
  <c r="G5748" i="19"/>
  <c r="G4159" i="19"/>
  <c r="G6804" i="19"/>
  <c r="G5041" i="19"/>
  <c r="G3679" i="19"/>
  <c r="G2743" i="19"/>
  <c r="G1818" i="19"/>
  <c r="G1038" i="19"/>
  <c r="G6044" i="19"/>
  <c r="G4488" i="19"/>
  <c r="G3404" i="19"/>
  <c r="G2488" i="19"/>
  <c r="G1793" i="19"/>
  <c r="G8777" i="19"/>
  <c r="G6095" i="19"/>
  <c r="G4666" i="19"/>
  <c r="G3718" i="19"/>
  <c r="G2998" i="19"/>
  <c r="G6175" i="19"/>
  <c r="G4426" i="19"/>
  <c r="G3268" i="19"/>
  <c r="G2442" i="19"/>
  <c r="G1675" i="19"/>
  <c r="G8409" i="19"/>
  <c r="G5563" i="19"/>
  <c r="G3943" i="19"/>
  <c r="G2996" i="19"/>
  <c r="G2192" i="19"/>
  <c r="G1572" i="19"/>
  <c r="G912" i="19"/>
  <c r="G408" i="19"/>
  <c r="G8156" i="19"/>
  <c r="G5530" i="19"/>
  <c r="G4097" i="19"/>
  <c r="G2512" i="19"/>
  <c r="G3485" i="19"/>
  <c r="G2876" i="19"/>
  <c r="G1192" i="19"/>
  <c r="G9983" i="19"/>
  <c r="G9705" i="19"/>
  <c r="G9243" i="19"/>
  <c r="G9778" i="19"/>
  <c r="G8239" i="19"/>
  <c r="G9771" i="19"/>
  <c r="G9274" i="19"/>
  <c r="G9866" i="19"/>
  <c r="G7924" i="19"/>
  <c r="G9104" i="19"/>
  <c r="G7554" i="19"/>
  <c r="G9320" i="19"/>
  <c r="G7345" i="19"/>
  <c r="G9352" i="19"/>
  <c r="G7357" i="19"/>
  <c r="G8285" i="19"/>
  <c r="G8249" i="19"/>
  <c r="G7705" i="19"/>
  <c r="G6124" i="19"/>
  <c r="G4828" i="19"/>
  <c r="G8060" i="19"/>
  <c r="G6336" i="19"/>
  <c r="G5031" i="19"/>
  <c r="G8315" i="19"/>
  <c r="G9442" i="19"/>
  <c r="G7481" i="19"/>
  <c r="G5653" i="19"/>
  <c r="G4126" i="19"/>
  <c r="G6973" i="19"/>
  <c r="G5306" i="19"/>
  <c r="G8101" i="19"/>
  <c r="G6010" i="19"/>
  <c r="G6720" i="19"/>
  <c r="G7238" i="19"/>
  <c r="G5470" i="19"/>
  <c r="G4158" i="19"/>
  <c r="G3266" i="19"/>
  <c r="G2354" i="19"/>
  <c r="G7100" i="19"/>
  <c r="G5605" i="19"/>
  <c r="G4499" i="19"/>
  <c r="G3601" i="19"/>
  <c r="G2761" i="19"/>
  <c r="G7260" i="19"/>
  <c r="G5681" i="19"/>
  <c r="G4549" i="19"/>
  <c r="G7335" i="19"/>
  <c r="G5341" i="19"/>
  <c r="G3951" i="19"/>
  <c r="G6251" i="19"/>
  <c r="G4650" i="19"/>
  <c r="G3405" i="19"/>
  <c r="G2476" i="19"/>
  <c r="G1614" i="19"/>
  <c r="G8354" i="19"/>
  <c r="G5718" i="19"/>
  <c r="G4137" i="19"/>
  <c r="G3174" i="19"/>
  <c r="G2291" i="19"/>
  <c r="G1601" i="19"/>
  <c r="G7616" i="19"/>
  <c r="G5662" i="19"/>
  <c r="G4460" i="19"/>
  <c r="G3502" i="19"/>
  <c r="G9183" i="19"/>
  <c r="G5640" i="19"/>
  <c r="G4075" i="19"/>
  <c r="G3019" i="19"/>
  <c r="G2237" i="19"/>
  <c r="G1545" i="19"/>
  <c r="G7223" i="19"/>
  <c r="G5117" i="19"/>
  <c r="G3669" i="19"/>
  <c r="G2777" i="19"/>
  <c r="G2018" i="19"/>
  <c r="G1400" i="19"/>
  <c r="G828" i="19"/>
  <c r="G264" i="19"/>
  <c r="G7144" i="19"/>
  <c r="G5114" i="19"/>
  <c r="G3827" i="19"/>
  <c r="G4246" i="19"/>
  <c r="G398" i="19"/>
  <c r="G5125" i="19"/>
  <c r="G2208" i="19"/>
  <c r="G9827" i="19"/>
  <c r="G9549" i="19"/>
  <c r="G9055" i="19"/>
  <c r="G9553" i="19"/>
  <c r="G8083" i="19"/>
  <c r="G9505" i="19"/>
  <c r="G9026" i="19"/>
  <c r="G9506" i="19"/>
  <c r="G7754" i="19"/>
  <c r="G8864" i="19"/>
  <c r="G9745" i="19"/>
  <c r="G8945" i="19"/>
  <c r="G7175" i="19"/>
  <c r="G8963" i="19"/>
  <c r="G7187" i="19"/>
  <c r="G8079" i="19"/>
  <c r="G7980" i="19"/>
  <c r="G7456" i="19"/>
  <c r="G5968" i="19"/>
  <c r="G4672" i="19"/>
  <c r="G7788" i="19"/>
  <c r="G6171" i="19"/>
  <c r="G4875" i="19"/>
  <c r="G8034" i="19"/>
  <c r="G8740" i="19"/>
  <c r="G7203" i="19"/>
  <c r="G5467" i="19"/>
  <c r="G3970" i="19"/>
  <c r="G6731" i="19"/>
  <c r="G5120" i="19"/>
  <c r="G7694" i="19"/>
  <c r="G5982" i="19"/>
  <c r="G6697" i="19"/>
  <c r="G7210" i="19"/>
  <c r="G5280" i="19"/>
  <c r="G4145" i="19"/>
  <c r="G3254" i="19"/>
  <c r="G2342" i="19"/>
  <c r="G7045" i="19"/>
  <c r="G5589" i="19"/>
  <c r="G4465" i="19"/>
  <c r="G3481" i="19"/>
  <c r="G2749" i="19"/>
  <c r="G7234" i="19"/>
  <c r="G5661" i="19"/>
  <c r="G4513" i="19"/>
  <c r="G7290" i="19"/>
  <c r="G5318" i="19"/>
  <c r="G3796" i="19"/>
  <c r="G6217" i="19"/>
  <c r="G4604" i="19"/>
  <c r="G3377" i="19"/>
  <c r="G2449" i="19"/>
  <c r="G1602" i="19"/>
  <c r="G8255" i="19"/>
  <c r="G5477" i="19"/>
  <c r="G4121" i="19"/>
  <c r="G3144" i="19"/>
  <c r="G2278" i="19"/>
  <c r="G1565" i="19"/>
  <c r="G7496" i="19"/>
  <c r="G5637" i="19"/>
  <c r="G4320" i="19"/>
  <c r="G3488" i="19"/>
  <c r="G8982" i="19"/>
  <c r="G5602" i="19"/>
  <c r="G4023" i="19"/>
  <c r="G2997" i="19"/>
  <c r="G2221" i="19"/>
  <c r="G1473" i="19"/>
  <c r="G7145" i="19"/>
  <c r="G5081" i="19"/>
  <c r="G3611" i="19"/>
  <c r="G2741" i="19"/>
  <c r="G2004" i="19"/>
  <c r="G1384" i="19"/>
  <c r="G756" i="19"/>
  <c r="G252" i="19"/>
  <c r="G7088" i="19"/>
  <c r="G5078" i="19"/>
  <c r="G3784" i="19"/>
  <c r="G5274" i="19"/>
  <c r="G605" i="19"/>
  <c r="G6550" i="19"/>
  <c r="G2573" i="19"/>
  <c r="G9779" i="19"/>
  <c r="G9501" i="19"/>
  <c r="G9002" i="19"/>
  <c r="G9483" i="19"/>
  <c r="G8035" i="19"/>
  <c r="G9421" i="19"/>
  <c r="G8966" i="19"/>
  <c r="G9402" i="19"/>
  <c r="G7702" i="19"/>
  <c r="G8801" i="19"/>
  <c r="G9634" i="19"/>
  <c r="G8855" i="19"/>
  <c r="G7122" i="19"/>
  <c r="G8874" i="19"/>
  <c r="G7134" i="19"/>
  <c r="G8018" i="19"/>
  <c r="G7896" i="19"/>
  <c r="G7389" i="19"/>
  <c r="G5920" i="19"/>
  <c r="G4624" i="19"/>
  <c r="G7703" i="19"/>
  <c r="G6123" i="19"/>
  <c r="G4827" i="19"/>
  <c r="G7952" i="19"/>
  <c r="G8571" i="19"/>
  <c r="G7116" i="19"/>
  <c r="G5409" i="19"/>
  <c r="G3922" i="19"/>
  <c r="G6659" i="19"/>
  <c r="G5062" i="19"/>
  <c r="G7576" i="19"/>
  <c r="G5952" i="19"/>
  <c r="G6628" i="19"/>
  <c r="G7046" i="19"/>
  <c r="G5262" i="19"/>
  <c r="G4093" i="19"/>
  <c r="G3146" i="19"/>
  <c r="G2330" i="19"/>
  <c r="G6987" i="19"/>
  <c r="G5555" i="19"/>
  <c r="G4413" i="19"/>
  <c r="G3469" i="19"/>
  <c r="G2701" i="19"/>
  <c r="G6985" i="19"/>
  <c r="G5642" i="19"/>
  <c r="G4497" i="19"/>
  <c r="G7169" i="19"/>
  <c r="G5252" i="19"/>
  <c r="G9907" i="19"/>
  <c r="G6103" i="19"/>
  <c r="G4421" i="19"/>
  <c r="G3363" i="19"/>
  <c r="G2436" i="19"/>
  <c r="G1578" i="19"/>
  <c r="G8053" i="19"/>
  <c r="G5456" i="19"/>
  <c r="G4033" i="19"/>
  <c r="G3044" i="19"/>
  <c r="G2265" i="19"/>
  <c r="G1541" i="19"/>
  <c r="G7451" i="19"/>
  <c r="G5564" i="19"/>
  <c r="G4278" i="19"/>
  <c r="G3474" i="19"/>
  <c r="G8189" i="19"/>
  <c r="G5565" i="19"/>
  <c r="G3996" i="19"/>
  <c r="G2980" i="19"/>
  <c r="G2179" i="19"/>
  <c r="G1429" i="19"/>
  <c r="G7091" i="19"/>
  <c r="G4871" i="19"/>
  <c r="G3594" i="19"/>
  <c r="G2723" i="19"/>
  <c r="G1990" i="19"/>
  <c r="G1356" i="19"/>
  <c r="G744" i="19"/>
  <c r="G240" i="19"/>
  <c r="G6791" i="19"/>
  <c r="G5046" i="19"/>
  <c r="G3763" i="19"/>
  <c r="G5534" i="19"/>
  <c r="G654" i="19"/>
  <c r="G6947" i="19"/>
  <c r="G2675" i="19"/>
  <c r="G9767" i="19"/>
  <c r="G9489" i="19"/>
  <c r="G8989" i="19"/>
  <c r="G9466" i="19"/>
  <c r="G8023" i="19"/>
  <c r="G9400" i="19"/>
  <c r="G8951" i="19"/>
  <c r="G9374" i="19"/>
  <c r="G7689" i="19"/>
  <c r="G8784" i="19"/>
  <c r="G9608" i="19"/>
  <c r="G8831" i="19"/>
  <c r="G7109" i="19"/>
  <c r="G8854" i="19"/>
  <c r="G7121" i="19"/>
  <c r="G8001" i="19"/>
  <c r="G7874" i="19"/>
  <c r="G7373" i="19"/>
  <c r="G5908" i="19"/>
  <c r="G4612" i="19"/>
  <c r="G7682" i="19"/>
  <c r="G6111" i="19"/>
  <c r="G4815" i="19"/>
  <c r="G7931" i="19"/>
  <c r="G8531" i="19"/>
  <c r="G7097" i="19"/>
  <c r="G5395" i="19"/>
  <c r="G3910" i="19"/>
  <c r="G6642" i="19"/>
  <c r="G5048" i="19"/>
  <c r="G7551" i="19"/>
  <c r="G5766" i="19"/>
  <c r="G6602" i="19"/>
  <c r="G7019" i="19"/>
  <c r="G5244" i="19"/>
  <c r="G4067" i="19"/>
  <c r="G3122" i="19"/>
  <c r="G2318" i="19"/>
  <c r="G6760" i="19"/>
  <c r="G5537" i="19"/>
  <c r="G4397" i="19"/>
  <c r="G3457" i="19"/>
  <c r="G2677" i="19"/>
  <c r="G6960" i="19"/>
  <c r="G5623" i="19"/>
  <c r="G4325" i="19"/>
  <c r="G7126" i="19"/>
  <c r="G5229" i="19"/>
  <c r="G9757" i="19"/>
  <c r="G6019" i="19"/>
  <c r="G4394" i="19"/>
  <c r="G3347" i="19"/>
  <c r="G2305" i="19"/>
  <c r="G1566" i="19"/>
  <c r="G7968" i="19"/>
  <c r="G5430" i="19"/>
  <c r="G3997" i="19"/>
  <c r="G3030" i="19"/>
  <c r="G2239" i="19"/>
  <c r="G1481" i="19"/>
  <c r="G7362" i="19"/>
  <c r="G5543" i="19"/>
  <c r="G4258" i="19"/>
  <c r="G3444" i="19"/>
  <c r="G8087" i="19"/>
  <c r="G5497" i="19"/>
  <c r="G3829" i="19"/>
  <c r="G2961" i="19"/>
  <c r="G2163" i="19"/>
  <c r="G1415" i="19"/>
  <c r="G6904" i="19"/>
  <c r="G4841" i="19"/>
  <c r="G3572" i="19"/>
  <c r="G2621" i="19"/>
  <c r="G1976" i="19"/>
  <c r="G1342" i="19"/>
  <c r="G732" i="19"/>
  <c r="G216" i="19"/>
  <c r="G6746" i="19"/>
  <c r="G5010" i="19"/>
  <c r="G3647" i="19"/>
  <c r="G6330" i="19"/>
  <c r="G8728" i="19"/>
  <c r="G9743" i="19"/>
  <c r="G8965" i="19"/>
  <c r="G7999" i="19"/>
  <c r="G8923" i="19"/>
  <c r="G7663" i="19"/>
  <c r="G9552" i="19"/>
  <c r="G7083" i="19"/>
  <c r="G7095" i="19"/>
  <c r="G7835" i="19"/>
  <c r="G5884" i="19"/>
  <c r="G7642" i="19"/>
  <c r="G4791" i="19"/>
  <c r="G8456" i="19"/>
  <c r="G5365" i="19"/>
  <c r="G6606" i="19"/>
  <c r="G7498" i="19"/>
  <c r="G6411" i="19"/>
  <c r="G5194" i="19"/>
  <c r="G3086" i="19"/>
  <c r="G6691" i="19"/>
  <c r="G4236" i="19"/>
  <c r="G2545" i="19"/>
  <c r="G5533" i="19"/>
  <c r="G6886" i="19"/>
  <c r="G9409" i="19"/>
  <c r="G4304" i="19"/>
  <c r="G2279" i="19"/>
  <c r="G7369" i="19"/>
  <c r="G3822" i="19"/>
  <c r="G2165" i="19"/>
  <c r="G7151" i="19"/>
  <c r="G4204" i="19"/>
  <c r="G7773" i="19"/>
  <c r="G3786" i="19"/>
  <c r="G2063" i="19"/>
  <c r="G6544" i="19"/>
  <c r="G3514" i="19"/>
  <c r="G1918" i="19"/>
  <c r="G708" i="19"/>
  <c r="G6582" i="19"/>
  <c r="G3610" i="19"/>
  <c r="G2776" i="19"/>
  <c r="G2031" i="19"/>
  <c r="G1427" i="19"/>
  <c r="G791" i="19"/>
  <c r="G275" i="19"/>
  <c r="G7268" i="19"/>
  <c r="G5177" i="19"/>
  <c r="G3821" i="19"/>
  <c r="G2916" i="19"/>
  <c r="G2217" i="19"/>
  <c r="G1525" i="19"/>
  <c r="G933" i="19"/>
  <c r="G405" i="19"/>
  <c r="G5421" i="19"/>
  <c r="G3531" i="19"/>
  <c r="G2274" i="19"/>
  <c r="G1340" i="19"/>
  <c r="G507" i="19"/>
  <c r="G1376" i="19"/>
  <c r="G3953" i="19"/>
  <c r="G7192" i="19"/>
  <c r="G4542" i="19"/>
  <c r="G2951" i="19"/>
  <c r="G1922" i="19"/>
  <c r="G938" i="19"/>
  <c r="G272" i="19"/>
  <c r="G6234" i="19"/>
  <c r="G3858" i="19"/>
  <c r="G2631" i="19"/>
  <c r="G1550" i="19"/>
  <c r="G726" i="19"/>
  <c r="G3407" i="19"/>
  <c r="G267" i="19"/>
  <c r="G6317" i="19"/>
  <c r="G3890" i="19"/>
  <c r="G2632" i="19"/>
  <c r="G1575" i="19"/>
  <c r="G808" i="19"/>
  <c r="G185" i="19"/>
  <c r="G388" i="19"/>
  <c r="G5507" i="19"/>
  <c r="G3464" i="19"/>
  <c r="G2065" i="19"/>
  <c r="G34" i="19"/>
  <c r="G178" i="19"/>
  <c r="G9683" i="19"/>
  <c r="G8905" i="19"/>
  <c r="G7939" i="19"/>
  <c r="G8851" i="19"/>
  <c r="G7603" i="19"/>
  <c r="G9418" i="19"/>
  <c r="G7018" i="19"/>
  <c r="G7030" i="19"/>
  <c r="G7729" i="19"/>
  <c r="G5824" i="19"/>
  <c r="G7548" i="19"/>
  <c r="G4731" i="19"/>
  <c r="G8267" i="19"/>
  <c r="G5293" i="19"/>
  <c r="G6527" i="19"/>
  <c r="G7382" i="19"/>
  <c r="G6372" i="19"/>
  <c r="G5124" i="19"/>
  <c r="G3038" i="19"/>
  <c r="G6668" i="19"/>
  <c r="G4209" i="19"/>
  <c r="G9913" i="19"/>
  <c r="G5377" i="19"/>
  <c r="G6846" i="19"/>
  <c r="G8902" i="19"/>
  <c r="G4227" i="19"/>
  <c r="G2266" i="19"/>
  <c r="G7286" i="19"/>
  <c r="G3808" i="19"/>
  <c r="G2105" i="19"/>
  <c r="G7112" i="19"/>
  <c r="G4169" i="19"/>
  <c r="G7654" i="19"/>
  <c r="G3767" i="19"/>
  <c r="G2049" i="19"/>
  <c r="G6487" i="19"/>
  <c r="G3400" i="19"/>
  <c r="G1904" i="19"/>
  <c r="G684" i="19"/>
  <c r="G6541" i="19"/>
  <c r="G3591" i="19"/>
  <c r="G2758" i="19"/>
  <c r="G2017" i="19"/>
  <c r="G1399" i="19"/>
  <c r="G779" i="19"/>
  <c r="G263" i="19"/>
  <c r="G6901" i="19"/>
  <c r="G5144" i="19"/>
  <c r="G3800" i="19"/>
  <c r="G2896" i="19"/>
  <c r="G2173" i="19"/>
  <c r="G1511" i="19"/>
  <c r="G921" i="19"/>
  <c r="G345" i="19"/>
  <c r="G5321" i="19"/>
  <c r="G3503" i="19"/>
  <c r="G2249" i="19"/>
  <c r="G1296" i="19"/>
  <c r="G490" i="19"/>
  <c r="G1308" i="19"/>
  <c r="G2624" i="19"/>
  <c r="G7110" i="19"/>
  <c r="G4478" i="19"/>
  <c r="G2925" i="19"/>
  <c r="G1880" i="19"/>
  <c r="G920" i="19"/>
  <c r="G258" i="19"/>
  <c r="G5918" i="19"/>
  <c r="G3815" i="19"/>
  <c r="G2577" i="19"/>
  <c r="G1532" i="19"/>
  <c r="G694" i="19"/>
  <c r="G1654" i="19"/>
  <c r="G123" i="19"/>
  <c r="G5921" i="19"/>
  <c r="G3859" i="19"/>
  <c r="G2608" i="19"/>
  <c r="G1551" i="19"/>
  <c r="G775" i="19"/>
  <c r="G171" i="19"/>
  <c r="G152" i="19"/>
  <c r="G5445" i="19"/>
  <c r="G3429" i="19"/>
  <c r="G1754" i="19"/>
  <c r="G2036" i="19"/>
  <c r="G9323" i="19"/>
  <c r="G9656" i="19"/>
  <c r="G9878" i="19"/>
  <c r="G8458" i="19"/>
  <c r="G7243" i="19"/>
  <c r="G8797" i="19"/>
  <c r="G6657" i="19"/>
  <c r="G9593" i="19"/>
  <c r="G8978" i="19"/>
  <c r="G5464" i="19"/>
  <c r="G7058" i="19"/>
  <c r="G4371" i="19"/>
  <c r="G9591" i="19"/>
  <c r="G4861" i="19"/>
  <c r="G6070" i="19"/>
  <c r="G6778" i="19"/>
  <c r="G5900" i="19"/>
  <c r="G4778" i="19"/>
  <c r="G2810" i="19"/>
  <c r="G6303" i="19"/>
  <c r="G3948" i="19"/>
  <c r="G8486" i="19"/>
  <c r="G5171" i="19"/>
  <c r="G6252" i="19"/>
  <c r="G7514" i="19"/>
  <c r="G3950" i="19"/>
  <c r="G2046" i="19"/>
  <c r="G6529" i="19"/>
  <c r="G3576" i="19"/>
  <c r="G1973" i="19"/>
  <c r="G6553" i="19"/>
  <c r="G3944" i="19"/>
  <c r="G6798" i="19"/>
  <c r="G3515" i="19"/>
  <c r="G1861" i="19"/>
  <c r="G5909" i="19"/>
  <c r="G3248" i="19"/>
  <c r="G1730" i="19"/>
  <c r="G552" i="19"/>
  <c r="G5997" i="19"/>
  <c r="G3359" i="19"/>
  <c r="G2550" i="19"/>
  <c r="G1845" i="19"/>
  <c r="G1239" i="19"/>
  <c r="G635" i="19"/>
  <c r="G119" i="19"/>
  <c r="G6526" i="19"/>
  <c r="G4728" i="19"/>
  <c r="G3569" i="19"/>
  <c r="G2686" i="19"/>
  <c r="G2029" i="19"/>
  <c r="G1339" i="19"/>
  <c r="G777" i="19"/>
  <c r="G8113" i="19"/>
  <c r="G4699" i="19"/>
  <c r="G3159" i="19"/>
  <c r="G1988" i="19"/>
  <c r="G1071" i="19"/>
  <c r="G303" i="19"/>
  <c r="G805" i="19"/>
  <c r="G994" i="19"/>
  <c r="G6178" i="19"/>
  <c r="G3959" i="19"/>
  <c r="G2609" i="19"/>
  <c r="G1640" i="19"/>
  <c r="G728" i="19"/>
  <c r="G86" i="19"/>
  <c r="G5468" i="19"/>
  <c r="G3467" i="19"/>
  <c r="G2290" i="19"/>
  <c r="G1272" i="19"/>
  <c r="G519" i="19"/>
  <c r="G2523" i="19"/>
  <c r="G5729" i="19"/>
  <c r="G5515" i="19"/>
  <c r="G3500" i="19"/>
  <c r="G2320" i="19"/>
  <c r="G1293" i="19"/>
  <c r="G745" i="19"/>
  <c r="G127" i="19"/>
  <c r="G80" i="19"/>
  <c r="G5195" i="19"/>
  <c r="G3371" i="19"/>
  <c r="G2932" i="19"/>
  <c r="G3370" i="19"/>
  <c r="G9167" i="19"/>
  <c r="G9470" i="19"/>
  <c r="G9652" i="19"/>
  <c r="G8288" i="19"/>
  <c r="G7087" i="19"/>
  <c r="G8594" i="19"/>
  <c r="G6501" i="19"/>
  <c r="G9147" i="19"/>
  <c r="G8606" i="19"/>
  <c r="G5308" i="19"/>
  <c r="G6866" i="19"/>
  <c r="G9654" i="19"/>
  <c r="G8820" i="19"/>
  <c r="G4675" i="19"/>
  <c r="G5882" i="19"/>
  <c r="G6555" i="19"/>
  <c r="G9943" i="19"/>
  <c r="G4726" i="19"/>
  <c r="G2798" i="19"/>
  <c r="G6282" i="19"/>
  <c r="G3935" i="19"/>
  <c r="G8430" i="19"/>
  <c r="G5015" i="19"/>
  <c r="G6221" i="19"/>
  <c r="G7418" i="19"/>
  <c r="G3932" i="19"/>
  <c r="G2034" i="19"/>
  <c r="G6500" i="19"/>
  <c r="G3562" i="19"/>
  <c r="G1877" i="19"/>
  <c r="G6490" i="19"/>
  <c r="G3899" i="19"/>
  <c r="G6750" i="19"/>
  <c r="G3498" i="19"/>
  <c r="G1847" i="19"/>
  <c r="G5831" i="19"/>
  <c r="G3112" i="19"/>
  <c r="G1716" i="19"/>
  <c r="G528" i="19"/>
  <c r="G5947" i="19"/>
  <c r="G3341" i="19"/>
  <c r="G2533" i="19"/>
  <c r="G1831" i="19"/>
  <c r="G1211" i="19"/>
  <c r="G623" i="19"/>
  <c r="G107" i="19"/>
  <c r="G6248" i="19"/>
  <c r="G4693" i="19"/>
  <c r="G3550" i="19"/>
  <c r="G2668" i="19"/>
  <c r="G1987" i="19"/>
  <c r="G1309" i="19"/>
  <c r="G765" i="19"/>
  <c r="G7394" i="19"/>
  <c r="G4646" i="19"/>
  <c r="G3127" i="19"/>
  <c r="G1967" i="19"/>
  <c r="G1037" i="19"/>
  <c r="G289" i="19"/>
  <c r="G772" i="19"/>
  <c r="G658" i="19"/>
  <c r="G6116" i="19"/>
  <c r="G3928" i="19"/>
  <c r="G2579" i="19"/>
  <c r="G1596" i="19"/>
  <c r="G713" i="19"/>
  <c r="G70" i="19"/>
  <c r="G5204" i="19"/>
  <c r="G3441" i="19"/>
  <c r="G2271" i="19"/>
  <c r="G1228" i="19"/>
  <c r="G486" i="19"/>
  <c r="G2287" i="19"/>
  <c r="G5604" i="19"/>
  <c r="G5208" i="19"/>
  <c r="G3468" i="19"/>
  <c r="G2293" i="19"/>
  <c r="G1273" i="19"/>
  <c r="G601" i="19"/>
  <c r="G41" i="19"/>
  <c r="G8214" i="19"/>
  <c r="G4724" i="19"/>
  <c r="G3292" i="19"/>
  <c r="G3057" i="19"/>
  <c r="G3512" i="19"/>
  <c r="G9155" i="19"/>
  <c r="G9456" i="19"/>
  <c r="G9636" i="19"/>
  <c r="G8274" i="19"/>
  <c r="G7075" i="19"/>
  <c r="G8579" i="19"/>
  <c r="G6489" i="19"/>
  <c r="G9118" i="19"/>
  <c r="G8574" i="19"/>
  <c r="G5296" i="19"/>
  <c r="G6852" i="19"/>
  <c r="G9610" i="19"/>
  <c r="G8780" i="19"/>
  <c r="G4661" i="19"/>
  <c r="G5868" i="19"/>
  <c r="G6540" i="19"/>
  <c r="G8810" i="19"/>
  <c r="G4710" i="19"/>
  <c r="G2762" i="19"/>
  <c r="G6181" i="19"/>
  <c r="G3921" i="19"/>
  <c r="G8316" i="19"/>
  <c r="G4999" i="19"/>
  <c r="G5962" i="19"/>
  <c r="G7374" i="19"/>
  <c r="G3871" i="19"/>
  <c r="G1986" i="19"/>
  <c r="G6466" i="19"/>
  <c r="G3520" i="19"/>
  <c r="G1853" i="19"/>
  <c r="G6239" i="19"/>
  <c r="G3866" i="19"/>
  <c r="G6589" i="19"/>
  <c r="G3479" i="19"/>
  <c r="G1819" i="19"/>
  <c r="G5790" i="19"/>
  <c r="G3093" i="19"/>
  <c r="G1644" i="19"/>
  <c r="G516" i="19"/>
  <c r="G5864" i="19"/>
  <c r="G3322" i="19"/>
  <c r="G2455" i="19"/>
  <c r="G1815" i="19"/>
  <c r="G1183" i="19"/>
  <c r="G611" i="19"/>
  <c r="G83" i="19"/>
  <c r="G6202" i="19"/>
  <c r="G4625" i="19"/>
  <c r="G3436" i="19"/>
  <c r="G2650" i="19"/>
  <c r="G1971" i="19"/>
  <c r="G1295" i="19"/>
  <c r="G741" i="19"/>
  <c r="G7311" i="19"/>
  <c r="G4593" i="19"/>
  <c r="G2955" i="19"/>
  <c r="G1944" i="19"/>
  <c r="G1019" i="19"/>
  <c r="G273" i="19"/>
  <c r="G661" i="19"/>
  <c r="G579" i="19"/>
  <c r="G6058" i="19"/>
  <c r="G3731" i="19"/>
  <c r="G2559" i="19"/>
  <c r="G1576" i="19"/>
  <c r="G698" i="19"/>
  <c r="G28" i="19"/>
  <c r="G5098" i="19"/>
  <c r="G3411" i="19"/>
  <c r="G2156" i="19"/>
  <c r="G1186" i="19"/>
  <c r="G471" i="19"/>
  <c r="G2023" i="19"/>
  <c r="G5342" i="19"/>
  <c r="G5161" i="19"/>
  <c r="G3442" i="19"/>
  <c r="G2181" i="19"/>
  <c r="G1249" i="19"/>
  <c r="G568" i="19"/>
  <c r="G27" i="19"/>
  <c r="G8025" i="19"/>
  <c r="G4679" i="19"/>
  <c r="G2911" i="19"/>
  <c r="G3197" i="19"/>
  <c r="G3656" i="19"/>
  <c r="G9143" i="19"/>
  <c r="G9440" i="19"/>
  <c r="G9618" i="19"/>
  <c r="G9997" i="19"/>
  <c r="G7063" i="19"/>
  <c r="G8561" i="19"/>
  <c r="G6477" i="19"/>
  <c r="G9089" i="19"/>
  <c r="G8547" i="19"/>
  <c r="G5284" i="19"/>
  <c r="G6838" i="19"/>
  <c r="G9558" i="19"/>
  <c r="G8735" i="19"/>
  <c r="G4645" i="19"/>
  <c r="G5854" i="19"/>
  <c r="G6524" i="19"/>
  <c r="G8559" i="19"/>
  <c r="G4520" i="19"/>
  <c r="G2750" i="19"/>
  <c r="G6145" i="19"/>
  <c r="G3908" i="19"/>
  <c r="G8260" i="19"/>
  <c r="G4965" i="19"/>
  <c r="G5933" i="19"/>
  <c r="G6959" i="19"/>
  <c r="G3854" i="19"/>
  <c r="G1962" i="19"/>
  <c r="G6437" i="19"/>
  <c r="G3504" i="19"/>
  <c r="G1841" i="19"/>
  <c r="G6211" i="19"/>
  <c r="G3776" i="19"/>
  <c r="G6547" i="19"/>
  <c r="G3440" i="19"/>
  <c r="G1789" i="19"/>
  <c r="G5756" i="19"/>
  <c r="G3076" i="19"/>
  <c r="G1630" i="19"/>
  <c r="G444" i="19"/>
  <c r="G5830" i="19"/>
  <c r="G3264" i="19"/>
  <c r="G2440" i="19"/>
  <c r="G1801" i="19"/>
  <c r="G1112" i="19"/>
  <c r="G587" i="19"/>
  <c r="G71" i="19"/>
  <c r="G6155" i="19"/>
  <c r="G4555" i="19"/>
  <c r="G3414" i="19"/>
  <c r="G2634" i="19"/>
  <c r="G1899" i="19"/>
  <c r="G1281" i="19"/>
  <c r="G729" i="19"/>
  <c r="G7217" i="19"/>
  <c r="G4493" i="19"/>
  <c r="G2927" i="19"/>
  <c r="G1923" i="19"/>
  <c r="G939" i="19"/>
  <c r="G259" i="19"/>
  <c r="G580" i="19"/>
  <c r="G531" i="19"/>
  <c r="G5922" i="19"/>
  <c r="G3701" i="19"/>
  <c r="G2508" i="19"/>
  <c r="G1448" i="19"/>
  <c r="G680" i="19"/>
  <c r="G14" i="19"/>
  <c r="G5052" i="19"/>
  <c r="G3353" i="19"/>
  <c r="G2136" i="19"/>
  <c r="G1162" i="19"/>
  <c r="G375" i="19"/>
  <c r="G1825" i="19"/>
  <c r="G5238" i="19"/>
  <c r="G5099" i="19"/>
  <c r="G3384" i="19"/>
  <c r="G2157" i="19"/>
  <c r="G1231" i="19"/>
  <c r="G535" i="19"/>
  <c r="G1504" i="19"/>
  <c r="G7593" i="19"/>
  <c r="G4615" i="19"/>
  <c r="G2832" i="19"/>
  <c r="G818" i="19"/>
  <c r="G9465" i="19"/>
  <c r="G9356" i="19"/>
  <c r="G8753" i="19"/>
  <c r="G8808" i="19"/>
  <c r="G7341" i="19"/>
  <c r="G6087" i="19"/>
  <c r="G7053" i="19"/>
  <c r="G5018" i="19"/>
  <c r="G6694" i="19"/>
  <c r="G2258" i="19"/>
  <c r="G3433" i="19"/>
  <c r="G4291" i="19"/>
  <c r="G5720" i="19"/>
  <c r="G1482" i="19"/>
  <c r="G2986" i="19"/>
  <c r="G5358" i="19"/>
  <c r="G5359" i="19"/>
  <c r="G1387" i="19"/>
  <c r="G2587" i="19"/>
  <c r="G132" i="19"/>
  <c r="G3150" i="19"/>
  <c r="G1759" i="19"/>
  <c r="G551" i="19"/>
  <c r="G6073" i="19"/>
  <c r="G3378" i="19"/>
  <c r="G1871" i="19"/>
  <c r="G645" i="19"/>
  <c r="G4201" i="19"/>
  <c r="G1837" i="19"/>
  <c r="G217" i="19"/>
  <c r="G165" i="19"/>
  <c r="G3643" i="19"/>
  <c r="G1404" i="19"/>
  <c r="G8240" i="19"/>
  <c r="G3153" i="19"/>
  <c r="G1103" i="19"/>
  <c r="G1375" i="19"/>
  <c r="G5000" i="19"/>
  <c r="G2095" i="19"/>
  <c r="G520" i="19"/>
  <c r="G7445" i="19"/>
  <c r="G2780" i="19"/>
  <c r="G1245" i="19"/>
  <c r="G8399" i="19"/>
  <c r="G5198" i="19"/>
  <c r="G3466" i="19"/>
  <c r="G2406" i="19"/>
  <c r="G1612" i="19"/>
  <c r="G854" i="19"/>
  <c r="G225" i="19"/>
  <c r="G6654" i="19"/>
  <c r="G4366" i="19"/>
  <c r="G3029" i="19"/>
  <c r="G2024" i="19"/>
  <c r="G4365" i="19"/>
  <c r="G6225" i="19"/>
  <c r="G6193" i="19"/>
  <c r="G2875" i="19"/>
  <c r="G847" i="19"/>
  <c r="G9536" i="19"/>
  <c r="G2537" i="19"/>
  <c r="G637" i="19"/>
  <c r="G4769" i="19"/>
  <c r="G1588" i="19"/>
  <c r="G7336" i="19"/>
  <c r="G2334" i="19"/>
  <c r="G3047" i="19"/>
  <c r="G811" i="19"/>
  <c r="G5028" i="19"/>
  <c r="G1010" i="19"/>
  <c r="G5489" i="19"/>
  <c r="G1108" i="19"/>
  <c r="G9405" i="19"/>
  <c r="G9253" i="19"/>
  <c r="G8675" i="19"/>
  <c r="G8702" i="19"/>
  <c r="G7262" i="19"/>
  <c r="G6027" i="19"/>
  <c r="G6955" i="19"/>
  <c r="G4946" i="19"/>
  <c r="G6623" i="19"/>
  <c r="G9486" i="19"/>
  <c r="G3397" i="19"/>
  <c r="G4277" i="19"/>
  <c r="G5695" i="19"/>
  <c r="G1470" i="19"/>
  <c r="G2958" i="19"/>
  <c r="G5335" i="19"/>
  <c r="G5186" i="19"/>
  <c r="G1357" i="19"/>
  <c r="G2567" i="19"/>
  <c r="G120" i="19"/>
  <c r="G3129" i="19"/>
  <c r="G1671" i="19"/>
  <c r="G539" i="19"/>
  <c r="G5983" i="19"/>
  <c r="G3356" i="19"/>
  <c r="G1857" i="19"/>
  <c r="G633" i="19"/>
  <c r="G4124" i="19"/>
  <c r="G1728" i="19"/>
  <c r="G201" i="19"/>
  <c r="G9679" i="19"/>
  <c r="G3617" i="19"/>
  <c r="G1380" i="19"/>
  <c r="G8091" i="19"/>
  <c r="G3123" i="19"/>
  <c r="G1015" i="19"/>
  <c r="G1307" i="19"/>
  <c r="G4893" i="19"/>
  <c r="G2071" i="19"/>
  <c r="G424" i="19"/>
  <c r="G6505" i="19"/>
  <c r="G2700" i="19"/>
  <c r="G1201" i="19"/>
  <c r="G7085" i="19"/>
  <c r="G5045" i="19"/>
  <c r="G3437" i="19"/>
  <c r="G2264" i="19"/>
  <c r="G1593" i="19"/>
  <c r="G836" i="19"/>
  <c r="G183" i="19"/>
  <c r="G6230" i="19"/>
  <c r="G4270" i="19"/>
  <c r="G3005" i="19"/>
  <c r="G1956" i="19"/>
  <c r="G3004" i="19"/>
  <c r="G5834" i="19"/>
  <c r="G6002" i="19"/>
  <c r="G2395" i="19"/>
  <c r="G8004" i="19"/>
  <c r="G6483" i="19"/>
  <c r="G2167" i="19"/>
  <c r="G557" i="19"/>
  <c r="G4470" i="19"/>
  <c r="G1537" i="19"/>
  <c r="G5762" i="19"/>
  <c r="G2210" i="19"/>
  <c r="G2967" i="19"/>
  <c r="G686" i="19"/>
  <c r="G7521" i="19"/>
  <c r="G1076" i="19"/>
  <c r="G5829" i="19"/>
  <c r="G9325" i="19"/>
  <c r="G4568" i="19"/>
  <c r="G9045" i="19"/>
  <c r="G8773" i="19"/>
  <c r="G8237" i="19"/>
  <c r="G8145" i="19"/>
  <c r="G6809" i="19"/>
  <c r="G5667" i="19"/>
  <c r="G6434" i="19"/>
  <c r="G4514" i="19"/>
  <c r="G6032" i="19"/>
  <c r="G8556" i="19"/>
  <c r="G3169" i="19"/>
  <c r="G4050" i="19"/>
  <c r="G5317" i="19"/>
  <c r="G1266" i="19"/>
  <c r="G2728" i="19"/>
  <c r="G4989" i="19"/>
  <c r="G4873" i="19"/>
  <c r="G1185" i="19"/>
  <c r="G2377" i="19"/>
  <c r="G9351" i="19"/>
  <c r="G2899" i="19"/>
  <c r="G1571" i="19"/>
  <c r="G395" i="19"/>
  <c r="G5558" i="19"/>
  <c r="G3126" i="19"/>
  <c r="G1683" i="19"/>
  <c r="G489" i="19"/>
  <c r="G3703" i="19"/>
  <c r="G1556" i="19"/>
  <c r="G29" i="19"/>
  <c r="G8844" i="19"/>
  <c r="G3271" i="19"/>
  <c r="G1121" i="19"/>
  <c r="G6751" i="19"/>
  <c r="G2783" i="19"/>
  <c r="G886" i="19"/>
  <c r="G802" i="19"/>
  <c r="G4333" i="19"/>
  <c r="G1811" i="19"/>
  <c r="G391" i="19"/>
  <c r="G6360" i="19"/>
  <c r="G2496" i="19"/>
  <c r="G1177" i="19"/>
  <c r="G6902" i="19"/>
  <c r="G4729" i="19"/>
  <c r="G3294" i="19"/>
  <c r="G2243" i="19"/>
  <c r="G1377" i="19"/>
  <c r="G788" i="19"/>
  <c r="G169" i="19"/>
  <c r="G5843" i="19"/>
  <c r="G4219" i="19"/>
  <c r="G2971" i="19"/>
  <c r="G1912" i="19"/>
  <c r="G1417" i="19"/>
  <c r="G8537" i="19"/>
  <c r="G5809" i="19"/>
  <c r="G2212" i="19"/>
  <c r="G7438" i="19"/>
  <c r="G6267" i="19"/>
  <c r="G2102" i="19"/>
  <c r="G221" i="19"/>
  <c r="G3684" i="19"/>
  <c r="G1196" i="19"/>
  <c r="G4753" i="19"/>
  <c r="G2099" i="19"/>
  <c r="G2823" i="19"/>
  <c r="G606" i="19"/>
  <c r="G148" i="19"/>
  <c r="G1215" i="19"/>
  <c r="G6194" i="19"/>
  <c r="G136" i="19"/>
  <c r="G9819" i="19"/>
  <c r="G8603" i="19"/>
  <c r="G8067" i="19"/>
  <c r="G7942" i="19"/>
  <c r="G6638" i="19"/>
  <c r="G5511" i="19"/>
  <c r="G6229" i="19"/>
  <c r="G4328" i="19"/>
  <c r="G6011" i="19"/>
  <c r="G8031" i="19"/>
  <c r="G3145" i="19"/>
  <c r="G4037" i="19"/>
  <c r="G5294" i="19"/>
  <c r="G1254" i="19"/>
  <c r="G2698" i="19"/>
  <c r="G4966" i="19"/>
  <c r="G4704" i="19"/>
  <c r="G1155" i="19"/>
  <c r="G2362" i="19"/>
  <c r="G9144" i="19"/>
  <c r="G2879" i="19"/>
  <c r="G1485" i="19"/>
  <c r="G383" i="19"/>
  <c r="G5455" i="19"/>
  <c r="G3107" i="19"/>
  <c r="G1655" i="19"/>
  <c r="G477" i="19"/>
  <c r="G3677" i="19"/>
  <c r="G1449" i="19"/>
  <c r="G15" i="19"/>
  <c r="G8466" i="19"/>
  <c r="G3239" i="19"/>
  <c r="G1105" i="19"/>
  <c r="G6672" i="19"/>
  <c r="G2763" i="19"/>
  <c r="G790" i="19"/>
  <c r="G786" i="19"/>
  <c r="G4238" i="19"/>
  <c r="G1791" i="19"/>
  <c r="G376" i="19"/>
  <c r="G6290" i="19"/>
  <c r="G2451" i="19"/>
  <c r="G1080" i="19"/>
  <c r="G6826" i="19"/>
  <c r="G4523" i="19"/>
  <c r="G3236" i="19"/>
  <c r="G2197" i="19"/>
  <c r="G1333" i="19"/>
  <c r="G692" i="19"/>
  <c r="G97" i="19"/>
  <c r="G5731" i="19"/>
  <c r="G3845" i="19"/>
  <c r="G2855" i="19"/>
  <c r="G1894" i="19"/>
  <c r="G483" i="19"/>
  <c r="G8009" i="19"/>
  <c r="G5649" i="19"/>
  <c r="G2122" i="19"/>
  <c r="G6017" i="19"/>
  <c r="G5770" i="19"/>
  <c r="G2054" i="19"/>
  <c r="G150" i="19"/>
  <c r="G3622" i="19"/>
  <c r="G1148" i="19"/>
  <c r="G4610" i="19"/>
  <c r="G6563" i="19"/>
  <c r="G2369" i="19"/>
  <c r="G414" i="19"/>
  <c r="G463" i="19"/>
  <c r="G1364" i="19"/>
  <c r="G7229" i="19"/>
  <c r="G9433" i="19"/>
  <c r="G177" i="19"/>
  <c r="G9805" i="19"/>
  <c r="G8590" i="19"/>
  <c r="G8054" i="19"/>
  <c r="G7926" i="19"/>
  <c r="G6625" i="19"/>
  <c r="G5499" i="19"/>
  <c r="G6215" i="19"/>
  <c r="G4314" i="19"/>
  <c r="G5993" i="19"/>
  <c r="G7992" i="19"/>
  <c r="G3133" i="19"/>
  <c r="G3972" i="19"/>
  <c r="G5249" i="19"/>
  <c r="G1146" i="19"/>
  <c r="G2656" i="19"/>
  <c r="G4942" i="19"/>
  <c r="G4667" i="19"/>
  <c r="G1141" i="19"/>
  <c r="G2347" i="19"/>
  <c r="G8972" i="19"/>
  <c r="G2862" i="19"/>
  <c r="G1471" i="19"/>
  <c r="G323" i="19"/>
  <c r="G5420" i="19"/>
  <c r="G3068" i="19"/>
  <c r="G1641" i="19"/>
  <c r="G465" i="19"/>
  <c r="G3645" i="19"/>
  <c r="G1426" i="19"/>
  <c r="G1524" i="19"/>
  <c r="G8244" i="19"/>
  <c r="G3155" i="19"/>
  <c r="G1089" i="19"/>
  <c r="G6518" i="19"/>
  <c r="G2733" i="19"/>
  <c r="G774" i="19"/>
  <c r="G546" i="19"/>
  <c r="G4195" i="19"/>
  <c r="G1749" i="19"/>
  <c r="G229" i="19"/>
  <c r="G6151" i="19"/>
  <c r="G2429" i="19"/>
  <c r="G850" i="19"/>
  <c r="G6658" i="19"/>
  <c r="G4368" i="19"/>
  <c r="G3207" i="19"/>
  <c r="G2174" i="19"/>
  <c r="G1310" i="19"/>
  <c r="G629" i="19"/>
  <c r="G67" i="19"/>
  <c r="G5660" i="19"/>
  <c r="G3777" i="19"/>
  <c r="G2731" i="19"/>
  <c r="G1784" i="19"/>
  <c r="G435" i="19"/>
  <c r="G5544" i="19"/>
  <c r="G5070" i="19"/>
  <c r="G2060" i="19"/>
  <c r="G4814" i="19"/>
  <c r="G5585" i="19"/>
  <c r="G1994" i="19"/>
  <c r="G88" i="19"/>
  <c r="G3250" i="19"/>
  <c r="G1043" i="19"/>
  <c r="G4453" i="19"/>
  <c r="G6062" i="19"/>
  <c r="G2303" i="19"/>
  <c r="G379" i="19"/>
  <c r="G523" i="19"/>
  <c r="G1969" i="19"/>
  <c r="G7970" i="19"/>
  <c r="G4588" i="19"/>
  <c r="G3886" i="19"/>
  <c r="G3909" i="19"/>
  <c r="G6883" i="19"/>
  <c r="G3291" i="19"/>
  <c r="G1433" i="19"/>
  <c r="G2883" i="19"/>
  <c r="G1256" i="19"/>
  <c r="G2392" i="19"/>
  <c r="G9546" i="19"/>
  <c r="G2580" i="19"/>
  <c r="G7021" i="19"/>
  <c r="G891" i="19"/>
  <c r="G222" i="19"/>
  <c r="G9790" i="19"/>
  <c r="G8577" i="19"/>
  <c r="G8041" i="19"/>
  <c r="G7909" i="19"/>
  <c r="G6612" i="19"/>
  <c r="G5487" i="19"/>
  <c r="G6201" i="19"/>
  <c r="G4298" i="19"/>
  <c r="G5974" i="19"/>
  <c r="G7941" i="19"/>
  <c r="G3013" i="19"/>
  <c r="G9762" i="19"/>
  <c r="G5226" i="19"/>
  <c r="G1134" i="19"/>
  <c r="G2640" i="19"/>
  <c r="G4921" i="19"/>
  <c r="G4597" i="19"/>
  <c r="G8840" i="19"/>
  <c r="G2314" i="19"/>
  <c r="G8836" i="19"/>
  <c r="G2844" i="19"/>
  <c r="G1455" i="19"/>
  <c r="G299" i="19"/>
  <c r="G5245" i="19"/>
  <c r="G3051" i="19"/>
  <c r="G1611" i="19"/>
  <c r="G453" i="19"/>
  <c r="G3619" i="19"/>
  <c r="G1405" i="19"/>
  <c r="G1480" i="19"/>
  <c r="G7493" i="19"/>
  <c r="G3125" i="19"/>
  <c r="G1053" i="19"/>
  <c r="G6457" i="19"/>
  <c r="G2709" i="19"/>
  <c r="G759" i="19"/>
  <c r="G466" i="19"/>
  <c r="G3957" i="19"/>
  <c r="G1725" i="19"/>
  <c r="G199" i="19"/>
  <c r="G6022" i="19"/>
  <c r="G2109" i="19"/>
  <c r="G723" i="19"/>
  <c r="G6581" i="19"/>
  <c r="G4111" i="19"/>
  <c r="G2919" i="19"/>
  <c r="G2111" i="19"/>
  <c r="G1268" i="19"/>
  <c r="G566" i="19"/>
  <c r="G53" i="19"/>
  <c r="G5613" i="19"/>
  <c r="G3753" i="19"/>
  <c r="G2625" i="19"/>
  <c r="G1740" i="19"/>
  <c r="G402" i="19"/>
  <c r="G5276" i="19"/>
  <c r="G4448" i="19"/>
  <c r="G1800" i="19"/>
  <c r="G4654" i="19"/>
  <c r="G4094" i="19"/>
  <c r="G1776" i="19"/>
  <c r="G49" i="19"/>
  <c r="G2721" i="19"/>
  <c r="G1003" i="19"/>
  <c r="G4182" i="19"/>
  <c r="G5654" i="19"/>
  <c r="G2014" i="19"/>
  <c r="G50" i="19"/>
  <c r="G620" i="19"/>
  <c r="G2140" i="19"/>
  <c r="G8790" i="19"/>
  <c r="G7888" i="19"/>
  <c r="G5694" i="19"/>
  <c r="G5417" i="19"/>
  <c r="G4997" i="19"/>
  <c r="G5360" i="19"/>
  <c r="G3316" i="19"/>
  <c r="G4771" i="19"/>
  <c r="G4908" i="19"/>
  <c r="G1085" i="19"/>
  <c r="G4349" i="19"/>
  <c r="G1237" i="19"/>
  <c r="G2871" i="19"/>
  <c r="G373" i="19"/>
  <c r="G319" i="19"/>
  <c r="G1502" i="19"/>
  <c r="G3081" i="19"/>
  <c r="G2521" i="19"/>
  <c r="G1055" i="19"/>
  <c r="G3984" i="19"/>
  <c r="G3366" i="19"/>
  <c r="G151" i="19"/>
  <c r="G2382" i="19"/>
  <c r="G4937" i="19"/>
  <c r="G452" i="19"/>
  <c r="G1828" i="19"/>
  <c r="G3955" i="19"/>
  <c r="G109" i="19"/>
  <c r="G4028" i="19"/>
  <c r="G985" i="19"/>
  <c r="G6754" i="19"/>
  <c r="G1810" i="19"/>
  <c r="G425" i="19"/>
  <c r="G4850" i="19"/>
  <c r="G874" i="19"/>
  <c r="G969" i="19"/>
  <c r="G3990" i="19"/>
  <c r="G2133" i="19"/>
  <c r="G1047" i="19"/>
  <c r="G2864" i="19"/>
  <c r="G4785" i="19"/>
  <c r="G4490" i="19"/>
  <c r="G3614" i="19"/>
  <c r="G7947" i="19"/>
  <c r="G4528" i="19"/>
  <c r="G8450" i="19"/>
  <c r="G1708" i="19"/>
  <c r="G524" i="19"/>
  <c r="G1451" i="19"/>
  <c r="G2349" i="19"/>
  <c r="G106" i="19"/>
  <c r="G1562" i="19"/>
  <c r="G3454" i="19"/>
  <c r="G2591" i="19"/>
  <c r="G1200" i="19"/>
  <c r="G4340" i="19"/>
  <c r="G3712" i="19"/>
  <c r="G237" i="19"/>
  <c r="G2404" i="19"/>
  <c r="G5402" i="19"/>
  <c r="G470" i="19"/>
  <c r="G1895" i="19"/>
  <c r="G4032" i="19"/>
  <c r="G137" i="19"/>
  <c r="G4308" i="19"/>
  <c r="G1052" i="19"/>
  <c r="G8092" i="19"/>
  <c r="G2068" i="19"/>
  <c r="G617" i="19"/>
  <c r="G5472" i="19"/>
  <c r="G2439" i="19"/>
  <c r="G1044" i="19"/>
  <c r="G4316" i="19"/>
  <c r="G2147" i="19"/>
  <c r="G1060" i="19"/>
  <c r="G3070" i="19"/>
  <c r="G4808" i="19"/>
  <c r="G4953" i="19"/>
  <c r="G3626" i="19"/>
  <c r="G8376" i="19"/>
  <c r="G9434" i="19"/>
  <c r="G8464" i="19"/>
  <c r="G3519" i="19"/>
  <c r="G733" i="19"/>
  <c r="G1622" i="19"/>
  <c r="G3864" i="19"/>
  <c r="G2663" i="19"/>
  <c r="G1478" i="19"/>
  <c r="G4505" i="19"/>
  <c r="G4020" i="19"/>
  <c r="G370" i="19"/>
  <c r="G2524" i="19"/>
  <c r="G5446" i="19"/>
  <c r="G485" i="19"/>
  <c r="G2088" i="19"/>
  <c r="G4072" i="19"/>
  <c r="G223" i="19"/>
  <c r="G4571" i="19"/>
  <c r="G1163" i="19"/>
  <c r="G8465" i="19"/>
  <c r="G2092" i="19"/>
  <c r="G632" i="19"/>
  <c r="G5516" i="19"/>
  <c r="G2464" i="19"/>
  <c r="G1057" i="19"/>
  <c r="G7454" i="19"/>
  <c r="G2175" i="19"/>
  <c r="G1226" i="19"/>
  <c r="G3084" i="19"/>
  <c r="G4878" i="19"/>
  <c r="G6280" i="19"/>
  <c r="G3650" i="19"/>
  <c r="G3826" i="19"/>
  <c r="G9475" i="19"/>
  <c r="G8661" i="19"/>
  <c r="G2885" i="19"/>
  <c r="G8007" i="19"/>
  <c r="G3046" i="19"/>
  <c r="G1131" i="19"/>
  <c r="G74" i="19"/>
  <c r="G4295" i="19"/>
  <c r="G337" i="19"/>
  <c r="G1391" i="19"/>
  <c r="G2751" i="19"/>
  <c r="G4402" i="19"/>
  <c r="G2275" i="19"/>
  <c r="G3973" i="19"/>
  <c r="G8474" i="19"/>
  <c r="G1093" i="19"/>
  <c r="G2466" i="19"/>
  <c r="G4338" i="19"/>
  <c r="G9228" i="19"/>
  <c r="G670" i="19"/>
  <c r="G1823" i="19"/>
  <c r="G3104" i="19"/>
  <c r="G6006" i="19"/>
  <c r="G4216" i="19"/>
  <c r="G812" i="19"/>
  <c r="G1753" i="19"/>
  <c r="G3140" i="19"/>
  <c r="G5183" i="19"/>
  <c r="G4088" i="19"/>
  <c r="G9262" i="19"/>
  <c r="G339" i="19"/>
  <c r="G182" i="19"/>
  <c r="G1764" i="19"/>
  <c r="G2336" i="19"/>
  <c r="G2913" i="19"/>
  <c r="G3489" i="19"/>
  <c r="G4313" i="19"/>
  <c r="G5557" i="19"/>
  <c r="G7173" i="19"/>
  <c r="G81" i="19"/>
  <c r="G437" i="19"/>
  <c r="G806" i="19"/>
  <c r="G1118" i="19"/>
  <c r="G1635" i="19"/>
  <c r="G2155" i="19"/>
  <c r="G2705" i="19"/>
  <c r="G3263" i="19"/>
  <c r="G3991" i="19"/>
  <c r="G5097" i="19"/>
  <c r="G6167" i="19"/>
  <c r="G8835" i="19"/>
  <c r="G1045" i="19"/>
  <c r="G1893" i="19"/>
  <c r="G2477" i="19"/>
  <c r="G3406" i="19"/>
  <c r="G4409" i="19"/>
  <c r="G5554" i="19"/>
  <c r="G7717" i="19"/>
  <c r="G949" i="19"/>
  <c r="G113" i="19"/>
  <c r="G409" i="19"/>
  <c r="G793" i="19"/>
  <c r="G1187" i="19"/>
  <c r="G1619" i="19"/>
  <c r="G2137" i="19"/>
  <c r="G2710" i="19"/>
  <c r="G3328" i="19"/>
  <c r="G3927" i="19"/>
  <c r="G5057" i="19"/>
  <c r="G6380" i="19"/>
  <c r="G8638" i="19"/>
  <c r="G387" i="19"/>
  <c r="G1695" i="19"/>
  <c r="G82" i="19"/>
  <c r="G358" i="19"/>
  <c r="G742" i="19"/>
  <c r="G1119" i="19"/>
  <c r="G1574" i="19"/>
  <c r="G2112" i="19"/>
  <c r="G2681" i="19"/>
  <c r="G3327" i="19"/>
  <c r="G3889" i="19"/>
  <c r="G4998" i="19"/>
  <c r="G6316" i="19"/>
  <c r="G8459" i="19"/>
  <c r="G286" i="19"/>
  <c r="G665" i="19"/>
  <c r="G1036" i="19"/>
  <c r="G1424" i="19"/>
  <c r="G1942" i="19"/>
  <c r="G2460" i="19"/>
  <c r="G2983" i="19"/>
  <c r="G3675" i="19"/>
  <c r="G4642" i="19"/>
  <c r="G5861" i="19"/>
  <c r="G7308" i="19"/>
  <c r="G281" i="19"/>
  <c r="G4471" i="19"/>
  <c r="G421" i="19"/>
  <c r="G1418" i="19"/>
  <c r="G245" i="19"/>
  <c r="G603" i="19"/>
  <c r="G922" i="19"/>
  <c r="G1382" i="19"/>
  <c r="G1858" i="19"/>
  <c r="G2297" i="19"/>
  <c r="G2897" i="19"/>
  <c r="G3587" i="19"/>
  <c r="G4438" i="19"/>
  <c r="G5474" i="19"/>
  <c r="G7114" i="19"/>
  <c r="G429" i="19"/>
  <c r="G657" i="19"/>
  <c r="G945" i="19"/>
  <c r="G1267" i="19"/>
  <c r="G1597" i="19"/>
  <c r="G1885" i="19"/>
  <c r="G2232" i="19"/>
  <c r="G2600" i="19"/>
  <c r="G2935" i="19"/>
  <c r="G3395" i="19"/>
  <c r="G3867" i="19"/>
  <c r="G4522" i="19"/>
  <c r="G5214" i="19"/>
  <c r="G6117" i="19"/>
  <c r="G7330" i="19"/>
  <c r="G9823" i="19"/>
  <c r="G287" i="19"/>
  <c r="G575" i="19"/>
  <c r="G851" i="19"/>
  <c r="G1099" i="19"/>
  <c r="G1441" i="19"/>
  <c r="G1773" i="19"/>
  <c r="G2047" i="19"/>
  <c r="G2407" i="19"/>
  <c r="G2808" i="19"/>
  <c r="G3245" i="19"/>
  <c r="G3629" i="19"/>
  <c r="G4178" i="19"/>
  <c r="G4940" i="19"/>
  <c r="G5634" i="19"/>
  <c r="G6684" i="19"/>
  <c r="G8669" i="19"/>
  <c r="G192" i="19"/>
  <c r="G432" i="19"/>
  <c r="G720" i="19"/>
  <c r="G996" i="19"/>
  <c r="G1270" i="19"/>
  <c r="G1616" i="19"/>
  <c r="G1960" i="19"/>
  <c r="G2299" i="19"/>
  <c r="G2603" i="19"/>
  <c r="G3054" i="19"/>
  <c r="G3536" i="19"/>
  <c r="G3993" i="19"/>
  <c r="G4801" i="19"/>
  <c r="G5713" i="19"/>
  <c r="G6854" i="19"/>
  <c r="G8670" i="19"/>
  <c r="G1401" i="19"/>
  <c r="G1761" i="19"/>
  <c r="G2077" i="19"/>
  <c r="G2472" i="19"/>
  <c r="G2922" i="19"/>
  <c r="G3423" i="19"/>
  <c r="G3807" i="19"/>
  <c r="G4529" i="19"/>
  <c r="G5429" i="19"/>
  <c r="G6263" i="19"/>
  <c r="G7967" i="19"/>
  <c r="G3056" i="19"/>
  <c r="G3416" i="19"/>
  <c r="G3762" i="19"/>
  <c r="G4221" i="19"/>
  <c r="G4872" i="19"/>
  <c r="G5382" i="19"/>
  <c r="G6180" i="19"/>
  <c r="G7281" i="19"/>
  <c r="G1133" i="19"/>
  <c r="G1445" i="19"/>
  <c r="G1829" i="19"/>
  <c r="G2201" i="19"/>
  <c r="G2540" i="19"/>
  <c r="G3000" i="19"/>
  <c r="G3448" i="19"/>
  <c r="G3980" i="19"/>
  <c r="G4532" i="19"/>
  <c r="G5386" i="19"/>
  <c r="G6313" i="19"/>
  <c r="G7416" i="19"/>
  <c r="G1110" i="19"/>
  <c r="G1518" i="19"/>
  <c r="G1950" i="19"/>
  <c r="G2292" i="19"/>
  <c r="G2801" i="19"/>
  <c r="G3305" i="19"/>
  <c r="G3723" i="19"/>
  <c r="G4326" i="19"/>
  <c r="G5111" i="19"/>
  <c r="G5987" i="19"/>
  <c r="G6923" i="19"/>
  <c r="G9550" i="19"/>
  <c r="G4352" i="19"/>
  <c r="G5023" i="19"/>
  <c r="G5878" i="19"/>
  <c r="G6961" i="19"/>
  <c r="G9594" i="19"/>
  <c r="G4307" i="19"/>
  <c r="G4945" i="19"/>
  <c r="G5551" i="19"/>
  <c r="G6121" i="19"/>
  <c r="G6905" i="19"/>
  <c r="G8073" i="19"/>
  <c r="G2665" i="19"/>
  <c r="G3001" i="19"/>
  <c r="G3445" i="19"/>
  <c r="G3869" i="19"/>
  <c r="G4250" i="19"/>
  <c r="G4865" i="19"/>
  <c r="G5449" i="19"/>
  <c r="G6125" i="19"/>
  <c r="G6737" i="19"/>
  <c r="G7900" i="19"/>
  <c r="G2282" i="19"/>
  <c r="G2630" i="19"/>
  <c r="G3098" i="19"/>
  <c r="G3542" i="19"/>
  <c r="G4053" i="19"/>
  <c r="G4502" i="19"/>
  <c r="G5228" i="19"/>
  <c r="G5916" i="19"/>
  <c r="G6719" i="19"/>
  <c r="G8438" i="19"/>
  <c r="G6456" i="19"/>
  <c r="G7854" i="19"/>
  <c r="G5708" i="19"/>
  <c r="G6492" i="19"/>
  <c r="G7523" i="19"/>
  <c r="G9867" i="19"/>
  <c r="G5034" i="19"/>
  <c r="G5826" i="19"/>
  <c r="G6626" i="19"/>
  <c r="G7823" i="19"/>
  <c r="G3898" i="19"/>
  <c r="G4617" i="19"/>
  <c r="G5381" i="19"/>
  <c r="G6173" i="19"/>
  <c r="G7077" i="19"/>
  <c r="G8651" i="19"/>
  <c r="G8494" i="19"/>
  <c r="G6978" i="19"/>
  <c r="G7908" i="19"/>
  <c r="G9463" i="19"/>
  <c r="G4803" i="19"/>
  <c r="G5463" i="19"/>
  <c r="G6099" i="19"/>
  <c r="G6808" i="19"/>
  <c r="G7664" i="19"/>
  <c r="G8976" i="19"/>
  <c r="G4600" i="19"/>
  <c r="G5260" i="19"/>
  <c r="G5896" i="19"/>
  <c r="G6586" i="19"/>
  <c r="G7356" i="19"/>
  <c r="G8498" i="19"/>
  <c r="G7853" i="19"/>
  <c r="G9339" i="19"/>
  <c r="G7985" i="19"/>
  <c r="G9033" i="19"/>
  <c r="G7108" i="19"/>
  <c r="G7878" i="19"/>
  <c r="G8829" i="19"/>
  <c r="G6453" i="19"/>
  <c r="G7096" i="19"/>
  <c r="G7864" i="19"/>
  <c r="G8809" i="19"/>
  <c r="G8532" i="19"/>
  <c r="G9578" i="19"/>
  <c r="G8015" i="19"/>
  <c r="G8769" i="19"/>
  <c r="G7039" i="19"/>
  <c r="G7676" i="19"/>
  <c r="G8408" i="19"/>
  <c r="G9350" i="19"/>
  <c r="G9955" i="19"/>
  <c r="G8937" i="19"/>
  <c r="G8550" i="19"/>
  <c r="G9378" i="19"/>
  <c r="G9582" i="19"/>
  <c r="G8011" i="19"/>
  <c r="G8671" i="19"/>
  <c r="G9449" i="19"/>
  <c r="G9412" i="19"/>
  <c r="G8977" i="19"/>
  <c r="G9761" i="19"/>
  <c r="G9477" i="19"/>
  <c r="G9119" i="19"/>
  <c r="G9755" i="19"/>
  <c r="G1581" i="19"/>
  <c r="G2775" i="19"/>
  <c r="G3941" i="19"/>
  <c r="G7678" i="19"/>
  <c r="G306" i="19"/>
  <c r="G764" i="19"/>
  <c r="G3451" i="19"/>
  <c r="G5886" i="19"/>
  <c r="G162" i="19"/>
  <c r="G5170" i="19"/>
  <c r="G2055" i="19"/>
  <c r="G622" i="19"/>
  <c r="G415" i="19"/>
  <c r="G988" i="19"/>
  <c r="G766" i="19"/>
  <c r="G1953" i="19"/>
  <c r="G3196" i="19"/>
  <c r="G6331" i="19"/>
  <c r="G2933" i="19"/>
  <c r="G4917" i="19"/>
  <c r="G434" i="19"/>
  <c r="G1711" i="19"/>
  <c r="G3164" i="19"/>
  <c r="G5231" i="19"/>
  <c r="G189" i="19"/>
  <c r="G1094" i="19"/>
  <c r="G2229" i="19"/>
  <c r="G3977" i="19"/>
  <c r="G3105" i="19"/>
  <c r="G5814" i="19"/>
  <c r="G1042" i="19"/>
  <c r="G2276" i="19"/>
  <c r="G3772" i="19"/>
  <c r="G6412" i="19"/>
  <c r="G5438" i="19"/>
  <c r="G7592" i="19"/>
  <c r="G1116" i="19"/>
  <c r="G676" i="19"/>
  <c r="G2000" i="19"/>
  <c r="G2547" i="19"/>
  <c r="G3087" i="19"/>
  <c r="G3813" i="19"/>
  <c r="G4886" i="19"/>
  <c r="G6152" i="19"/>
  <c r="G8026" i="19"/>
  <c r="G241" i="19"/>
  <c r="G596" i="19"/>
  <c r="G902" i="19"/>
  <c r="G1354" i="19"/>
  <c r="G1872" i="19"/>
  <c r="G2385" i="19"/>
  <c r="G2890" i="19"/>
  <c r="G3582" i="19"/>
  <c r="G4423" i="19"/>
  <c r="G5406" i="19"/>
  <c r="G6998" i="19"/>
  <c r="G209" i="19"/>
  <c r="G1461" i="19"/>
  <c r="G2085" i="19"/>
  <c r="G2888" i="19"/>
  <c r="G3775" i="19"/>
  <c r="G4781" i="19"/>
  <c r="G6423" i="19"/>
  <c r="G310" i="19"/>
  <c r="G1438" i="19"/>
  <c r="G213" i="19"/>
  <c r="G583" i="19"/>
  <c r="G952" i="19"/>
  <c r="G1317" i="19"/>
  <c r="G1835" i="19"/>
  <c r="G2365" i="19"/>
  <c r="G2950" i="19"/>
  <c r="G3526" i="19"/>
  <c r="G4378" i="19"/>
  <c r="G5577" i="19"/>
  <c r="G6928" i="19"/>
  <c r="G5963" i="19"/>
  <c r="G898" i="19"/>
  <c r="G4218" i="19"/>
  <c r="G170" i="19"/>
  <c r="G534" i="19"/>
  <c r="G903" i="19"/>
  <c r="G1292" i="19"/>
  <c r="G1834" i="19"/>
  <c r="G2364" i="19"/>
  <c r="G2949" i="19"/>
  <c r="G3499" i="19"/>
  <c r="G4332" i="19"/>
  <c r="G5514" i="19"/>
  <c r="G6827" i="19"/>
  <c r="G100" i="19"/>
  <c r="G458" i="19"/>
  <c r="G824" i="19"/>
  <c r="G1144" i="19"/>
  <c r="G1664" i="19"/>
  <c r="G2158" i="19"/>
  <c r="G2633" i="19"/>
  <c r="G3297" i="19"/>
  <c r="G4041" i="19"/>
  <c r="G5166" i="19"/>
  <c r="G6236" i="19"/>
  <c r="G9073" i="19"/>
  <c r="G1097" i="19"/>
  <c r="G66" i="19"/>
  <c r="G853" i="19"/>
  <c r="G57" i="19"/>
  <c r="G394" i="19"/>
  <c r="G699" i="19"/>
  <c r="G1090" i="19"/>
  <c r="G1579" i="19"/>
  <c r="G2011" i="19"/>
  <c r="G2560" i="19"/>
  <c r="G3215" i="19"/>
  <c r="G3893" i="19"/>
  <c r="G4799" i="19"/>
  <c r="G6118" i="19"/>
  <c r="G8282" i="19"/>
  <c r="G501" i="19"/>
  <c r="G789" i="19"/>
  <c r="G1083" i="19"/>
  <c r="G1411" i="19"/>
  <c r="G1699" i="19"/>
  <c r="G2043" i="19"/>
  <c r="G2389" i="19"/>
  <c r="G2704" i="19"/>
  <c r="G3148" i="19"/>
  <c r="G3608" i="19"/>
  <c r="G4120" i="19"/>
  <c r="G4763" i="19"/>
  <c r="G5591" i="19"/>
  <c r="G6577" i="19"/>
  <c r="G7836" i="19"/>
  <c r="G131" i="19"/>
  <c r="G419" i="19"/>
  <c r="G695" i="19"/>
  <c r="G935" i="19"/>
  <c r="G1255" i="19"/>
  <c r="G1585" i="19"/>
  <c r="G1859" i="19"/>
  <c r="G2205" i="19"/>
  <c r="G2586" i="19"/>
  <c r="G2995" i="19"/>
  <c r="G3380" i="19"/>
  <c r="G3848" i="19"/>
  <c r="G4494" i="19"/>
  <c r="G5146" i="19"/>
  <c r="G6035" i="19"/>
  <c r="G7273" i="19"/>
  <c r="G36" i="19"/>
  <c r="G276" i="19"/>
  <c r="G564" i="19"/>
  <c r="G840" i="19"/>
  <c r="G1087" i="19"/>
  <c r="G1428" i="19"/>
  <c r="G1774" i="19"/>
  <c r="G2090" i="19"/>
  <c r="G2393" i="19"/>
  <c r="G2793" i="19"/>
  <c r="G3267" i="19"/>
  <c r="G3688" i="19"/>
  <c r="G4319" i="19"/>
  <c r="G5217" i="19"/>
  <c r="G6174" i="19"/>
  <c r="G7275" i="19"/>
  <c r="G1199" i="19"/>
  <c r="G1559" i="19"/>
  <c r="G1875" i="19"/>
  <c r="G2254" i="19"/>
  <c r="G2674" i="19"/>
  <c r="G3135" i="19"/>
  <c r="G3537" i="19"/>
  <c r="G4100" i="19"/>
  <c r="G4910" i="19"/>
  <c r="G5677" i="19"/>
  <c r="G6859" i="19"/>
  <c r="G9901" i="19"/>
  <c r="G3214" i="19"/>
  <c r="G3516" i="19"/>
  <c r="G3960" i="19"/>
  <c r="G4482" i="19"/>
  <c r="G5036" i="19"/>
  <c r="G5714" i="19"/>
  <c r="G6618" i="19"/>
  <c r="G8030" i="19"/>
  <c r="G1229" i="19"/>
  <c r="G1637" i="19"/>
  <c r="G1985" i="19"/>
  <c r="G2304" i="19"/>
  <c r="G2756" i="19"/>
  <c r="G3216" i="19"/>
  <c r="G3692" i="19"/>
  <c r="G4173" i="19"/>
  <c r="G4970" i="19"/>
  <c r="G5746" i="19"/>
  <c r="G6564" i="19"/>
  <c r="G8428" i="19"/>
  <c r="G1302" i="19"/>
  <c r="G1722" i="19"/>
  <c r="G2082" i="19"/>
  <c r="G2541" i="19"/>
  <c r="G3003" i="19"/>
  <c r="G3419" i="19"/>
  <c r="G3965" i="19"/>
  <c r="G4718" i="19"/>
  <c r="G5527" i="19"/>
  <c r="G6314" i="19"/>
  <c r="G7775" i="19"/>
  <c r="G3966" i="19"/>
  <c r="G4511" i="19"/>
  <c r="G5369" i="19"/>
  <c r="G6344" i="19"/>
  <c r="G7776" i="19"/>
  <c r="G4076" i="19"/>
  <c r="G4637" i="19"/>
  <c r="G5205" i="19"/>
  <c r="G5700" i="19"/>
  <c r="G6425" i="19"/>
  <c r="G7346" i="19"/>
  <c r="G9075" i="19"/>
  <c r="G2785" i="19"/>
  <c r="G3217" i="19"/>
  <c r="G3613" i="19"/>
  <c r="G3974" i="19"/>
  <c r="G4519" i="19"/>
  <c r="G5157" i="19"/>
  <c r="G5779" i="19"/>
  <c r="G6346" i="19"/>
  <c r="G7209" i="19"/>
  <c r="G8622" i="19"/>
  <c r="G2366" i="19"/>
  <c r="G2822" i="19"/>
  <c r="G3326" i="19"/>
  <c r="G3782" i="19"/>
  <c r="G4211" i="19"/>
  <c r="G4866" i="19"/>
  <c r="G5486" i="19"/>
  <c r="G6107" i="19"/>
  <c r="G7297" i="19"/>
  <c r="G5975" i="19"/>
  <c r="G7020" i="19"/>
  <c r="G8565" i="19"/>
  <c r="G6110" i="19"/>
  <c r="G6891" i="19"/>
  <c r="G8228" i="19"/>
  <c r="G4602" i="19"/>
  <c r="G5364" i="19"/>
  <c r="G6156" i="19"/>
  <c r="G7052" i="19"/>
  <c r="G8610" i="19"/>
  <c r="G4174" i="19"/>
  <c r="G4949" i="19"/>
  <c r="G5711" i="19"/>
  <c r="G6528" i="19"/>
  <c r="G7581" i="19"/>
  <c r="G7535" i="19"/>
  <c r="G9736" i="19"/>
  <c r="G7337" i="19"/>
  <c r="G8414" i="19"/>
  <c r="G4443" i="19"/>
  <c r="G5079" i="19"/>
  <c r="G5739" i="19"/>
  <c r="G6388" i="19"/>
  <c r="G7152" i="19"/>
  <c r="G8141" i="19"/>
  <c r="G4240" i="19"/>
  <c r="G4876" i="19"/>
  <c r="G5536" i="19"/>
  <c r="G6172" i="19"/>
  <c r="G6895" i="19"/>
  <c r="G7789" i="19"/>
  <c r="G9206" i="19"/>
  <c r="G8351" i="19"/>
  <c r="G7527" i="19"/>
  <c r="G8362" i="19"/>
  <c r="G9817" i="19"/>
  <c r="G7409" i="19"/>
  <c r="G8241" i="19"/>
  <c r="G9488" i="19"/>
  <c r="G6729" i="19"/>
  <c r="G7397" i="19"/>
  <c r="G8226" i="19"/>
  <c r="G9454" i="19"/>
  <c r="G8898" i="19"/>
  <c r="G7602" i="19"/>
  <c r="G8320" i="19"/>
  <c r="G9198" i="19"/>
  <c r="G7315" i="19"/>
  <c r="G7977" i="19"/>
  <c r="G8754" i="19"/>
  <c r="G9989" i="19"/>
  <c r="G8536" i="19"/>
  <c r="G9355" i="19"/>
  <c r="G8853" i="19"/>
  <c r="G9855" i="19"/>
  <c r="G9980" i="19"/>
  <c r="G8287" i="19"/>
  <c r="G8957" i="19"/>
  <c r="G9846" i="19"/>
  <c r="G9744" i="19"/>
  <c r="G9301" i="19"/>
  <c r="G9117" i="19"/>
  <c r="G9753" i="19"/>
  <c r="G9395" i="19"/>
  <c r="G6616" i="19"/>
  <c r="G5657" i="19"/>
  <c r="G943" i="19"/>
  <c r="G1564" i="19"/>
  <c r="G2469" i="19"/>
  <c r="G3509" i="19"/>
  <c r="G2748" i="19"/>
  <c r="G1304" i="19"/>
  <c r="G2144" i="19"/>
  <c r="G3048" i="19"/>
  <c r="G1447" i="19"/>
  <c r="G1879" i="19"/>
  <c r="G2413" i="19"/>
  <c r="G2982" i="19"/>
  <c r="G3558" i="19"/>
  <c r="G4435" i="19"/>
  <c r="G5687" i="19"/>
  <c r="G7386" i="19"/>
  <c r="G6021" i="19"/>
  <c r="G930" i="19"/>
  <c r="G6093" i="19"/>
  <c r="G184" i="19"/>
  <c r="G550" i="19"/>
  <c r="G934" i="19"/>
  <c r="G1402" i="19"/>
  <c r="G1852" i="19"/>
  <c r="G2386" i="19"/>
  <c r="G2981" i="19"/>
  <c r="G3525" i="19"/>
  <c r="G4376" i="19"/>
  <c r="G5621" i="19"/>
  <c r="G7299" i="19"/>
  <c r="G114" i="19"/>
  <c r="G473" i="19"/>
  <c r="G842" i="19"/>
  <c r="G1164" i="19"/>
  <c r="G1682" i="19"/>
  <c r="G2200" i="19"/>
  <c r="G2765" i="19"/>
  <c r="G3329" i="19"/>
  <c r="G4082" i="19"/>
  <c r="G5213" i="19"/>
  <c r="G6318" i="19"/>
  <c r="G9458" i="19"/>
  <c r="G1437" i="19"/>
  <c r="G196" i="19"/>
  <c r="G883" i="19"/>
  <c r="G73" i="19"/>
  <c r="G411" i="19"/>
  <c r="G730" i="19"/>
  <c r="G1124" i="19"/>
  <c r="G1642" i="19"/>
  <c r="G2116" i="19"/>
  <c r="G2583" i="19"/>
  <c r="G3243" i="19"/>
  <c r="G3930" i="19"/>
  <c r="G4854" i="19"/>
  <c r="G6189" i="19"/>
  <c r="G8890" i="19"/>
  <c r="G573" i="19"/>
  <c r="G801" i="19"/>
  <c r="G1096" i="19"/>
  <c r="G1425" i="19"/>
  <c r="G1713" i="19"/>
  <c r="G2059" i="19"/>
  <c r="G2420" i="19"/>
  <c r="G2806" i="19"/>
  <c r="G3165" i="19"/>
  <c r="G3627" i="19"/>
  <c r="G4147" i="19"/>
  <c r="G4798" i="19"/>
  <c r="G5630" i="19"/>
  <c r="G6682" i="19"/>
  <c r="G8511" i="19"/>
  <c r="G143" i="19"/>
  <c r="G431" i="19"/>
  <c r="G707" i="19"/>
  <c r="G947" i="19"/>
  <c r="G1269" i="19"/>
  <c r="G1615" i="19"/>
  <c r="G1945" i="19"/>
  <c r="G2219" i="19"/>
  <c r="G2602" i="19"/>
  <c r="G3015" i="19"/>
  <c r="G3399" i="19"/>
  <c r="G3875" i="19"/>
  <c r="G4562" i="19"/>
  <c r="G5354" i="19"/>
  <c r="G6119" i="19"/>
  <c r="G7395" i="19"/>
  <c r="G48" i="19"/>
  <c r="G288" i="19"/>
  <c r="G576" i="19"/>
  <c r="G864" i="19"/>
  <c r="G1154" i="19"/>
  <c r="G1442" i="19"/>
  <c r="G1788" i="19"/>
  <c r="G2120" i="19"/>
  <c r="G2408" i="19"/>
  <c r="G2811" i="19"/>
  <c r="G3306" i="19"/>
  <c r="G3785" i="19"/>
  <c r="G4355" i="19"/>
  <c r="G5255" i="19"/>
  <c r="G6210" i="19"/>
  <c r="G7342" i="19"/>
  <c r="G1213" i="19"/>
  <c r="G1587" i="19"/>
  <c r="G1947" i="19"/>
  <c r="G2269" i="19"/>
  <c r="G2692" i="19"/>
  <c r="G3152" i="19"/>
  <c r="G3556" i="19"/>
  <c r="G4128" i="19"/>
  <c r="G5013" i="19"/>
  <c r="G5914" i="19"/>
  <c r="G6918" i="19"/>
  <c r="G2868" i="19"/>
  <c r="G3228" i="19"/>
  <c r="G3560" i="19"/>
  <c r="G3978" i="19"/>
  <c r="G4550" i="19"/>
  <c r="G5197" i="19"/>
  <c r="G5742" i="19"/>
  <c r="G6655" i="19"/>
  <c r="G8176" i="19"/>
  <c r="G1253" i="19"/>
  <c r="G1649" i="19"/>
  <c r="G2009" i="19"/>
  <c r="G2409" i="19"/>
  <c r="G2770" i="19"/>
  <c r="G3232" i="19"/>
  <c r="G3720" i="19"/>
  <c r="G4190" i="19"/>
  <c r="G4993" i="19"/>
  <c r="G5793" i="19"/>
  <c r="G6919" i="19"/>
  <c r="G8512" i="19"/>
  <c r="G1314" i="19"/>
  <c r="G1734" i="19"/>
  <c r="G2094" i="19"/>
  <c r="G2555" i="19"/>
  <c r="G3031" i="19"/>
  <c r="G3549" i="19"/>
  <c r="G3981" i="19"/>
  <c r="G4740" i="19"/>
  <c r="G5546" i="19"/>
  <c r="G6342" i="19"/>
  <c r="G7838" i="19"/>
  <c r="G4002" i="19"/>
  <c r="G4745" i="19"/>
  <c r="G5388" i="19"/>
  <c r="G6408" i="19"/>
  <c r="G7840" i="19"/>
  <c r="G4089" i="19"/>
  <c r="G4653" i="19"/>
  <c r="G5241" i="19"/>
  <c r="G5891" i="19"/>
  <c r="G6447" i="19"/>
  <c r="G7376" i="19"/>
  <c r="G9164" i="19"/>
  <c r="G2809" i="19"/>
  <c r="G3241" i="19"/>
  <c r="G3637" i="19"/>
  <c r="G4092" i="19"/>
  <c r="G4535" i="19"/>
  <c r="G5173" i="19"/>
  <c r="G5801" i="19"/>
  <c r="G6366" i="19"/>
  <c r="G7236" i="19"/>
  <c r="G8752" i="19"/>
  <c r="G2486" i="19"/>
  <c r="G2834" i="19"/>
  <c r="G3338" i="19"/>
  <c r="G3794" i="19"/>
  <c r="G4224" i="19"/>
  <c r="G4882" i="19"/>
  <c r="G5520" i="19"/>
  <c r="G6368" i="19"/>
  <c r="G7323" i="19"/>
  <c r="G5994" i="19"/>
  <c r="G7047" i="19"/>
  <c r="G8816" i="19"/>
  <c r="G6126" i="19"/>
  <c r="G6988" i="19"/>
  <c r="G8485" i="19"/>
  <c r="G4674" i="19"/>
  <c r="G5466" i="19"/>
  <c r="G6228" i="19"/>
  <c r="G7202" i="19"/>
  <c r="G8819" i="19"/>
  <c r="G4260" i="19"/>
  <c r="G5021" i="19"/>
  <c r="G5813" i="19"/>
  <c r="G6607" i="19"/>
  <c r="G7796" i="19"/>
  <c r="G7670" i="19"/>
  <c r="G6635" i="19"/>
  <c r="G7417" i="19"/>
  <c r="G8598" i="19"/>
  <c r="G4503" i="19"/>
  <c r="G5163" i="19"/>
  <c r="G5799" i="19"/>
  <c r="G6480" i="19"/>
  <c r="G7230" i="19"/>
  <c r="G8295" i="19"/>
  <c r="G4300" i="19"/>
  <c r="G4960" i="19"/>
  <c r="G5596" i="19"/>
  <c r="G6258" i="19"/>
  <c r="G6967" i="19"/>
  <c r="G7934" i="19"/>
  <c r="G9432" i="19"/>
  <c r="G8526" i="19"/>
  <c r="G7599" i="19"/>
  <c r="G8496" i="19"/>
  <c r="G6800" i="19"/>
  <c r="G7501" i="19"/>
  <c r="G8328" i="19"/>
  <c r="G9740" i="19"/>
  <c r="G6789" i="19"/>
  <c r="G7489" i="19"/>
  <c r="G8310" i="19"/>
  <c r="G9712" i="19"/>
  <c r="G8984" i="19"/>
  <c r="G7688" i="19"/>
  <c r="G8391" i="19"/>
  <c r="G9372" i="19"/>
  <c r="G7375" i="19"/>
  <c r="G8068" i="19"/>
  <c r="G8833" i="19"/>
  <c r="G9973" i="19"/>
  <c r="G8602" i="19"/>
  <c r="G9504" i="19"/>
  <c r="G8924" i="19"/>
  <c r="G10000" i="19"/>
  <c r="G7711" i="19"/>
  <c r="G8371" i="19"/>
  <c r="G9025" i="19"/>
  <c r="G9967" i="19"/>
  <c r="G9816" i="19"/>
  <c r="G9401" i="19"/>
  <c r="G9177" i="19"/>
  <c r="G9837" i="19"/>
  <c r="G9455" i="19"/>
  <c r="G4405" i="19"/>
  <c r="G1927" i="19"/>
  <c r="G560" i="19"/>
  <c r="G1191" i="19"/>
  <c r="G1864" i="19"/>
  <c r="G2851" i="19"/>
  <c r="G1475" i="19"/>
  <c r="G974" i="19"/>
  <c r="G1606" i="19"/>
  <c r="G2511" i="19"/>
  <c r="G3833" i="19"/>
  <c r="G1886" i="19"/>
  <c r="G464" i="19"/>
  <c r="G105" i="19"/>
  <c r="G763" i="19"/>
  <c r="G848" i="19"/>
  <c r="G2125" i="19"/>
  <c r="G3716" i="19"/>
  <c r="G6870" i="19"/>
  <c r="G3163" i="19"/>
  <c r="G5946" i="19"/>
  <c r="G511" i="19"/>
  <c r="G1822" i="19"/>
  <c r="G3393" i="19"/>
  <c r="G6774" i="19"/>
  <c r="G292" i="19"/>
  <c r="G1320" i="19"/>
  <c r="G2592" i="19"/>
  <c r="G4214" i="19"/>
  <c r="G3252" i="19"/>
  <c r="G6548" i="19"/>
  <c r="G1390" i="19"/>
  <c r="G2445" i="19"/>
  <c r="G4130" i="19"/>
  <c r="G8926" i="19"/>
  <c r="G5709" i="19"/>
  <c r="G7875" i="19"/>
  <c r="G1911" i="19"/>
  <c r="G1352" i="19"/>
  <c r="G2042" i="19"/>
  <c r="G2649" i="19"/>
  <c r="G3293" i="19"/>
  <c r="G3880" i="19"/>
  <c r="G4988" i="19"/>
  <c r="G6361" i="19"/>
  <c r="G9330" i="19"/>
  <c r="G269" i="19"/>
  <c r="G644" i="19"/>
  <c r="G1013" i="19"/>
  <c r="G1396" i="19"/>
  <c r="G1916" i="19"/>
  <c r="G2454" i="19"/>
  <c r="G3064" i="19"/>
  <c r="G3640" i="19"/>
  <c r="G4578" i="19"/>
  <c r="G5786" i="19"/>
  <c r="G7181" i="19"/>
  <c r="G253" i="19"/>
  <c r="G1547" i="19"/>
  <c r="G2261" i="19"/>
  <c r="G2969" i="19"/>
  <c r="G3879" i="19"/>
  <c r="G5239" i="19"/>
  <c r="G6653" i="19"/>
  <c r="G499" i="19"/>
  <c r="G2288" i="19"/>
  <c r="G301" i="19"/>
  <c r="G616" i="19"/>
  <c r="G1000" i="19"/>
  <c r="G1465" i="19"/>
  <c r="G1897" i="19"/>
  <c r="G2433" i="19"/>
  <c r="G3066" i="19"/>
  <c r="G3730" i="19"/>
  <c r="G4477" i="19"/>
  <c r="G5734" i="19"/>
  <c r="G7490" i="19"/>
  <c r="G6150" i="19"/>
  <c r="G946" i="19"/>
  <c r="G268" i="19"/>
  <c r="G270" i="19"/>
  <c r="G567" i="19"/>
  <c r="G951" i="19"/>
  <c r="G1420" i="19"/>
  <c r="G1876" i="19"/>
  <c r="G2412" i="19"/>
  <c r="G3039" i="19"/>
  <c r="G3699" i="19"/>
  <c r="G4430" i="19"/>
  <c r="G5684" i="19"/>
  <c r="G7381" i="19"/>
  <c r="G128" i="19"/>
  <c r="G488" i="19"/>
  <c r="G872" i="19"/>
  <c r="G1294" i="19"/>
  <c r="G1706" i="19"/>
  <c r="G2225" i="19"/>
  <c r="G2789" i="19"/>
  <c r="G3355" i="19"/>
  <c r="G4115" i="19"/>
  <c r="G5310" i="19"/>
  <c r="G6757" i="19"/>
  <c r="G5398" i="19"/>
  <c r="G1869" i="19"/>
  <c r="G210" i="19"/>
  <c r="G916" i="19"/>
  <c r="G87" i="19"/>
  <c r="G442" i="19"/>
  <c r="G810" i="19"/>
  <c r="G1147" i="19"/>
  <c r="G1665" i="19"/>
  <c r="G2160" i="19"/>
  <c r="G2610" i="19"/>
  <c r="G3273" i="19"/>
  <c r="G4007" i="19"/>
  <c r="G5113" i="19"/>
  <c r="G6253" i="19"/>
  <c r="G9140" i="19"/>
  <c r="G585" i="19"/>
  <c r="G813" i="19"/>
  <c r="G1109" i="19"/>
  <c r="G1453" i="19"/>
  <c r="G1785" i="19"/>
  <c r="G2073" i="19"/>
  <c r="G2437" i="19"/>
  <c r="G2824" i="19"/>
  <c r="G3184" i="19"/>
  <c r="G3644" i="19"/>
  <c r="G4200" i="19"/>
  <c r="G4969" i="19"/>
  <c r="G5670" i="19"/>
  <c r="G6727" i="19"/>
  <c r="G8649" i="19"/>
  <c r="G155" i="19"/>
  <c r="G443" i="19"/>
  <c r="G731" i="19"/>
  <c r="G1007" i="19"/>
  <c r="G1283" i="19"/>
  <c r="G1629" i="19"/>
  <c r="G1959" i="19"/>
  <c r="G2250" i="19"/>
  <c r="G2636" i="19"/>
  <c r="G3071" i="19"/>
  <c r="G3496" i="19"/>
  <c r="G3894" i="19"/>
  <c r="G4594" i="19"/>
  <c r="G5390" i="19"/>
  <c r="G6169" i="19"/>
  <c r="G7479" i="19"/>
  <c r="G84" i="19"/>
  <c r="G360" i="19"/>
  <c r="G588" i="19"/>
  <c r="G876" i="19"/>
  <c r="G1168" i="19"/>
  <c r="G1456" i="19"/>
  <c r="G1802" i="19"/>
  <c r="G2148" i="19"/>
  <c r="G2504" i="19"/>
  <c r="G2827" i="19"/>
  <c r="G3323" i="19"/>
  <c r="G3803" i="19"/>
  <c r="G4389" i="19"/>
  <c r="G5287" i="19"/>
  <c r="G6300" i="19"/>
  <c r="G7866" i="19"/>
  <c r="G1227" i="19"/>
  <c r="G1603" i="19"/>
  <c r="G1963" i="19"/>
  <c r="G2285" i="19"/>
  <c r="G2708" i="19"/>
  <c r="G3210" i="19"/>
  <c r="G3689" i="19"/>
  <c r="G4153" i="19"/>
  <c r="G5050" i="19"/>
  <c r="G5959" i="19"/>
  <c r="G7032" i="19"/>
  <c r="G2884" i="19"/>
  <c r="G3258" i="19"/>
  <c r="G3646" i="19"/>
  <c r="G3995" i="19"/>
  <c r="G4596" i="19"/>
  <c r="G5218" i="19"/>
  <c r="G5791" i="19"/>
  <c r="G6688" i="19"/>
  <c r="G8411" i="19"/>
  <c r="G1349" i="19"/>
  <c r="G1661" i="19"/>
  <c r="G2033" i="19"/>
  <c r="G2435" i="19"/>
  <c r="G2800" i="19"/>
  <c r="G3246" i="19"/>
  <c r="G3764" i="19"/>
  <c r="G4369" i="19"/>
  <c r="G5040" i="19"/>
  <c r="G5902" i="19"/>
  <c r="G6958" i="19"/>
  <c r="G8592" i="19"/>
  <c r="G1326" i="19"/>
  <c r="G1770" i="19"/>
  <c r="G2190" i="19"/>
  <c r="G2585" i="19"/>
  <c r="G3103" i="19"/>
  <c r="G3579" i="19"/>
  <c r="G3999" i="19"/>
  <c r="G4765" i="19"/>
  <c r="G5617" i="19"/>
  <c r="G6631" i="19"/>
  <c r="G7969" i="19"/>
  <c r="G4071" i="19"/>
  <c r="G4766" i="19"/>
  <c r="G5435" i="19"/>
  <c r="G6439" i="19"/>
  <c r="G8126" i="19"/>
  <c r="G4207" i="19"/>
  <c r="G4687" i="19"/>
  <c r="G5311" i="19"/>
  <c r="G5911" i="19"/>
  <c r="G6470" i="19"/>
  <c r="G7400" i="19"/>
  <c r="G9464" i="19"/>
  <c r="G2905" i="19"/>
  <c r="G3265" i="19"/>
  <c r="G3697" i="19"/>
  <c r="G4105" i="19"/>
  <c r="G4553" i="19"/>
  <c r="G5191" i="19"/>
  <c r="G5857" i="19"/>
  <c r="G6554" i="19"/>
  <c r="G7296" i="19"/>
  <c r="G9020" i="19"/>
  <c r="G2498" i="19"/>
  <c r="G2858" i="19"/>
  <c r="G3350" i="19"/>
  <c r="G3831" i="19"/>
  <c r="G4364" i="19"/>
  <c r="G4916" i="19"/>
  <c r="G5609" i="19"/>
  <c r="G6410" i="19"/>
  <c r="G7352" i="19"/>
  <c r="G6014" i="19"/>
  <c r="G7212" i="19"/>
  <c r="G9952" i="19"/>
  <c r="G6168" i="19"/>
  <c r="G7007" i="19"/>
  <c r="G8522" i="19"/>
  <c r="G4688" i="19"/>
  <c r="G5480" i="19"/>
  <c r="G6243" i="19"/>
  <c r="G7221" i="19"/>
  <c r="G8863" i="19"/>
  <c r="G4273" i="19"/>
  <c r="G5035" i="19"/>
  <c r="G5827" i="19"/>
  <c r="G6627" i="19"/>
  <c r="G7824" i="19"/>
  <c r="G7700" i="19"/>
  <c r="G6648" i="19"/>
  <c r="G7434" i="19"/>
  <c r="G8626" i="19"/>
  <c r="G4515" i="19"/>
  <c r="G5175" i="19"/>
  <c r="G5811" i="19"/>
  <c r="G6493" i="19"/>
  <c r="G7246" i="19"/>
  <c r="G8317" i="19"/>
  <c r="G4312" i="19"/>
  <c r="G4972" i="19"/>
  <c r="G5608" i="19"/>
  <c r="G6271" i="19"/>
  <c r="G6983" i="19"/>
  <c r="G7956" i="19"/>
  <c r="G9471" i="19"/>
  <c r="G8553" i="19"/>
  <c r="G7613" i="19"/>
  <c r="G8514" i="19"/>
  <c r="G6812" i="19"/>
  <c r="G7515" i="19"/>
  <c r="G8345" i="19"/>
  <c r="G9783" i="19"/>
  <c r="G6801" i="19"/>
  <c r="G7502" i="19"/>
  <c r="G8329" i="19"/>
  <c r="G9746" i="19"/>
  <c r="G9001" i="19"/>
  <c r="G7701" i="19"/>
  <c r="G8406" i="19"/>
  <c r="G9396" i="19"/>
  <c r="G7387" i="19"/>
  <c r="G8081" i="19"/>
  <c r="G8849" i="19"/>
  <c r="G9994" i="19"/>
  <c r="G8615" i="19"/>
  <c r="G9522" i="19"/>
  <c r="G8938" i="19"/>
  <c r="G9169" i="19"/>
  <c r="G7723" i="19"/>
  <c r="G8383" i="19"/>
  <c r="G9039" i="19"/>
  <c r="G9985" i="19"/>
  <c r="G9830" i="19"/>
  <c r="G9415" i="19"/>
  <c r="G9189" i="19"/>
  <c r="G9849" i="19"/>
  <c r="G9467" i="19"/>
  <c r="G4166" i="19"/>
  <c r="G1406" i="19"/>
  <c r="G510" i="19"/>
  <c r="G1115" i="19"/>
  <c r="G1796" i="19"/>
  <c r="G2646" i="19"/>
  <c r="G1244" i="19"/>
  <c r="G910" i="19"/>
  <c r="G1521" i="19"/>
  <c r="G6869" i="19"/>
  <c r="G4752" i="19"/>
  <c r="G3597" i="19"/>
  <c r="G2831" i="19"/>
  <c r="G2256" i="19"/>
  <c r="G1756" i="19"/>
  <c r="G1305" i="19"/>
  <c r="G975" i="19"/>
  <c r="G749" i="19"/>
  <c r="G542" i="19"/>
  <c r="G334" i="19"/>
  <c r="G164" i="19"/>
  <c r="G6416" i="19"/>
  <c r="G4547" i="19"/>
  <c r="G3484" i="19"/>
  <c r="G2746" i="19"/>
  <c r="G2170" i="19"/>
  <c r="G1692" i="19"/>
  <c r="G1238" i="19"/>
  <c r="G956" i="19"/>
  <c r="G736" i="19"/>
  <c r="G526" i="19"/>
  <c r="G320" i="19"/>
  <c r="G161" i="19"/>
  <c r="G6351" i="19"/>
  <c r="G4512" i="19"/>
  <c r="G3452" i="19"/>
  <c r="G2745" i="19"/>
  <c r="G2169" i="19"/>
  <c r="G1691" i="19"/>
  <c r="G1236" i="19"/>
  <c r="G926" i="19"/>
  <c r="G701" i="19"/>
  <c r="G495" i="19"/>
  <c r="G294" i="19"/>
  <c r="G133" i="19"/>
  <c r="G5942" i="19"/>
  <c r="G4292" i="19"/>
  <c r="G3345" i="19"/>
  <c r="G2644" i="19"/>
  <c r="G2083" i="19"/>
  <c r="G1623" i="19"/>
  <c r="G1173" i="19"/>
  <c r="G913" i="19"/>
  <c r="G689" i="19"/>
  <c r="G493" i="19"/>
  <c r="G293" i="19"/>
  <c r="G130" i="19"/>
  <c r="G5939" i="19"/>
  <c r="G4255" i="19"/>
  <c r="G3336" i="19"/>
  <c r="G2639" i="19"/>
  <c r="G2080" i="19"/>
  <c r="G1608" i="19"/>
  <c r="G1156" i="19"/>
  <c r="G907" i="19"/>
  <c r="G685" i="19"/>
  <c r="G475" i="19"/>
  <c r="G279" i="19"/>
  <c r="G116" i="19"/>
  <c r="G5651" i="19"/>
  <c r="G4059" i="19"/>
  <c r="G3220" i="19"/>
  <c r="G2539" i="19"/>
  <c r="G1996" i="19"/>
  <c r="G1546" i="19"/>
  <c r="G1095" i="19"/>
  <c r="G865" i="19"/>
  <c r="G652" i="19"/>
  <c r="G446" i="19"/>
  <c r="G249" i="19"/>
  <c r="G90" i="19"/>
  <c r="G10004" i="19"/>
  <c r="G5599" i="19"/>
  <c r="G4058" i="19"/>
  <c r="G3198" i="19"/>
  <c r="G2538" i="19"/>
  <c r="G1995" i="19"/>
  <c r="G1536" i="19"/>
  <c r="G1092" i="19"/>
  <c r="G862" i="19"/>
  <c r="G640" i="19"/>
  <c r="G433" i="19"/>
  <c r="G248" i="19"/>
  <c r="G89" i="19"/>
  <c r="G5026" i="19"/>
  <c r="G2351" i="19"/>
  <c r="G1389" i="19"/>
  <c r="G785" i="19"/>
  <c r="G577" i="19"/>
  <c r="G368" i="19"/>
  <c r="G32" i="19"/>
  <c r="G4817" i="19"/>
  <c r="G3598" i="19"/>
  <c r="G2849" i="19"/>
  <c r="G2257" i="19"/>
  <c r="G1777" i="19"/>
  <c r="G977" i="19"/>
  <c r="G752" i="19"/>
  <c r="G543" i="19"/>
  <c r="G338" i="19"/>
  <c r="G174" i="19"/>
  <c r="G8313" i="19"/>
  <c r="G5328" i="19"/>
  <c r="G3906" i="19"/>
  <c r="G3079" i="19"/>
  <c r="G2444" i="19"/>
  <c r="G1924" i="19"/>
  <c r="G1474" i="19"/>
  <c r="G1077" i="19"/>
  <c r="G846" i="19"/>
  <c r="G625" i="19"/>
  <c r="G427" i="19"/>
  <c r="G236" i="19"/>
  <c r="G75" i="19"/>
  <c r="G8312" i="19"/>
  <c r="G5300" i="19"/>
  <c r="G3904" i="19"/>
  <c r="G3078" i="19"/>
  <c r="G2443" i="19"/>
  <c r="G1910" i="19"/>
  <c r="G1460" i="19"/>
  <c r="G1039" i="19"/>
  <c r="G814" i="19"/>
  <c r="G593" i="19"/>
  <c r="G386" i="19"/>
  <c r="G208" i="19"/>
  <c r="G45" i="19"/>
  <c r="G7520" i="19"/>
  <c r="G5027" i="19"/>
  <c r="G3739" i="19"/>
  <c r="G2964" i="19"/>
  <c r="G2352" i="19"/>
  <c r="G1844" i="19"/>
  <c r="G1392" i="19"/>
  <c r="G1027" i="19"/>
  <c r="G800" i="19"/>
  <c r="G590" i="19"/>
  <c r="G385" i="19"/>
  <c r="G207" i="19"/>
  <c r="G44" i="19"/>
  <c r="G7314" i="19"/>
  <c r="G3738" i="19"/>
  <c r="G2963" i="19"/>
  <c r="G1839" i="19"/>
  <c r="G1022" i="19"/>
  <c r="G202" i="19"/>
  <c r="G6875" i="19"/>
  <c r="G1321" i="19"/>
  <c r="G8962" i="19"/>
  <c r="G1970" i="19"/>
  <c r="G3192" i="19"/>
  <c r="G5491" i="19"/>
  <c r="G246" i="19"/>
  <c r="G859" i="19"/>
  <c r="G1676" i="19"/>
  <c r="G2717" i="19"/>
  <c r="G4451" i="19"/>
  <c r="G77" i="19"/>
  <c r="G639" i="19"/>
  <c r="G1388" i="19"/>
  <c r="G2325" i="19"/>
  <c r="G3715" i="19"/>
  <c r="G7313" i="19"/>
  <c r="G1624" i="19"/>
  <c r="G4108" i="19"/>
  <c r="G448" i="19"/>
  <c r="G1175" i="19"/>
  <c r="G2186" i="19"/>
  <c r="G3633" i="19"/>
  <c r="G6946" i="19"/>
  <c r="G401" i="19"/>
  <c r="G1056" i="19"/>
  <c r="G1948" i="19"/>
  <c r="G3136" i="19"/>
  <c r="G5374" i="19"/>
  <c r="G232" i="19"/>
  <c r="G830" i="19"/>
  <c r="G1646" i="19"/>
  <c r="G2669" i="19"/>
  <c r="G4362" i="19"/>
  <c r="G63" i="19"/>
  <c r="G619" i="19"/>
  <c r="G1347" i="19"/>
  <c r="G2302" i="19"/>
  <c r="G3657" i="19"/>
  <c r="G7141" i="19"/>
  <c r="G6420" i="19"/>
  <c r="G895" i="19"/>
  <c r="G1736" i="19"/>
  <c r="G2779" i="19"/>
  <c r="G4663" i="19"/>
  <c r="G9959" i="19"/>
  <c r="G9815" i="19"/>
  <c r="G9671" i="19"/>
  <c r="G9527" i="19"/>
  <c r="G9383" i="19"/>
  <c r="G9239" i="19"/>
  <c r="G9095" i="19"/>
  <c r="G9969" i="19"/>
  <c r="G9825" i="19"/>
  <c r="G9681" i="19"/>
  <c r="G9537" i="19"/>
  <c r="G9393" i="19"/>
  <c r="G9249" i="19"/>
  <c r="G9105" i="19"/>
  <c r="G9905" i="19"/>
  <c r="G9733" i="19"/>
  <c r="G9559" i="19"/>
  <c r="G9387" i="19"/>
  <c r="G9214" i="19"/>
  <c r="G9041" i="19"/>
  <c r="G8893" i="19"/>
  <c r="G9902" i="19"/>
  <c r="G9728" i="19"/>
  <c r="G9556" i="19"/>
  <c r="G9384" i="19"/>
  <c r="G9210" i="19"/>
  <c r="G9951" i="19"/>
  <c r="G9742" i="19"/>
  <c r="G9535" i="19"/>
  <c r="G9328" i="19"/>
  <c r="G9121" i="19"/>
  <c r="G8944" i="19"/>
  <c r="G8791" i="19"/>
  <c r="G8647" i="19"/>
  <c r="G8503" i="19"/>
  <c r="G8359" i="19"/>
  <c r="G8215" i="19"/>
  <c r="G8071" i="19"/>
  <c r="G7927" i="19"/>
  <c r="G7783" i="19"/>
  <c r="G9964" i="19"/>
  <c r="G9756" i="19"/>
  <c r="G9548" i="19"/>
  <c r="G9341" i="19"/>
  <c r="G9979" i="19"/>
  <c r="G9732" i="19"/>
  <c r="G9482" i="19"/>
  <c r="G9233" i="19"/>
  <c r="G9012" i="19"/>
  <c r="G8838" i="19"/>
  <c r="G8681" i="19"/>
  <c r="G9978" i="19"/>
  <c r="G9730" i="19"/>
  <c r="G9481" i="19"/>
  <c r="G9232" i="19"/>
  <c r="G9009" i="19"/>
  <c r="G8837" i="19"/>
  <c r="G8680" i="19"/>
  <c r="G8523" i="19"/>
  <c r="G8366" i="19"/>
  <c r="G9914" i="19"/>
  <c r="G9665" i="19"/>
  <c r="G9953" i="19"/>
  <c r="G9806" i="19"/>
  <c r="G9474" i="19"/>
  <c r="G9176" i="19"/>
  <c r="G8935" i="19"/>
  <c r="G8739" i="19"/>
  <c r="G8552" i="19"/>
  <c r="G8378" i="19"/>
  <c r="G8212" i="19"/>
  <c r="G8055" i="19"/>
  <c r="G7898" i="19"/>
  <c r="G7741" i="19"/>
  <c r="G7591" i="19"/>
  <c r="G7447" i="19"/>
  <c r="G7303" i="19"/>
  <c r="G7159" i="19"/>
  <c r="G7015" i="19"/>
  <c r="G9664" i="19"/>
  <c r="G9349" i="19"/>
  <c r="G9063" i="19"/>
  <c r="G8848" i="19"/>
  <c r="G8660" i="19"/>
  <c r="G8477" i="19"/>
  <c r="G8306" i="19"/>
  <c r="G8146" i="19"/>
  <c r="G7989" i="19"/>
  <c r="G7832" i="19"/>
  <c r="G7674" i="19"/>
  <c r="G7530" i="19"/>
  <c r="G9716" i="19"/>
  <c r="G9391" i="19"/>
  <c r="G9101" i="19"/>
  <c r="G8879" i="19"/>
  <c r="G8688" i="19"/>
  <c r="G8504" i="19"/>
  <c r="G8332" i="19"/>
  <c r="G9677" i="19"/>
  <c r="G9258" i="19"/>
  <c r="G8922" i="19"/>
  <c r="G8664" i="19"/>
  <c r="G8425" i="19"/>
  <c r="G8209" i="19"/>
  <c r="G8021" i="19"/>
  <c r="G7834" i="19"/>
  <c r="G7646" i="19"/>
  <c r="G7476" i="19"/>
  <c r="G7319" i="19"/>
  <c r="G7162" i="19"/>
  <c r="G7005" i="19"/>
  <c r="G6861" i="19"/>
  <c r="G6717" i="19"/>
  <c r="G6573" i="19"/>
  <c r="G6429" i="19"/>
  <c r="G6285" i="19"/>
  <c r="G9706" i="19"/>
  <c r="G9284" i="19"/>
  <c r="G8943" i="19"/>
  <c r="G8684" i="19"/>
  <c r="G8441" i="19"/>
  <c r="G8223" i="19"/>
  <c r="G8036" i="19"/>
  <c r="G7848" i="19"/>
  <c r="G7659" i="19"/>
  <c r="G7488" i="19"/>
  <c r="G7331" i="19"/>
  <c r="G7174" i="19"/>
  <c r="G7017" i="19"/>
  <c r="G6872" i="19"/>
  <c r="G9776" i="19"/>
  <c r="G9348" i="19"/>
  <c r="G8985" i="19"/>
  <c r="G8722" i="19"/>
  <c r="G8476" i="19"/>
  <c r="G8254" i="19"/>
  <c r="G8064" i="19"/>
  <c r="G7876" i="19"/>
  <c r="G7686" i="19"/>
  <c r="G7513" i="19"/>
  <c r="G9822" i="19"/>
  <c r="G9260" i="19"/>
  <c r="G8834" i="19"/>
  <c r="G8501" i="19"/>
  <c r="G8210" i="19"/>
  <c r="G7959" i="19"/>
  <c r="G7708" i="19"/>
  <c r="G9720" i="19"/>
  <c r="G9162" i="19"/>
  <c r="G8775" i="19"/>
  <c r="G8448" i="19"/>
  <c r="G8166" i="19"/>
  <c r="G7916" i="19"/>
  <c r="G7665" i="19"/>
  <c r="G7440" i="19"/>
  <c r="G7247" i="19"/>
  <c r="G7059" i="19"/>
  <c r="G6881" i="19"/>
  <c r="G6716" i="19"/>
  <c r="G6559" i="19"/>
  <c r="G6402" i="19"/>
  <c r="G6245" i="19"/>
  <c r="G6100" i="19"/>
  <c r="G5956" i="19"/>
  <c r="G5812" i="19"/>
  <c r="G5668" i="19"/>
  <c r="G5524" i="19"/>
  <c r="G5380" i="19"/>
  <c r="G5236" i="19"/>
  <c r="G5092" i="19"/>
  <c r="G4948" i="19"/>
  <c r="G4804" i="19"/>
  <c r="G4660" i="19"/>
  <c r="G4516" i="19"/>
  <c r="G4372" i="19"/>
  <c r="G9970" i="19"/>
  <c r="G9380" i="19"/>
  <c r="G8913" i="19"/>
  <c r="G8572" i="19"/>
  <c r="G8268" i="19"/>
  <c r="G8017" i="19"/>
  <c r="G7764" i="19"/>
  <c r="G7526" i="19"/>
  <c r="G7324" i="19"/>
  <c r="G7137" i="19"/>
  <c r="G6952" i="19"/>
  <c r="G6781" i="19"/>
  <c r="G6624" i="19"/>
  <c r="G6467" i="19"/>
  <c r="G6310" i="19"/>
  <c r="G6159" i="19"/>
  <c r="G6015" i="19"/>
  <c r="G5871" i="19"/>
  <c r="G5727" i="19"/>
  <c r="G5583" i="19"/>
  <c r="G5439" i="19"/>
  <c r="G5295" i="19"/>
  <c r="G5151" i="19"/>
  <c r="G5007" i="19"/>
  <c r="G4863" i="19"/>
  <c r="G4719" i="19"/>
  <c r="G4575" i="19"/>
  <c r="G4431" i="19"/>
  <c r="G9966" i="19"/>
  <c r="G9370" i="19"/>
  <c r="G8911" i="19"/>
  <c r="G8570" i="19"/>
  <c r="G8266" i="19"/>
  <c r="G8013" i="19"/>
  <c r="G7762" i="19"/>
  <c r="G7524" i="19"/>
  <c r="G7322" i="19"/>
  <c r="G7132" i="19"/>
  <c r="G6950" i="19"/>
  <c r="G6779" i="19"/>
  <c r="G6622" i="19"/>
  <c r="G9308" i="19"/>
  <c r="G8699" i="19"/>
  <c r="G8235" i="19"/>
  <c r="G7860" i="19"/>
  <c r="G9965" i="19"/>
  <c r="G9109" i="19"/>
  <c r="G8569" i="19"/>
  <c r="G8138" i="19"/>
  <c r="G7761" i="19"/>
  <c r="G7432" i="19"/>
  <c r="G7179" i="19"/>
  <c r="G6935" i="19"/>
  <c r="G6712" i="19"/>
  <c r="G6512" i="19"/>
  <c r="G6325" i="19"/>
  <c r="G6143" i="19"/>
  <c r="G5971" i="19"/>
  <c r="G5797" i="19"/>
  <c r="G5625" i="19"/>
  <c r="G5453" i="19"/>
  <c r="G5279" i="19"/>
  <c r="G5107" i="19"/>
  <c r="G4933" i="19"/>
  <c r="G4761" i="19"/>
  <c r="G4589" i="19"/>
  <c r="G4415" i="19"/>
  <c r="G4247" i="19"/>
  <c r="G4102" i="19"/>
  <c r="G3958" i="19"/>
  <c r="G9962" i="19"/>
  <c r="G9108" i="19"/>
  <c r="G8568" i="19"/>
  <c r="G8137" i="19"/>
  <c r="G7760" i="19"/>
  <c r="G7431" i="19"/>
  <c r="G7178" i="19"/>
  <c r="G6934" i="19"/>
  <c r="G6711" i="19"/>
  <c r="G6511" i="19"/>
  <c r="G6322" i="19"/>
  <c r="G6142" i="19"/>
  <c r="G5970" i="19"/>
  <c r="G5796" i="19"/>
  <c r="G5624" i="19"/>
  <c r="G5450" i="19"/>
  <c r="G5278" i="19"/>
  <c r="G5106" i="19"/>
  <c r="G4932" i="19"/>
  <c r="G4760" i="19"/>
  <c r="G4586" i="19"/>
  <c r="G4414" i="19"/>
  <c r="G9713" i="19"/>
  <c r="G8946" i="19"/>
  <c r="G8444" i="19"/>
  <c r="G8038" i="19"/>
  <c r="G7661" i="19"/>
  <c r="G7364" i="19"/>
  <c r="G7113" i="19"/>
  <c r="G6874" i="19"/>
  <c r="G6656" i="19"/>
  <c r="G6461" i="19"/>
  <c r="G6274" i="19"/>
  <c r="G6096" i="19"/>
  <c r="G5924" i="19"/>
  <c r="G5750" i="19"/>
  <c r="G9840" i="19"/>
  <c r="G8757" i="19"/>
  <c r="G8090" i="19"/>
  <c r="G7539" i="19"/>
  <c r="G7189" i="19"/>
  <c r="G6865" i="19"/>
  <c r="G6580" i="19"/>
  <c r="G6329" i="19"/>
  <c r="G6091" i="19"/>
  <c r="G9838" i="19"/>
  <c r="G8756" i="19"/>
  <c r="G8089" i="19"/>
  <c r="G7538" i="19"/>
  <c r="G7186" i="19"/>
  <c r="G6863" i="19"/>
  <c r="G6579" i="19"/>
  <c r="G6328" i="19"/>
  <c r="G6090" i="19"/>
  <c r="G5858" i="19"/>
  <c r="G5628" i="19"/>
  <c r="G5418" i="19"/>
  <c r="G5210" i="19"/>
  <c r="G5002" i="19"/>
  <c r="G4796" i="19"/>
  <c r="G4590" i="19"/>
  <c r="G4380" i="19"/>
  <c r="G4197" i="19"/>
  <c r="G4040" i="19"/>
  <c r="G3883" i="19"/>
  <c r="G3734" i="19"/>
  <c r="G3590" i="19"/>
  <c r="G3446" i="19"/>
  <c r="G3302" i="19"/>
  <c r="G3158" i="19"/>
  <c r="G3014" i="19"/>
  <c r="G2870" i="19"/>
  <c r="G2726" i="19"/>
  <c r="G1132" i="19"/>
  <c r="G2056" i="19"/>
  <c r="G3308" i="19"/>
  <c r="G5881" i="19"/>
  <c r="G280" i="19"/>
  <c r="G908" i="19"/>
  <c r="G1752" i="19"/>
  <c r="G2820" i="19"/>
  <c r="G4714" i="19"/>
  <c r="G122" i="19"/>
  <c r="G688" i="19"/>
  <c r="G1454" i="19"/>
  <c r="G2428" i="19"/>
  <c r="G3863" i="19"/>
  <c r="G8154" i="19"/>
  <c r="G1848" i="19"/>
  <c r="G4548" i="19"/>
  <c r="G497" i="19"/>
  <c r="G1258" i="19"/>
  <c r="G2260" i="19"/>
  <c r="G3749" i="19"/>
  <c r="G7672" i="19"/>
  <c r="G460" i="19"/>
  <c r="G1114" i="19"/>
  <c r="G2020" i="19"/>
  <c r="G3255" i="19"/>
  <c r="G5701" i="19"/>
  <c r="G266" i="19"/>
  <c r="G881" i="19"/>
  <c r="G1718" i="19"/>
  <c r="G2769" i="19"/>
  <c r="G4609" i="19"/>
  <c r="G104" i="19"/>
  <c r="G667" i="19"/>
  <c r="G1416" i="19"/>
  <c r="G2380" i="19"/>
  <c r="G3799" i="19"/>
  <c r="G7685" i="19"/>
  <c r="G8352" i="19"/>
  <c r="G944" i="19"/>
  <c r="G1804" i="19"/>
  <c r="G2907" i="19"/>
  <c r="G4914" i="19"/>
  <c r="G9947" i="19"/>
  <c r="G9803" i="19"/>
  <c r="G9659" i="19"/>
  <c r="G9515" i="19"/>
  <c r="G9371" i="19"/>
  <c r="G9227" i="19"/>
  <c r="G9083" i="19"/>
  <c r="G9957" i="19"/>
  <c r="G9813" i="19"/>
  <c r="G9669" i="19"/>
  <c r="G9525" i="19"/>
  <c r="G9381" i="19"/>
  <c r="G9237" i="19"/>
  <c r="G9093" i="19"/>
  <c r="G9891" i="19"/>
  <c r="G9718" i="19"/>
  <c r="G9545" i="19"/>
  <c r="G9373" i="19"/>
  <c r="G9199" i="19"/>
  <c r="G9028" i="19"/>
  <c r="G8881" i="19"/>
  <c r="G9888" i="19"/>
  <c r="G9714" i="19"/>
  <c r="G9542" i="19"/>
  <c r="G9368" i="19"/>
  <c r="G9196" i="19"/>
  <c r="G9932" i="19"/>
  <c r="G9725" i="19"/>
  <c r="G9519" i="19"/>
  <c r="G9310" i="19"/>
  <c r="G9103" i="19"/>
  <c r="G8931" i="19"/>
  <c r="G8779" i="19"/>
  <c r="G8635" i="19"/>
  <c r="G8491" i="19"/>
  <c r="G8347" i="19"/>
  <c r="G8203" i="19"/>
  <c r="G8059" i="19"/>
  <c r="G7915" i="19"/>
  <c r="G7771" i="19"/>
  <c r="G9946" i="19"/>
  <c r="G9738" i="19"/>
  <c r="G9532" i="19"/>
  <c r="G9324" i="19"/>
  <c r="G9958" i="19"/>
  <c r="G9711" i="19"/>
  <c r="G9461" i="19"/>
  <c r="G9212" i="19"/>
  <c r="G8995" i="19"/>
  <c r="G8825" i="19"/>
  <c r="G8668" i="19"/>
  <c r="G9956" i="19"/>
  <c r="G9710" i="19"/>
  <c r="G9460" i="19"/>
  <c r="G9211" i="19"/>
  <c r="G8994" i="19"/>
  <c r="G8824" i="19"/>
  <c r="G8667" i="19"/>
  <c r="G8510" i="19"/>
  <c r="G8353" i="19"/>
  <c r="G9893" i="19"/>
  <c r="G9644" i="19"/>
  <c r="G9931" i="19"/>
  <c r="G9781" i="19"/>
  <c r="G9450" i="19"/>
  <c r="G9151" i="19"/>
  <c r="G8919" i="19"/>
  <c r="G8724" i="19"/>
  <c r="G8535" i="19"/>
  <c r="G8364" i="19"/>
  <c r="G8199" i="19"/>
  <c r="G8042" i="19"/>
  <c r="G7885" i="19"/>
  <c r="G7728" i="19"/>
  <c r="G7579" i="19"/>
  <c r="G7435" i="19"/>
  <c r="G7291" i="19"/>
  <c r="G7147" i="19"/>
  <c r="G9987" i="19"/>
  <c r="G9638" i="19"/>
  <c r="G9322" i="19"/>
  <c r="G9040" i="19"/>
  <c r="G8832" i="19"/>
  <c r="G8644" i="19"/>
  <c r="G8463" i="19"/>
  <c r="G8292" i="19"/>
  <c r="G8133" i="19"/>
  <c r="G7976" i="19"/>
  <c r="G7818" i="19"/>
  <c r="G7662" i="19"/>
  <c r="G7518" i="19"/>
  <c r="G9692" i="19"/>
  <c r="G9367" i="19"/>
  <c r="G9079" i="19"/>
  <c r="G8862" i="19"/>
  <c r="G8673" i="19"/>
  <c r="G8489" i="19"/>
  <c r="G8318" i="19"/>
  <c r="G9637" i="19"/>
  <c r="G9221" i="19"/>
  <c r="G8899" i="19"/>
  <c r="G8643" i="19"/>
  <c r="G8404" i="19"/>
  <c r="G8194" i="19"/>
  <c r="G8006" i="19"/>
  <c r="G7816" i="19"/>
  <c r="G7632" i="19"/>
  <c r="G7463" i="19"/>
  <c r="G7306" i="19"/>
  <c r="G7149" i="19"/>
  <c r="G6993" i="19"/>
  <c r="G6849" i="19"/>
  <c r="G6705" i="19"/>
  <c r="G6561" i="19"/>
  <c r="G6417" i="19"/>
  <c r="G6273" i="19"/>
  <c r="G9676" i="19"/>
  <c r="G9256" i="19"/>
  <c r="G8921" i="19"/>
  <c r="G8663" i="19"/>
  <c r="G8424" i="19"/>
  <c r="G8208" i="19"/>
  <c r="G8020" i="19"/>
  <c r="G7830" i="19"/>
  <c r="G7645" i="19"/>
  <c r="G7475" i="19"/>
  <c r="G7318" i="19"/>
  <c r="G7161" i="19"/>
  <c r="G7004" i="19"/>
  <c r="G6860" i="19"/>
  <c r="G9737" i="19"/>
  <c r="G9313" i="19"/>
  <c r="G8961" i="19"/>
  <c r="G8700" i="19"/>
  <c r="G8457" i="19"/>
  <c r="G8236" i="19"/>
  <c r="G8049" i="19"/>
  <c r="G7861" i="19"/>
  <c r="G7671" i="19"/>
  <c r="G7499" i="19"/>
  <c r="G9766" i="19"/>
  <c r="G9208" i="19"/>
  <c r="G8804" i="19"/>
  <c r="G8473" i="19"/>
  <c r="G8188" i="19"/>
  <c r="G7935" i="19"/>
  <c r="G7684" i="19"/>
  <c r="G9673" i="19"/>
  <c r="G9120" i="19"/>
  <c r="G8744" i="19"/>
  <c r="G8423" i="19"/>
  <c r="G8144" i="19"/>
  <c r="G7893" i="19"/>
  <c r="G7644" i="19"/>
  <c r="G7421" i="19"/>
  <c r="G7232" i="19"/>
  <c r="G7042" i="19"/>
  <c r="G6867" i="19"/>
  <c r="G6703" i="19"/>
  <c r="G6546" i="19"/>
  <c r="G6389" i="19"/>
  <c r="G6232" i="19"/>
  <c r="G6088" i="19"/>
  <c r="G5944" i="19"/>
  <c r="G5800" i="19"/>
  <c r="G5656" i="19"/>
  <c r="G5512" i="19"/>
  <c r="G5368" i="19"/>
  <c r="G5224" i="19"/>
  <c r="G5080" i="19"/>
  <c r="G4936" i="19"/>
  <c r="G4792" i="19"/>
  <c r="G4648" i="19"/>
  <c r="G4504" i="19"/>
  <c r="G4360" i="19"/>
  <c r="G9920" i="19"/>
  <c r="G9334" i="19"/>
  <c r="G8887" i="19"/>
  <c r="G8545" i="19"/>
  <c r="G8247" i="19"/>
  <c r="G7996" i="19"/>
  <c r="G7745" i="19"/>
  <c r="G7509" i="19"/>
  <c r="G7309" i="19"/>
  <c r="G7119" i="19"/>
  <c r="G6938" i="19"/>
  <c r="G6768" i="19"/>
  <c r="G6611" i="19"/>
  <c r="G6454" i="19"/>
  <c r="G6296" i="19"/>
  <c r="G6147" i="19"/>
  <c r="G6003" i="19"/>
  <c r="G5859" i="19"/>
  <c r="G5715" i="19"/>
  <c r="G5571" i="19"/>
  <c r="G5427" i="19"/>
  <c r="G5283" i="19"/>
  <c r="G5139" i="19"/>
  <c r="G4995" i="19"/>
  <c r="G4851" i="19"/>
  <c r="G4707" i="19"/>
  <c r="G4563" i="19"/>
  <c r="G4419" i="19"/>
  <c r="G9908" i="19"/>
  <c r="G9331" i="19"/>
  <c r="G8883" i="19"/>
  <c r="G8543" i="19"/>
  <c r="G8245" i="19"/>
  <c r="G7994" i="19"/>
  <c r="G7743" i="19"/>
  <c r="G7505" i="19"/>
  <c r="G7307" i="19"/>
  <c r="G7117" i="19"/>
  <c r="G6936" i="19"/>
  <c r="G6766" i="19"/>
  <c r="G6608" i="19"/>
  <c r="G9241" i="19"/>
  <c r="G8653" i="19"/>
  <c r="G8204" i="19"/>
  <c r="G7826" i="19"/>
  <c r="G9883" i="19"/>
  <c r="G9053" i="19"/>
  <c r="G8530" i="19"/>
  <c r="G8110" i="19"/>
  <c r="G7732" i="19"/>
  <c r="G7413" i="19"/>
  <c r="G7158" i="19"/>
  <c r="G6916" i="19"/>
  <c r="G6696" i="19"/>
  <c r="G6497" i="19"/>
  <c r="G6307" i="19"/>
  <c r="G6129" i="19"/>
  <c r="G5957" i="19"/>
  <c r="G5783" i="19"/>
  <c r="G5611" i="19"/>
  <c r="G5437" i="19"/>
  <c r="G5265" i="19"/>
  <c r="G5093" i="19"/>
  <c r="G4919" i="19"/>
  <c r="G4747" i="19"/>
  <c r="G4573" i="19"/>
  <c r="G4401" i="19"/>
  <c r="G4234" i="19"/>
  <c r="G4090" i="19"/>
  <c r="G3946" i="19"/>
  <c r="G9882" i="19"/>
  <c r="G9052" i="19"/>
  <c r="G8529" i="19"/>
  <c r="G8109" i="19"/>
  <c r="G7731" i="19"/>
  <c r="G7412" i="19"/>
  <c r="G7157" i="19"/>
  <c r="G6915" i="19"/>
  <c r="G6695" i="19"/>
  <c r="G6496" i="19"/>
  <c r="G6306" i="19"/>
  <c r="G6128" i="19"/>
  <c r="G5954" i="19"/>
  <c r="G5782" i="19"/>
  <c r="G5610" i="19"/>
  <c r="G5436" i="19"/>
  <c r="G5264" i="19"/>
  <c r="G5090" i="19"/>
  <c r="G4918" i="19"/>
  <c r="G4746" i="19"/>
  <c r="G4572" i="19"/>
  <c r="G4400" i="19"/>
  <c r="G9643" i="19"/>
  <c r="G8903" i="19"/>
  <c r="G8410" i="19"/>
  <c r="G8008" i="19"/>
  <c r="G7634" i="19"/>
  <c r="G7343" i="19"/>
  <c r="G7092" i="19"/>
  <c r="G6855" i="19"/>
  <c r="G6640" i="19"/>
  <c r="G6446" i="19"/>
  <c r="G6256" i="19"/>
  <c r="G6082" i="19"/>
  <c r="G5910" i="19"/>
  <c r="G5736" i="19"/>
  <c r="G9726" i="19"/>
  <c r="G8696" i="19"/>
  <c r="G8044" i="19"/>
  <c r="G7508" i="19"/>
  <c r="G7160" i="19"/>
  <c r="G6842" i="19"/>
  <c r="G6562" i="19"/>
  <c r="G6308" i="19"/>
  <c r="G6072" i="19"/>
  <c r="G9699" i="19"/>
  <c r="G8678" i="19"/>
  <c r="G8032" i="19"/>
  <c r="G7500" i="19"/>
  <c r="G7156" i="19"/>
  <c r="G6835" i="19"/>
  <c r="G6556" i="19"/>
  <c r="G6305" i="19"/>
  <c r="G6069" i="19"/>
  <c r="G1216" i="19"/>
  <c r="G2143" i="19"/>
  <c r="G3428" i="19"/>
  <c r="G6269" i="19"/>
  <c r="G332" i="19"/>
  <c r="G973" i="19"/>
  <c r="G1824" i="19"/>
  <c r="G2910" i="19"/>
  <c r="G4982" i="19"/>
  <c r="G163" i="19"/>
  <c r="G748" i="19"/>
  <c r="G1522" i="19"/>
  <c r="G2513" i="19"/>
  <c r="G4057" i="19"/>
  <c r="G9996" i="19"/>
  <c r="G2012" i="19"/>
  <c r="G5334" i="19"/>
  <c r="G545" i="19"/>
  <c r="G1324" i="19"/>
  <c r="G2372" i="19"/>
  <c r="G3937" i="19"/>
  <c r="G8725" i="19"/>
  <c r="G508" i="19"/>
  <c r="G1190" i="19"/>
  <c r="G2108" i="19"/>
  <c r="G3369" i="19"/>
  <c r="G6137" i="19"/>
  <c r="G307" i="19"/>
  <c r="G942" i="19"/>
  <c r="G1797" i="19"/>
  <c r="G2878" i="19"/>
  <c r="G4867" i="19"/>
  <c r="G147" i="19"/>
  <c r="G721" i="19"/>
  <c r="G1498" i="19"/>
  <c r="G2491" i="19"/>
  <c r="G3952" i="19"/>
  <c r="G8928" i="19"/>
  <c r="G6" i="19"/>
  <c r="G1009" i="19"/>
  <c r="G1884" i="19"/>
  <c r="G3024" i="19"/>
  <c r="G5169" i="19"/>
  <c r="G9935" i="19"/>
  <c r="G9791" i="19"/>
  <c r="G9647" i="19"/>
  <c r="G9503" i="19"/>
  <c r="G9359" i="19"/>
  <c r="G9215" i="19"/>
  <c r="G9071" i="19"/>
  <c r="G9945" i="19"/>
  <c r="G9801" i="19"/>
  <c r="G9657" i="19"/>
  <c r="G9513" i="19"/>
  <c r="G9369" i="19"/>
  <c r="G9225" i="19"/>
  <c r="G9081" i="19"/>
  <c r="G9877" i="19"/>
  <c r="G9703" i="19"/>
  <c r="G9531" i="19"/>
  <c r="G9358" i="19"/>
  <c r="G9185" i="19"/>
  <c r="G9015" i="19"/>
  <c r="G8869" i="19"/>
  <c r="G9872" i="19"/>
  <c r="G9700" i="19"/>
  <c r="G9528" i="19"/>
  <c r="G9354" i="19"/>
  <c r="G9182" i="19"/>
  <c r="G9915" i="19"/>
  <c r="G9709" i="19"/>
  <c r="G9500" i="19"/>
  <c r="G9293" i="19"/>
  <c r="G9087" i="19"/>
  <c r="G8918" i="19"/>
  <c r="G8767" i="19"/>
  <c r="G8623" i="19"/>
  <c r="G8479" i="19"/>
  <c r="G8335" i="19"/>
  <c r="G8191" i="19"/>
  <c r="G8047" i="19"/>
  <c r="G7903" i="19"/>
  <c r="G7759" i="19"/>
  <c r="G9928" i="19"/>
  <c r="G9722" i="19"/>
  <c r="G9514" i="19"/>
  <c r="G9306" i="19"/>
  <c r="G9939" i="19"/>
  <c r="G9690" i="19"/>
  <c r="G9439" i="19"/>
  <c r="G9193" i="19"/>
  <c r="G8981" i="19"/>
  <c r="G8812" i="19"/>
  <c r="G8655" i="19"/>
  <c r="G9938" i="19"/>
  <c r="G9688" i="19"/>
  <c r="G9438" i="19"/>
  <c r="G9192" i="19"/>
  <c r="G8980" i="19"/>
  <c r="G8811" i="19"/>
  <c r="G8654" i="19"/>
  <c r="G8497" i="19"/>
  <c r="G8340" i="19"/>
  <c r="G9871" i="19"/>
  <c r="G9625" i="19"/>
  <c r="G9910" i="19"/>
  <c r="G9752" i="19"/>
  <c r="G9424" i="19"/>
  <c r="G9128" i="19"/>
  <c r="G8901" i="19"/>
  <c r="G8709" i="19"/>
  <c r="G8521" i="19"/>
  <c r="G8350" i="19"/>
  <c r="G8186" i="19"/>
  <c r="G8029" i="19"/>
  <c r="G7872" i="19"/>
  <c r="G7715" i="19"/>
  <c r="G7567" i="19"/>
  <c r="G7423" i="19"/>
  <c r="G7279" i="19"/>
  <c r="G7135" i="19"/>
  <c r="G9954" i="19"/>
  <c r="G9612" i="19"/>
  <c r="G9300" i="19"/>
  <c r="G9021" i="19"/>
  <c r="G8817" i="19"/>
  <c r="G8627" i="19"/>
  <c r="G8449" i="19"/>
  <c r="G8278" i="19"/>
  <c r="G8120" i="19"/>
  <c r="G7962" i="19"/>
  <c r="G7805" i="19"/>
  <c r="G7650" i="19"/>
  <c r="G7506" i="19"/>
  <c r="G9662" i="19"/>
  <c r="G9344" i="19"/>
  <c r="G9058" i="19"/>
  <c r="G8846" i="19"/>
  <c r="G8657" i="19"/>
  <c r="G8475" i="19"/>
  <c r="G8304" i="19"/>
  <c r="G9596" i="19"/>
  <c r="G9187" i="19"/>
  <c r="G8875" i="19"/>
  <c r="G8621" i="19"/>
  <c r="G8386" i="19"/>
  <c r="G8178" i="19"/>
  <c r="G7991" i="19"/>
  <c r="G7801" i="19"/>
  <c r="G7618" i="19"/>
  <c r="G7450" i="19"/>
  <c r="G7293" i="19"/>
  <c r="G7136" i="19"/>
  <c r="G6981" i="19"/>
  <c r="G6837" i="19"/>
  <c r="G6693" i="19"/>
  <c r="G6549" i="19"/>
  <c r="G6405" i="19"/>
  <c r="G6261" i="19"/>
  <c r="G9632" i="19"/>
  <c r="G9218" i="19"/>
  <c r="G8897" i="19"/>
  <c r="G8639" i="19"/>
  <c r="G8402" i="19"/>
  <c r="G8193" i="19"/>
  <c r="G8005" i="19"/>
  <c r="G7815" i="19"/>
  <c r="G7631" i="19"/>
  <c r="G7462" i="19"/>
  <c r="G7305" i="19"/>
  <c r="G7148" i="19"/>
  <c r="G6992" i="19"/>
  <c r="G6848" i="19"/>
  <c r="G9701" i="19"/>
  <c r="G9281" i="19"/>
  <c r="G8940" i="19"/>
  <c r="G8679" i="19"/>
  <c r="G8439" i="19"/>
  <c r="G8221" i="19"/>
  <c r="G8033" i="19"/>
  <c r="G7844" i="19"/>
  <c r="G7657" i="19"/>
  <c r="G7486" i="19"/>
  <c r="G9724" i="19"/>
  <c r="G9163" i="19"/>
  <c r="G8776" i="19"/>
  <c r="G8451" i="19"/>
  <c r="G8168" i="19"/>
  <c r="G7917" i="19"/>
  <c r="G7666" i="19"/>
  <c r="G9619" i="19"/>
  <c r="G9080" i="19"/>
  <c r="G8715" i="19"/>
  <c r="G8397" i="19"/>
  <c r="G8124" i="19"/>
  <c r="G7873" i="19"/>
  <c r="G7624" i="19"/>
  <c r="G7404" i="19"/>
  <c r="G7216" i="19"/>
  <c r="G7026" i="19"/>
  <c r="G6853" i="19"/>
  <c r="G6690" i="19"/>
  <c r="G6533" i="19"/>
  <c r="G6376" i="19"/>
  <c r="G6220" i="19"/>
  <c r="G6076" i="19"/>
  <c r="G5932" i="19"/>
  <c r="G5788" i="19"/>
  <c r="G5644" i="19"/>
  <c r="G5500" i="19"/>
  <c r="G5356" i="19"/>
  <c r="G5212" i="19"/>
  <c r="G5068" i="19"/>
  <c r="G4924" i="19"/>
  <c r="G4780" i="19"/>
  <c r="G4636" i="19"/>
  <c r="G4492" i="19"/>
  <c r="G4348" i="19"/>
  <c r="G9868" i="19"/>
  <c r="G9291" i="19"/>
  <c r="G8858" i="19"/>
  <c r="G8524" i="19"/>
  <c r="G8229" i="19"/>
  <c r="G7978" i="19"/>
  <c r="G7725" i="19"/>
  <c r="G7491" i="19"/>
  <c r="G7294" i="19"/>
  <c r="G7104" i="19"/>
  <c r="G6924" i="19"/>
  <c r="G6755" i="19"/>
  <c r="G6598" i="19"/>
  <c r="G6440" i="19"/>
  <c r="G6283" i="19"/>
  <c r="G6135" i="19"/>
  <c r="G5991" i="19"/>
  <c r="G5847" i="19"/>
  <c r="G5703" i="19"/>
  <c r="G5559" i="19"/>
  <c r="G5415" i="19"/>
  <c r="G5271" i="19"/>
  <c r="G5127" i="19"/>
  <c r="G4983" i="19"/>
  <c r="G4839" i="19"/>
  <c r="G4695" i="19"/>
  <c r="G4551" i="19"/>
  <c r="G4407" i="19"/>
  <c r="G9852" i="19"/>
  <c r="G9283" i="19"/>
  <c r="G8850" i="19"/>
  <c r="G8516" i="19"/>
  <c r="G8222" i="19"/>
  <c r="G7971" i="19"/>
  <c r="G7720" i="19"/>
  <c r="G7487" i="19"/>
  <c r="G7289" i="19"/>
  <c r="G7102" i="19"/>
  <c r="G6922" i="19"/>
  <c r="G6752" i="19"/>
  <c r="G6595" i="19"/>
  <c r="G9180" i="19"/>
  <c r="G8617" i="19"/>
  <c r="G8174" i="19"/>
  <c r="G7797" i="19"/>
  <c r="G9798" i="19"/>
  <c r="G9000" i="19"/>
  <c r="G8488" i="19"/>
  <c r="G8075" i="19"/>
  <c r="G7697" i="19"/>
  <c r="G7391" i="19"/>
  <c r="G7140" i="19"/>
  <c r="G6899" i="19"/>
  <c r="G6679" i="19"/>
  <c r="G6482" i="19"/>
  <c r="G6292" i="19"/>
  <c r="G6115" i="19"/>
  <c r="G5941" i="19"/>
  <c r="G5769" i="19"/>
  <c r="G5597" i="19"/>
  <c r="G5423" i="19"/>
  <c r="G5251" i="19"/>
  <c r="G5077" i="19"/>
  <c r="G4905" i="19"/>
  <c r="G4733" i="19"/>
  <c r="G4559" i="19"/>
  <c r="G4387" i="19"/>
  <c r="G4222" i="19"/>
  <c r="G4078" i="19"/>
  <c r="G3934" i="19"/>
  <c r="G9797" i="19"/>
  <c r="G8998" i="19"/>
  <c r="G8487" i="19"/>
  <c r="G8074" i="19"/>
  <c r="G7696" i="19"/>
  <c r="G7390" i="19"/>
  <c r="G7139" i="19"/>
  <c r="G6898" i="19"/>
  <c r="G6678" i="19"/>
  <c r="G6479" i="19"/>
  <c r="G6291" i="19"/>
  <c r="G6114" i="19"/>
  <c r="G5940" i="19"/>
  <c r="G5768" i="19"/>
  <c r="G5594" i="19"/>
  <c r="G5422" i="19"/>
  <c r="G5250" i="19"/>
  <c r="G5076" i="19"/>
  <c r="G4904" i="19"/>
  <c r="G4730" i="19"/>
  <c r="G4558" i="19"/>
  <c r="G4386" i="19"/>
  <c r="G9568" i="19"/>
  <c r="G8856" i="19"/>
  <c r="G8369" i="19"/>
  <c r="G7974" i="19"/>
  <c r="G7605" i="19"/>
  <c r="G7321" i="19"/>
  <c r="G7068" i="19"/>
  <c r="G6833" i="19"/>
  <c r="G6620" i="19"/>
  <c r="G6431" i="19"/>
  <c r="G6241" i="19"/>
  <c r="G6068" i="19"/>
  <c r="G5894" i="19"/>
  <c r="G5722" i="19"/>
  <c r="G9615" i="19"/>
  <c r="G8631" i="19"/>
  <c r="G7995" i="19"/>
  <c r="G7470" i="19"/>
  <c r="G7129" i="19"/>
  <c r="G6814" i="19"/>
  <c r="G6538" i="19"/>
  <c r="G6287" i="19"/>
  <c r="G6050" i="19"/>
  <c r="G9602" i="19"/>
  <c r="G8624" i="19"/>
  <c r="G7993" i="19"/>
  <c r="G7468" i="19"/>
  <c r="G7128" i="19"/>
  <c r="G6811" i="19"/>
  <c r="G6536" i="19"/>
  <c r="G6286" i="19"/>
  <c r="G6049" i="19"/>
  <c r="G5819" i="19"/>
  <c r="G5590" i="19"/>
  <c r="G5384" i="19"/>
  <c r="G5174" i="19"/>
  <c r="G4968" i="19"/>
  <c r="G4762" i="19"/>
  <c r="G4554" i="19"/>
  <c r="G4346" i="19"/>
  <c r="G4171" i="19"/>
  <c r="G4014" i="19"/>
  <c r="G3857" i="19"/>
  <c r="G3710" i="19"/>
  <c r="G3566" i="19"/>
  <c r="G3422" i="19"/>
  <c r="G3278" i="19"/>
  <c r="G3134" i="19"/>
  <c r="G2990" i="19"/>
  <c r="G2846" i="19"/>
  <c r="G2702" i="19"/>
  <c r="G2558" i="19"/>
  <c r="G2414" i="19"/>
  <c r="G2270" i="19"/>
  <c r="G9188" i="19"/>
  <c r="G8387" i="19"/>
  <c r="G7802" i="19"/>
  <c r="G7350" i="19"/>
  <c r="G7016" i="19"/>
  <c r="G6718" i="19"/>
  <c r="G6451" i="19"/>
  <c r="G6203" i="19"/>
  <c r="G5973" i="19"/>
  <c r="G5743" i="19"/>
  <c r="G5519" i="19"/>
  <c r="G5313" i="19"/>
  <c r="G5105" i="19"/>
  <c r="G4897" i="19"/>
  <c r="G4691" i="19"/>
  <c r="G4483" i="19"/>
  <c r="G4279" i="19"/>
  <c r="G4118" i="19"/>
  <c r="G3961" i="19"/>
  <c r="G3805" i="19"/>
  <c r="G3661" i="19"/>
  <c r="G3517" i="19"/>
  <c r="G3373" i="19"/>
  <c r="G3229" i="19"/>
  <c r="G3085" i="19"/>
  <c r="G2941" i="19"/>
  <c r="G2797" i="19"/>
  <c r="G2653" i="19"/>
  <c r="G9684" i="19"/>
  <c r="G8672" i="19"/>
  <c r="G8027" i="19"/>
  <c r="G7494" i="19"/>
  <c r="G7146" i="19"/>
  <c r="G6830" i="19"/>
  <c r="G6552" i="19"/>
  <c r="G6301" i="19"/>
  <c r="G6065" i="19"/>
  <c r="G5833" i="19"/>
  <c r="G5603" i="19"/>
  <c r="G5397" i="19"/>
  <c r="G5189" i="19"/>
  <c r="G4981" i="19"/>
  <c r="G4773" i="19"/>
  <c r="G4567" i="19"/>
  <c r="G4361" i="19"/>
  <c r="G4181" i="19"/>
  <c r="G4024" i="19"/>
  <c r="G8906" i="19"/>
  <c r="G7918" i="19"/>
  <c r="G7251" i="19"/>
  <c r="G6773" i="19"/>
  <c r="G6378" i="19"/>
  <c r="G6020" i="19"/>
  <c r="G5698" i="19"/>
  <c r="G5411" i="19"/>
  <c r="G5133" i="19"/>
  <c r="G4857" i="19"/>
  <c r="G4581" i="19"/>
  <c r="G4305" i="19"/>
  <c r="G4087" i="19"/>
  <c r="G3888" i="19"/>
  <c r="G9136" i="19"/>
  <c r="G8056" i="19"/>
  <c r="G7334" i="19"/>
  <c r="G6845" i="19"/>
  <c r="G6438" i="19"/>
  <c r="G6077" i="19"/>
  <c r="G5747" i="19"/>
  <c r="G5457" i="19"/>
  <c r="G5181" i="19"/>
  <c r="G4903" i="19"/>
  <c r="G4627" i="19"/>
  <c r="G4351" i="19"/>
  <c r="G4122" i="19"/>
  <c r="G3917" i="19"/>
  <c r="G3737" i="19"/>
  <c r="G3563" i="19"/>
  <c r="G3391" i="19"/>
  <c r="G3219" i="19"/>
  <c r="G3045" i="19"/>
  <c r="G2873" i="19"/>
  <c r="G2699" i="19"/>
  <c r="G2528" i="19"/>
  <c r="G2371" i="19"/>
  <c r="G2214" i="19"/>
  <c r="G2070" i="19"/>
  <c r="G1926" i="19"/>
  <c r="G1782" i="19"/>
  <c r="G1638" i="19"/>
  <c r="G1494" i="19"/>
  <c r="G1350" i="19"/>
  <c r="G1206" i="19"/>
  <c r="G1062" i="19"/>
  <c r="G8894" i="19"/>
  <c r="G7905" i="19"/>
  <c r="G7249" i="19"/>
  <c r="G6771" i="19"/>
  <c r="G6374" i="19"/>
  <c r="G6018" i="19"/>
  <c r="G5693" i="19"/>
  <c r="G5407" i="19"/>
  <c r="G5131" i="19"/>
  <c r="G4855" i="19"/>
  <c r="G4579" i="19"/>
  <c r="G4303" i="19"/>
  <c r="G4085" i="19"/>
  <c r="G3885" i="19"/>
  <c r="G3706" i="19"/>
  <c r="G3534" i="19"/>
  <c r="G3360" i="19"/>
  <c r="G3188" i="19"/>
  <c r="G3016" i="19"/>
  <c r="G2842" i="19"/>
  <c r="G2670" i="19"/>
  <c r="G2501" i="19"/>
  <c r="G2344" i="19"/>
  <c r="G2189" i="19"/>
  <c r="G2045" i="19"/>
  <c r="G1901" i="19"/>
  <c r="G1757" i="19"/>
  <c r="G1613" i="19"/>
  <c r="G1469" i="19"/>
  <c r="G1325" i="19"/>
  <c r="G1181" i="19"/>
  <c r="G8873" i="19"/>
  <c r="G7899" i="19"/>
  <c r="G7235" i="19"/>
  <c r="G6759" i="19"/>
  <c r="G6365" i="19"/>
  <c r="G6008" i="19"/>
  <c r="G5689" i="19"/>
  <c r="G5405" i="19"/>
  <c r="G5129" i="19"/>
  <c r="G4853" i="19"/>
  <c r="G4577" i="19"/>
  <c r="G4297" i="19"/>
  <c r="G4083" i="19"/>
  <c r="G3881" i="19"/>
  <c r="G3704" i="19"/>
  <c r="G3532" i="19"/>
  <c r="G3358" i="19"/>
  <c r="G3186" i="19"/>
  <c r="G3012" i="19"/>
  <c r="G9650" i="19"/>
  <c r="G7869" i="19"/>
  <c r="G6976" i="19"/>
  <c r="G6358" i="19"/>
  <c r="G5832" i="19"/>
  <c r="G5396" i="19"/>
  <c r="G4980" i="19"/>
  <c r="G4566" i="19"/>
  <c r="G4180" i="19"/>
  <c r="G3877" i="19"/>
  <c r="G3631" i="19"/>
  <c r="G3401" i="19"/>
  <c r="G3171" i="19"/>
  <c r="G2939" i="19"/>
  <c r="G2724" i="19"/>
  <c r="G2520" i="19"/>
  <c r="G2333" i="19"/>
  <c r="G2149" i="19"/>
  <c r="G1977" i="19"/>
  <c r="G1803" i="19"/>
  <c r="G1631" i="19"/>
  <c r="G1459" i="19"/>
  <c r="G1285" i="19"/>
  <c r="G9845" i="19"/>
  <c r="G7965" i="19"/>
  <c r="G7024" i="19"/>
  <c r="G6396" i="19"/>
  <c r="G5865" i="19"/>
  <c r="G5425" i="19"/>
  <c r="G5011" i="19"/>
  <c r="G4595" i="19"/>
  <c r="G4203" i="19"/>
  <c r="G3897" i="19"/>
  <c r="G3652" i="19"/>
  <c r="G3420" i="19"/>
  <c r="G3190" i="19"/>
  <c r="G2960" i="19"/>
  <c r="G1738" i="19"/>
  <c r="G2819" i="19"/>
  <c r="G4712" i="19"/>
  <c r="G121" i="19"/>
  <c r="G687" i="19"/>
  <c r="G1452" i="19"/>
  <c r="G2419" i="19"/>
  <c r="G3836" i="19"/>
  <c r="G8152" i="19"/>
  <c r="G482" i="19"/>
  <c r="G1152" i="19"/>
  <c r="G2079" i="19"/>
  <c r="G3335" i="19"/>
  <c r="G5937" i="19"/>
  <c r="G1107" i="19"/>
  <c r="G3367" i="19"/>
  <c r="G305" i="19"/>
  <c r="G989" i="19"/>
  <c r="G1928" i="19"/>
  <c r="G3224" i="19"/>
  <c r="G5699" i="19"/>
  <c r="G265" i="19"/>
  <c r="G880" i="19"/>
  <c r="G1714" i="19"/>
  <c r="G2768" i="19"/>
  <c r="G4608" i="19"/>
  <c r="G103" i="19"/>
  <c r="G656" i="19"/>
  <c r="G1412" i="19"/>
  <c r="G2375" i="19"/>
  <c r="G3798" i="19"/>
  <c r="G7679" i="19"/>
  <c r="G462" i="19"/>
  <c r="G1128" i="19"/>
  <c r="G2037" i="19"/>
  <c r="G3279" i="19"/>
  <c r="G5759" i="19"/>
  <c r="G3911" i="19"/>
  <c r="G673" i="19"/>
  <c r="G1516" i="19"/>
  <c r="G2493" i="19"/>
  <c r="G4008" i="19"/>
  <c r="G9995" i="19"/>
  <c r="G9851" i="19"/>
  <c r="G9707" i="19"/>
  <c r="G9563" i="19"/>
  <c r="G9419" i="19"/>
  <c r="G9275" i="19"/>
  <c r="G9131" i="19"/>
  <c r="G10005" i="19"/>
  <c r="G9861" i="19"/>
  <c r="G9717" i="19"/>
  <c r="G9573" i="19"/>
  <c r="G9429" i="19"/>
  <c r="G9285" i="19"/>
  <c r="G9141" i="19"/>
  <c r="G9949" i="19"/>
  <c r="G9775" i="19"/>
  <c r="G9603" i="19"/>
  <c r="G9430" i="19"/>
  <c r="G9257" i="19"/>
  <c r="G9085" i="19"/>
  <c r="G8929" i="19"/>
  <c r="G9944" i="19"/>
  <c r="G9772" i="19"/>
  <c r="G9600" i="19"/>
  <c r="G9426" i="19"/>
  <c r="G9254" i="19"/>
  <c r="G10001" i="19"/>
  <c r="G9795" i="19"/>
  <c r="G9588" i="19"/>
  <c r="G9379" i="19"/>
  <c r="G9173" i="19"/>
  <c r="G8983" i="19"/>
  <c r="G8827" i="19"/>
  <c r="G8683" i="19"/>
  <c r="G8539" i="19"/>
  <c r="G8395" i="19"/>
  <c r="G8251" i="19"/>
  <c r="G8107" i="19"/>
  <c r="G7963" i="19"/>
  <c r="G7819" i="19"/>
  <c r="G7675" i="19"/>
  <c r="G9808" i="19"/>
  <c r="G9601" i="19"/>
  <c r="G9392" i="19"/>
  <c r="G9186" i="19"/>
  <c r="G9794" i="19"/>
  <c r="G9544" i="19"/>
  <c r="G9295" i="19"/>
  <c r="G9061" i="19"/>
  <c r="G8882" i="19"/>
  <c r="G8721" i="19"/>
  <c r="G8564" i="19"/>
  <c r="G9793" i="19"/>
  <c r="G9543" i="19"/>
  <c r="G9294" i="19"/>
  <c r="G9060" i="19"/>
  <c r="G8880" i="19"/>
  <c r="G8720" i="19"/>
  <c r="G8562" i="19"/>
  <c r="G8405" i="19"/>
  <c r="G9976" i="19"/>
  <c r="G9727" i="19"/>
  <c r="G9478" i="19"/>
  <c r="G9900" i="19"/>
  <c r="G9557" i="19"/>
  <c r="G9248" i="19"/>
  <c r="G8987" i="19"/>
  <c r="G8787" i="19"/>
  <c r="G8597" i="19"/>
  <c r="G8422" i="19"/>
  <c r="G8252" i="19"/>
  <c r="G8094" i="19"/>
  <c r="G7937" i="19"/>
  <c r="G7780" i="19"/>
  <c r="G7627" i="19"/>
  <c r="G7483" i="19"/>
  <c r="G7339" i="19"/>
  <c r="G7195" i="19"/>
  <c r="G7051" i="19"/>
  <c r="G9748" i="19"/>
  <c r="G9423" i="19"/>
  <c r="G9126" i="19"/>
  <c r="G8900" i="19"/>
  <c r="G8705" i="19"/>
  <c r="G8520" i="19"/>
  <c r="G8349" i="19"/>
  <c r="G8185" i="19"/>
  <c r="G8028" i="19"/>
  <c r="G7871" i="19"/>
  <c r="G7714" i="19"/>
  <c r="G7566" i="19"/>
  <c r="G9799" i="19"/>
  <c r="G9469" i="19"/>
  <c r="G9166" i="19"/>
  <c r="G8932" i="19"/>
  <c r="G8736" i="19"/>
  <c r="G8546" i="19"/>
  <c r="G8375" i="19"/>
  <c r="G9784" i="19"/>
  <c r="G9353" i="19"/>
  <c r="G8991" i="19"/>
  <c r="G8727" i="19"/>
  <c r="G8482" i="19"/>
  <c r="G8257" i="19"/>
  <c r="G8069" i="19"/>
  <c r="G7880" i="19"/>
  <c r="G7692" i="19"/>
  <c r="G7516" i="19"/>
  <c r="G7358" i="19"/>
  <c r="G7201" i="19"/>
  <c r="G7044" i="19"/>
  <c r="G6897" i="19"/>
  <c r="G6753" i="19"/>
  <c r="G6609" i="19"/>
  <c r="G6465" i="19"/>
  <c r="G6321" i="19"/>
  <c r="G9820" i="19"/>
  <c r="G9386" i="19"/>
  <c r="G9014" i="19"/>
  <c r="G8745" i="19"/>
  <c r="G8499" i="19"/>
  <c r="G8271" i="19"/>
  <c r="G8084" i="19"/>
  <c r="G7894" i="19"/>
  <c r="G7706" i="19"/>
  <c r="G7529" i="19"/>
  <c r="G7370" i="19"/>
  <c r="G7213" i="19"/>
  <c r="G7056" i="19"/>
  <c r="G6908" i="19"/>
  <c r="G9889" i="19"/>
  <c r="G9447" i="19"/>
  <c r="G9062" i="19"/>
  <c r="G8783" i="19"/>
  <c r="G8533" i="19"/>
  <c r="G8305" i="19"/>
  <c r="G8112" i="19"/>
  <c r="G7922" i="19"/>
  <c r="G7734" i="19"/>
  <c r="G7557" i="19"/>
  <c r="G9990" i="19"/>
  <c r="G9389" i="19"/>
  <c r="G8925" i="19"/>
  <c r="G8583" i="19"/>
  <c r="G8273" i="19"/>
  <c r="G8022" i="19"/>
  <c r="G7772" i="19"/>
  <c r="G9870" i="19"/>
  <c r="G9298" i="19"/>
  <c r="G8859" i="19"/>
  <c r="G8525" i="19"/>
  <c r="G8230" i="19"/>
  <c r="G7979" i="19"/>
  <c r="G7726" i="19"/>
  <c r="G7492" i="19"/>
  <c r="G7295" i="19"/>
  <c r="G7105" i="19"/>
  <c r="G6925" i="19"/>
  <c r="G6756" i="19"/>
  <c r="G6599" i="19"/>
  <c r="G6442" i="19"/>
  <c r="G6284" i="19"/>
  <c r="G6136" i="19"/>
  <c r="G5992" i="19"/>
  <c r="G5848" i="19"/>
  <c r="G5704" i="19"/>
  <c r="G5560" i="19"/>
  <c r="G5416" i="19"/>
  <c r="G5272" i="19"/>
  <c r="G5128" i="19"/>
  <c r="G4984" i="19"/>
  <c r="G4840" i="19"/>
  <c r="G4696" i="19"/>
  <c r="G4552" i="19"/>
  <c r="G4408" i="19"/>
  <c r="G4264" i="19"/>
  <c r="G9511" i="19"/>
  <c r="G9007" i="19"/>
  <c r="G8656" i="19"/>
  <c r="G8342" i="19"/>
  <c r="G8078" i="19"/>
  <c r="G7827" i="19"/>
  <c r="G7584" i="19"/>
  <c r="G7372" i="19"/>
  <c r="G7182" i="19"/>
  <c r="G6996" i="19"/>
  <c r="G6822" i="19"/>
  <c r="G6663" i="19"/>
  <c r="G6506" i="19"/>
  <c r="G6349" i="19"/>
  <c r="G6195" i="19"/>
  <c r="G6051" i="19"/>
  <c r="G5907" i="19"/>
  <c r="G5763" i="19"/>
  <c r="G5619" i="19"/>
  <c r="G5475" i="19"/>
  <c r="G5331" i="19"/>
  <c r="G5187" i="19"/>
  <c r="G5043" i="19"/>
  <c r="G4899" i="19"/>
  <c r="G4755" i="19"/>
  <c r="G4611" i="19"/>
  <c r="G4467" i="19"/>
  <c r="G4323" i="19"/>
  <c r="G9509" i="19"/>
  <c r="G9003" i="19"/>
  <c r="G8652" i="19"/>
  <c r="G8339" i="19"/>
  <c r="G8076" i="19"/>
  <c r="G7825" i="19"/>
  <c r="G7582" i="19"/>
  <c r="G7368" i="19"/>
  <c r="G7180" i="19"/>
  <c r="G6994" i="19"/>
  <c r="G6820" i="19"/>
  <c r="G6661" i="19"/>
  <c r="G9510" i="19"/>
  <c r="G8822" i="19"/>
  <c r="G8341" i="19"/>
  <c r="G7953" i="19"/>
  <c r="G7583" i="19"/>
  <c r="G9307" i="19"/>
  <c r="G8698" i="19"/>
  <c r="G8234" i="19"/>
  <c r="G7857" i="19"/>
  <c r="G7504" i="19"/>
  <c r="G7242" i="19"/>
  <c r="G6991" i="19"/>
  <c r="G6764" i="19"/>
  <c r="G6560" i="19"/>
  <c r="G6371" i="19"/>
  <c r="G6187" i="19"/>
  <c r="G6013" i="19"/>
  <c r="G5841" i="19"/>
  <c r="G5669" i="19"/>
  <c r="G5495" i="19"/>
  <c r="G5323" i="19"/>
  <c r="G5149" i="19"/>
  <c r="G4977" i="19"/>
  <c r="G4805" i="19"/>
  <c r="G4631" i="19"/>
  <c r="G4459" i="19"/>
  <c r="G4286" i="19"/>
  <c r="G4138" i="19"/>
  <c r="G3994" i="19"/>
  <c r="G3850" i="19"/>
  <c r="G9305" i="19"/>
  <c r="G8697" i="19"/>
  <c r="G8233" i="19"/>
  <c r="G7856" i="19"/>
  <c r="G7503" i="19"/>
  <c r="G7241" i="19"/>
  <c r="G6990" i="19"/>
  <c r="G6763" i="19"/>
  <c r="G6557" i="19"/>
  <c r="G6370" i="19"/>
  <c r="G6186" i="19"/>
  <c r="G6012" i="19"/>
  <c r="G5840" i="19"/>
  <c r="G5666" i="19"/>
  <c r="G5494" i="19"/>
  <c r="G5322" i="19"/>
  <c r="G5148" i="19"/>
  <c r="G4976" i="19"/>
  <c r="G4802" i="19"/>
  <c r="G4630" i="19"/>
  <c r="G4458" i="19"/>
  <c r="G9948" i="19"/>
  <c r="G9100" i="19"/>
  <c r="G8560" i="19"/>
  <c r="G8135" i="19"/>
  <c r="G7757" i="19"/>
  <c r="G7429" i="19"/>
  <c r="G7176" i="19"/>
  <c r="G6930" i="19"/>
  <c r="G6709" i="19"/>
  <c r="G6509" i="19"/>
  <c r="G6319" i="19"/>
  <c r="G6140" i="19"/>
  <c r="G5966" i="19"/>
  <c r="G5794" i="19"/>
  <c r="G5622" i="19"/>
  <c r="G8956" i="19"/>
  <c r="G8232" i="19"/>
  <c r="G7667" i="19"/>
  <c r="G7271" i="19"/>
  <c r="G6942" i="19"/>
  <c r="G6649" i="19"/>
  <c r="G6392" i="19"/>
  <c r="G6149" i="19"/>
  <c r="G5917" i="19"/>
  <c r="G8939" i="19"/>
  <c r="G8220" i="19"/>
  <c r="G7656" i="19"/>
  <c r="G7270" i="19"/>
  <c r="G6941" i="19"/>
  <c r="G6647" i="19"/>
  <c r="G6391" i="19"/>
  <c r="G6146" i="19"/>
  <c r="G1300" i="19"/>
  <c r="G2611" i="19"/>
  <c r="G6706" i="19"/>
  <c r="G578" i="19"/>
  <c r="G1907" i="19"/>
  <c r="G3575" i="19"/>
  <c r="G206" i="19"/>
  <c r="G1025" i="19"/>
  <c r="G2623" i="19"/>
  <c r="G5281" i="19"/>
  <c r="G2184" i="19"/>
  <c r="G176" i="19"/>
  <c r="G1407" i="19"/>
  <c r="G2988" i="19"/>
  <c r="G18" i="19"/>
  <c r="G769" i="19"/>
  <c r="G2188" i="19"/>
  <c r="G4136" i="19"/>
  <c r="G352" i="19"/>
  <c r="G1262" i="19"/>
  <c r="G2992" i="19"/>
  <c r="G6551" i="19"/>
  <c r="G782" i="19"/>
  <c r="G1868" i="19"/>
  <c r="G4165" i="19"/>
  <c r="G2446" i="19"/>
  <c r="G1075" i="19"/>
  <c r="G2307" i="19"/>
  <c r="G5484" i="19"/>
  <c r="G9875" i="19"/>
  <c r="G9635" i="19"/>
  <c r="G9443" i="19"/>
  <c r="G9203" i="19"/>
  <c r="G9011" i="19"/>
  <c r="G9789" i="19"/>
  <c r="G9597" i="19"/>
  <c r="G9357" i="19"/>
  <c r="G9165" i="19"/>
  <c r="G9862" i="19"/>
  <c r="G9631" i="19"/>
  <c r="G9343" i="19"/>
  <c r="G9113" i="19"/>
  <c r="G8857" i="19"/>
  <c r="G9800" i="19"/>
  <c r="G9512" i="19"/>
  <c r="G9282" i="19"/>
  <c r="G9898" i="19"/>
  <c r="G9622" i="19"/>
  <c r="G9277" i="19"/>
  <c r="G9010" i="19"/>
  <c r="G8755" i="19"/>
  <c r="G8563" i="19"/>
  <c r="G8323" i="19"/>
  <c r="G8131" i="19"/>
  <c r="G7891" i="19"/>
  <c r="G7699" i="19"/>
  <c r="G9704" i="19"/>
  <c r="G9427" i="19"/>
  <c r="G9918" i="19"/>
  <c r="G9586" i="19"/>
  <c r="G9172" i="19"/>
  <c r="G8910" i="19"/>
  <c r="G8642" i="19"/>
  <c r="G9834" i="19"/>
  <c r="G9420" i="19"/>
  <c r="G9092" i="19"/>
  <c r="G8798" i="19"/>
  <c r="G8589" i="19"/>
  <c r="G8327" i="19"/>
  <c r="G9769" i="19"/>
  <c r="G9890" i="19"/>
  <c r="G9613" i="19"/>
  <c r="G9106" i="19"/>
  <c r="G8818" i="19"/>
  <c r="G8507" i="19"/>
  <c r="G8279" i="19"/>
  <c r="G8016" i="19"/>
  <c r="G7806" i="19"/>
  <c r="G7555" i="19"/>
  <c r="G7363" i="19"/>
  <c r="G7123" i="19"/>
  <c r="G9804" i="19"/>
  <c r="G9270" i="19"/>
  <c r="G8934" i="19"/>
  <c r="G8612" i="19"/>
  <c r="G8377" i="19"/>
  <c r="G8106" i="19"/>
  <c r="G7897" i="19"/>
  <c r="G7638" i="19"/>
  <c r="G9857" i="19"/>
  <c r="G9319" i="19"/>
  <c r="G8964" i="19"/>
  <c r="G8640" i="19"/>
  <c r="G8403" i="19"/>
  <c r="G9567" i="19"/>
  <c r="G9038" i="19"/>
  <c r="G8601" i="19"/>
  <c r="G8291" i="19"/>
  <c r="G7973" i="19"/>
  <c r="G7722" i="19"/>
  <c r="G7437" i="19"/>
  <c r="G7227" i="19"/>
  <c r="G6969" i="19"/>
  <c r="G6777" i="19"/>
  <c r="G6537" i="19"/>
  <c r="G6345" i="19"/>
  <c r="G9595" i="19"/>
  <c r="G9066" i="19"/>
  <c r="G8620" i="19"/>
  <c r="G8309" i="19"/>
  <c r="G7988" i="19"/>
  <c r="G7737" i="19"/>
  <c r="G7449" i="19"/>
  <c r="G7239" i="19"/>
  <c r="G6980" i="19"/>
  <c r="G9972" i="19"/>
  <c r="G9246" i="19"/>
  <c r="G8826" i="19"/>
  <c r="G8420" i="19"/>
  <c r="G8142" i="19"/>
  <c r="G7828" i="19"/>
  <c r="G7585" i="19"/>
  <c r="G9678" i="19"/>
  <c r="G8979" i="19"/>
  <c r="G8426" i="19"/>
  <c r="G8062" i="19"/>
  <c r="G7647" i="19"/>
  <c r="G9385" i="19"/>
  <c r="G8689" i="19"/>
  <c r="G8270" i="19"/>
  <c r="G7852" i="19"/>
  <c r="G7528" i="19"/>
  <c r="G7199" i="19"/>
  <c r="G6953" i="19"/>
  <c r="G6677" i="19"/>
  <c r="G6468" i="19"/>
  <c r="G6208" i="19"/>
  <c r="G6016" i="19"/>
  <c r="G5776" i="19"/>
  <c r="G5584" i="19"/>
  <c r="G5344" i="19"/>
  <c r="G5152" i="19"/>
  <c r="G4912" i="19"/>
  <c r="G4720" i="19"/>
  <c r="G4480" i="19"/>
  <c r="G4288" i="19"/>
  <c r="G9244" i="19"/>
  <c r="G8714" i="19"/>
  <c r="G8205" i="19"/>
  <c r="G7870" i="19"/>
  <c r="G7472" i="19"/>
  <c r="G7215" i="19"/>
  <c r="G6910" i="19"/>
  <c r="G6689" i="19"/>
  <c r="G6427" i="19"/>
  <c r="G6219" i="19"/>
  <c r="G5979" i="19"/>
  <c r="G5787" i="19"/>
  <c r="G5547" i="19"/>
  <c r="G5355" i="19"/>
  <c r="G5115" i="19"/>
  <c r="G4923" i="19"/>
  <c r="G4683" i="19"/>
  <c r="G4491" i="19"/>
  <c r="G9802" i="19"/>
  <c r="G9074" i="19"/>
  <c r="G8490" i="19"/>
  <c r="G8118" i="19"/>
  <c r="G7698" i="19"/>
  <c r="G7401" i="19"/>
  <c r="G7086" i="19"/>
  <c r="G6850" i="19"/>
  <c r="G9968" i="19"/>
  <c r="G8912" i="19"/>
  <c r="G8140" i="19"/>
  <c r="G7641" i="19"/>
  <c r="G8959" i="19"/>
  <c r="G8302" i="19"/>
  <c r="G7669" i="19"/>
  <c r="G7285" i="19"/>
  <c r="G6877" i="19"/>
  <c r="G6591" i="19"/>
  <c r="G6277" i="19"/>
  <c r="G6043" i="19"/>
  <c r="G5755" i="19"/>
  <c r="G5525" i="19"/>
  <c r="G5237" i="19"/>
  <c r="G5005" i="19"/>
  <c r="G4717" i="19"/>
  <c r="G4487" i="19"/>
  <c r="G4210" i="19"/>
  <c r="G4018" i="19"/>
  <c r="G9734" i="19"/>
  <c r="G8778" i="19"/>
  <c r="G8045" i="19"/>
  <c r="G7553" i="19"/>
  <c r="G7115" i="19"/>
  <c r="G6799" i="19"/>
  <c r="G6463" i="19"/>
  <c r="G6214" i="19"/>
  <c r="G5926" i="19"/>
  <c r="G5696" i="19"/>
  <c r="G5408" i="19"/>
  <c r="G5178" i="19"/>
  <c r="G4890" i="19"/>
  <c r="G4658" i="19"/>
  <c r="G4370" i="19"/>
  <c r="G9230" i="19"/>
  <c r="G8331" i="19"/>
  <c r="G7821" i="19"/>
  <c r="G7300" i="19"/>
  <c r="G6971" i="19"/>
  <c r="G6604" i="19"/>
  <c r="G6352" i="19"/>
  <c r="G6054" i="19"/>
  <c r="G5822" i="19"/>
  <c r="G9495" i="19"/>
  <c r="G8333" i="19"/>
  <c r="G7443" i="19"/>
  <c r="G6995" i="19"/>
  <c r="G6517" i="19"/>
  <c r="G6188" i="19"/>
  <c r="G9492" i="19"/>
  <c r="G8330" i="19"/>
  <c r="G7442" i="19"/>
  <c r="G6989" i="19"/>
  <c r="G6516" i="19"/>
  <c r="G6185" i="19"/>
  <c r="G5877" i="19"/>
  <c r="G5574" i="19"/>
  <c r="G5330" i="19"/>
  <c r="G5088" i="19"/>
  <c r="G4848" i="19"/>
  <c r="G4606" i="19"/>
  <c r="G4330" i="19"/>
  <c r="G4132" i="19"/>
  <c r="G3949" i="19"/>
  <c r="G3770" i="19"/>
  <c r="G3602" i="19"/>
  <c r="G3410" i="19"/>
  <c r="G3242" i="19"/>
  <c r="G3074" i="19"/>
  <c r="G2906" i="19"/>
  <c r="G2738" i="19"/>
  <c r="G2570" i="19"/>
  <c r="G2402" i="19"/>
  <c r="G2246" i="19"/>
  <c r="G8936" i="19"/>
  <c r="G8180" i="19"/>
  <c r="G7572" i="19"/>
  <c r="G7185" i="19"/>
  <c r="G6832" i="19"/>
  <c r="G6535" i="19"/>
  <c r="G6264" i="19"/>
  <c r="G6009" i="19"/>
  <c r="G5760" i="19"/>
  <c r="G5503" i="19"/>
  <c r="G5277" i="19"/>
  <c r="G5053" i="19"/>
  <c r="G4829" i="19"/>
  <c r="G4605" i="19"/>
  <c r="G4379" i="19"/>
  <c r="G4183" i="19"/>
  <c r="G4013" i="19"/>
  <c r="G3843" i="19"/>
  <c r="G3685" i="19"/>
  <c r="G3529" i="19"/>
  <c r="G3361" i="19"/>
  <c r="G3205" i="19"/>
  <c r="G3049" i="19"/>
  <c r="G2893" i="19"/>
  <c r="G2737" i="19"/>
  <c r="G2581" i="19"/>
  <c r="G8997" i="19"/>
  <c r="G8217" i="19"/>
  <c r="G7609" i="19"/>
  <c r="G7206" i="19"/>
  <c r="G6856" i="19"/>
  <c r="G6531" i="19"/>
  <c r="G6259" i="19"/>
  <c r="G6007" i="19"/>
  <c r="G5758" i="19"/>
  <c r="G5517" i="19"/>
  <c r="G5291" i="19"/>
  <c r="G5069" i="19"/>
  <c r="G4843" i="19"/>
  <c r="G4619" i="19"/>
  <c r="G4393" i="19"/>
  <c r="G4194" i="19"/>
  <c r="G4011" i="19"/>
  <c r="G8713" i="19"/>
  <c r="G7709" i="19"/>
  <c r="G7084" i="19"/>
  <c r="G6596" i="19"/>
  <c r="G6192" i="19"/>
  <c r="G5828" i="19"/>
  <c r="G5505" i="19"/>
  <c r="G5203" i="19"/>
  <c r="G4906" i="19"/>
  <c r="G4607" i="19"/>
  <c r="G4284" i="19"/>
  <c r="G4055" i="19"/>
  <c r="G3840" i="19"/>
  <c r="G8711" i="19"/>
  <c r="G7693" i="19"/>
  <c r="G7081" i="19"/>
  <c r="G6593" i="19"/>
  <c r="G6191" i="19"/>
  <c r="G5825" i="19"/>
  <c r="G5502" i="19"/>
  <c r="G5202" i="19"/>
  <c r="G4880" i="19"/>
  <c r="G4580" i="19"/>
  <c r="G4283" i="19"/>
  <c r="G4051" i="19"/>
  <c r="G3839" i="19"/>
  <c r="G3651" i="19"/>
  <c r="G3463" i="19"/>
  <c r="G3275" i="19"/>
  <c r="G3089" i="19"/>
  <c r="G2901" i="19"/>
  <c r="G2715" i="19"/>
  <c r="G2515" i="19"/>
  <c r="G2345" i="19"/>
  <c r="G2178" i="19"/>
  <c r="G2022" i="19"/>
  <c r="G1866" i="19"/>
  <c r="G1710" i="19"/>
  <c r="G1554" i="19"/>
  <c r="G1398" i="19"/>
  <c r="G1242" i="19"/>
  <c r="G1086" i="19"/>
  <c r="G8988" i="19"/>
  <c r="G7837" i="19"/>
  <c r="G7164" i="19"/>
  <c r="G6662" i="19"/>
  <c r="G6250" i="19"/>
  <c r="G5873" i="19"/>
  <c r="G5545" i="19"/>
  <c r="G5246" i="19"/>
  <c r="G4944" i="19"/>
  <c r="G4649" i="19"/>
  <c r="G4350" i="19"/>
  <c r="G4101" i="19"/>
  <c r="G3868" i="19"/>
  <c r="G3678" i="19"/>
  <c r="G3490" i="19"/>
  <c r="G3304" i="19"/>
  <c r="G3116" i="19"/>
  <c r="G2928" i="19"/>
  <c r="G2742" i="19"/>
  <c r="G2554" i="19"/>
  <c r="G2383" i="19"/>
  <c r="G2213" i="19"/>
  <c r="G2057" i="19"/>
  <c r="G1889" i="19"/>
  <c r="G1733" i="19"/>
  <c r="G1577" i="19"/>
  <c r="G1421" i="19"/>
  <c r="G1265" i="19"/>
  <c r="G9694" i="19"/>
  <c r="G8246" i="19"/>
  <c r="G7402" i="19"/>
  <c r="G6871" i="19"/>
  <c r="G6426" i="19"/>
  <c r="G6037" i="19"/>
  <c r="G1365" i="19"/>
  <c r="G2697" i="19"/>
  <c r="G7233" i="19"/>
  <c r="G638" i="19"/>
  <c r="G1972" i="19"/>
  <c r="G3714" i="19"/>
  <c r="G247" i="19"/>
  <c r="G1079" i="19"/>
  <c r="G2718" i="19"/>
  <c r="G5541" i="19"/>
  <c r="G2353" i="19"/>
  <c r="G219" i="19"/>
  <c r="G1476" i="19"/>
  <c r="G3108" i="19"/>
  <c r="G61" i="19"/>
  <c r="G829" i="19"/>
  <c r="G2286" i="19"/>
  <c r="G4353" i="19"/>
  <c r="G412" i="19"/>
  <c r="G1346" i="19"/>
  <c r="G3137" i="19"/>
  <c r="G7048" i="19"/>
  <c r="G831" i="19"/>
  <c r="G1952" i="19"/>
  <c r="G4404" i="19"/>
  <c r="G3222" i="19"/>
  <c r="G1129" i="19"/>
  <c r="G2398" i="19"/>
  <c r="G5815" i="19"/>
  <c r="G9863" i="19"/>
  <c r="G9623" i="19"/>
  <c r="G9431" i="19"/>
  <c r="G9191" i="19"/>
  <c r="G8999" i="19"/>
  <c r="G9777" i="19"/>
  <c r="G9585" i="19"/>
  <c r="G9345" i="19"/>
  <c r="G9153" i="19"/>
  <c r="G9847" i="19"/>
  <c r="G9617" i="19"/>
  <c r="G9329" i="19"/>
  <c r="G9099" i="19"/>
  <c r="G8845" i="19"/>
  <c r="G9786" i="19"/>
  <c r="G9498" i="19"/>
  <c r="G9268" i="19"/>
  <c r="G9881" i="19"/>
  <c r="G9605" i="19"/>
  <c r="G9259" i="19"/>
  <c r="G8996" i="19"/>
  <c r="G8743" i="19"/>
  <c r="G8551" i="19"/>
  <c r="G8311" i="19"/>
  <c r="G8119" i="19"/>
  <c r="G7879" i="19"/>
  <c r="G7687" i="19"/>
  <c r="G9687" i="19"/>
  <c r="G9410" i="19"/>
  <c r="G9896" i="19"/>
  <c r="G9565" i="19"/>
  <c r="G9150" i="19"/>
  <c r="G8896" i="19"/>
  <c r="G8629" i="19"/>
  <c r="G9812" i="19"/>
  <c r="G9399" i="19"/>
  <c r="G9076" i="19"/>
  <c r="G8785" i="19"/>
  <c r="G8576" i="19"/>
  <c r="G8314" i="19"/>
  <c r="G9749" i="19"/>
  <c r="G9869" i="19"/>
  <c r="G9590" i="19"/>
  <c r="G9084" i="19"/>
  <c r="G8802" i="19"/>
  <c r="G8493" i="19"/>
  <c r="G8265" i="19"/>
  <c r="G8003" i="19"/>
  <c r="G7793" i="19"/>
  <c r="G7543" i="19"/>
  <c r="G7351" i="19"/>
  <c r="G7111" i="19"/>
  <c r="G9780" i="19"/>
  <c r="G9247" i="19"/>
  <c r="G8916" i="19"/>
  <c r="G8596" i="19"/>
  <c r="G8363" i="19"/>
  <c r="G8093" i="19"/>
  <c r="G7884" i="19"/>
  <c r="G7626" i="19"/>
  <c r="G9826" i="19"/>
  <c r="G9292" i="19"/>
  <c r="G8948" i="19"/>
  <c r="G8625" i="19"/>
  <c r="G8389" i="19"/>
  <c r="G9526" i="19"/>
  <c r="G9016" i="19"/>
  <c r="G8580" i="19"/>
  <c r="G8272" i="19"/>
  <c r="G7958" i="19"/>
  <c r="G7707" i="19"/>
  <c r="G7424" i="19"/>
  <c r="G7214" i="19"/>
  <c r="G6957" i="19"/>
  <c r="G6765" i="19"/>
  <c r="G6525" i="19"/>
  <c r="G6333" i="19"/>
  <c r="G9560" i="19"/>
  <c r="G9036" i="19"/>
  <c r="G8600" i="19"/>
  <c r="G8289" i="19"/>
  <c r="G7972" i="19"/>
  <c r="G7721" i="19"/>
  <c r="G7436" i="19"/>
  <c r="G7226" i="19"/>
  <c r="G6968" i="19"/>
  <c r="G9936" i="19"/>
  <c r="G9216" i="19"/>
  <c r="G8806" i="19"/>
  <c r="G8400" i="19"/>
  <c r="G8127" i="19"/>
  <c r="G7813" i="19"/>
  <c r="G7571" i="19"/>
  <c r="G9620" i="19"/>
  <c r="G8955" i="19"/>
  <c r="G8398" i="19"/>
  <c r="G8043" i="19"/>
  <c r="G7625" i="19"/>
  <c r="G9338" i="19"/>
  <c r="G8662" i="19"/>
  <c r="G8248" i="19"/>
  <c r="G7829" i="19"/>
  <c r="G7510" i="19"/>
  <c r="G7184" i="19"/>
  <c r="G6939" i="19"/>
  <c r="G6664" i="19"/>
  <c r="G6455" i="19"/>
  <c r="G6196" i="19"/>
  <c r="G6004" i="19"/>
  <c r="G5764" i="19"/>
  <c r="G5572" i="19"/>
  <c r="G5332" i="19"/>
  <c r="G5140" i="19"/>
  <c r="G4900" i="19"/>
  <c r="G4708" i="19"/>
  <c r="G4468" i="19"/>
  <c r="G4276" i="19"/>
  <c r="G9205" i="19"/>
  <c r="G8687" i="19"/>
  <c r="G8184" i="19"/>
  <c r="G7851" i="19"/>
  <c r="G7455" i="19"/>
  <c r="G7198" i="19"/>
  <c r="G6894" i="19"/>
  <c r="G6676" i="19"/>
  <c r="G6414" i="19"/>
  <c r="G6207" i="19"/>
  <c r="G5967" i="19"/>
  <c r="G5775" i="19"/>
  <c r="G5535" i="19"/>
  <c r="G5343" i="19"/>
  <c r="G5103" i="19"/>
  <c r="G4911" i="19"/>
  <c r="G4671" i="19"/>
  <c r="G4479" i="19"/>
  <c r="G9759" i="19"/>
  <c r="G9034" i="19"/>
  <c r="G8468" i="19"/>
  <c r="G8098" i="19"/>
  <c r="G7680" i="19"/>
  <c r="G7385" i="19"/>
  <c r="G7071" i="19"/>
  <c r="G6834" i="19"/>
  <c r="G9884" i="19"/>
  <c r="G8871" i="19"/>
  <c r="G8111" i="19"/>
  <c r="G7612" i="19"/>
  <c r="G8908" i="19"/>
  <c r="G8262" i="19"/>
  <c r="G7637" i="19"/>
  <c r="G7264" i="19"/>
  <c r="G6858" i="19"/>
  <c r="G6576" i="19"/>
  <c r="G6262" i="19"/>
  <c r="G6029" i="19"/>
  <c r="G5741" i="19"/>
  <c r="G5509" i="19"/>
  <c r="G5221" i="19"/>
  <c r="G4991" i="19"/>
  <c r="G4703" i="19"/>
  <c r="G4473" i="19"/>
  <c r="G4198" i="19"/>
  <c r="G4006" i="19"/>
  <c r="G9651" i="19"/>
  <c r="G8732" i="19"/>
  <c r="G8010" i="19"/>
  <c r="G7533" i="19"/>
  <c r="G7094" i="19"/>
  <c r="G6783" i="19"/>
  <c r="G6448" i="19"/>
  <c r="G6200" i="19"/>
  <c r="G5912" i="19"/>
  <c r="G5682" i="19"/>
  <c r="G5394" i="19"/>
  <c r="G5162" i="19"/>
  <c r="G4874" i="19"/>
  <c r="G4644" i="19"/>
  <c r="G4356" i="19"/>
  <c r="G9160" i="19"/>
  <c r="G8294" i="19"/>
  <c r="G7787" i="19"/>
  <c r="G7282" i="19"/>
  <c r="G6949" i="19"/>
  <c r="G6588" i="19"/>
  <c r="G6335" i="19"/>
  <c r="G6038" i="19"/>
  <c r="G5808" i="19"/>
  <c r="G9404" i="19"/>
  <c r="G8281" i="19"/>
  <c r="G7414" i="19"/>
  <c r="G6965" i="19"/>
  <c r="G6498" i="19"/>
  <c r="G6166" i="19"/>
  <c r="G9403" i="19"/>
  <c r="G8280" i="19"/>
  <c r="G7408" i="19"/>
  <c r="G6963" i="19"/>
  <c r="G6495" i="19"/>
  <c r="G6165" i="19"/>
  <c r="G5839" i="19"/>
  <c r="G5556" i="19"/>
  <c r="G5314" i="19"/>
  <c r="G5072" i="19"/>
  <c r="G4830" i="19"/>
  <c r="G4570" i="19"/>
  <c r="G4310" i="19"/>
  <c r="G4119" i="19"/>
  <c r="G3936" i="19"/>
  <c r="G3758" i="19"/>
  <c r="G3578" i="19"/>
  <c r="G3398" i="19"/>
  <c r="G3230" i="19"/>
  <c r="G3062" i="19"/>
  <c r="G2894" i="19"/>
  <c r="G2714" i="19"/>
  <c r="G2546" i="19"/>
  <c r="G2390" i="19"/>
  <c r="G2234" i="19"/>
  <c r="G8876" i="19"/>
  <c r="G8128" i="19"/>
  <c r="G7537" i="19"/>
  <c r="G7154" i="19"/>
  <c r="G6810" i="19"/>
  <c r="G6515" i="19"/>
  <c r="G6240" i="19"/>
  <c r="G5990" i="19"/>
  <c r="G5721" i="19"/>
  <c r="G5485" i="19"/>
  <c r="G5261" i="19"/>
  <c r="G5037" i="19"/>
  <c r="G4811" i="19"/>
  <c r="G4585" i="19"/>
  <c r="G4363" i="19"/>
  <c r="G4170" i="19"/>
  <c r="G4000" i="19"/>
  <c r="G3830" i="19"/>
  <c r="G3673" i="19"/>
  <c r="G3505" i="19"/>
  <c r="G3349" i="19"/>
  <c r="G3193" i="19"/>
  <c r="G3037" i="19"/>
  <c r="G2881" i="19"/>
  <c r="G2725" i="19"/>
  <c r="G2569" i="19"/>
  <c r="G8930" i="19"/>
  <c r="G8169" i="19"/>
  <c r="G7569" i="19"/>
  <c r="G7177" i="19"/>
  <c r="G6805" i="19"/>
  <c r="G6510" i="19"/>
  <c r="G6238" i="19"/>
  <c r="G5988" i="19"/>
  <c r="G5737" i="19"/>
  <c r="G5501" i="19"/>
  <c r="G5275" i="19"/>
  <c r="G5051" i="19"/>
  <c r="G4825" i="19"/>
  <c r="G4601" i="19"/>
  <c r="G4377" i="19"/>
  <c r="G4168" i="19"/>
  <c r="G3998" i="19"/>
  <c r="G8619" i="19"/>
  <c r="G7635" i="19"/>
  <c r="G7040" i="19"/>
  <c r="G6566" i="19"/>
  <c r="G6163" i="19"/>
  <c r="G5803" i="19"/>
  <c r="G5479" i="19"/>
  <c r="G5182" i="19"/>
  <c r="G4883" i="19"/>
  <c r="G4560" i="19"/>
  <c r="G4267" i="19"/>
  <c r="G4035" i="19"/>
  <c r="G3824" i="19"/>
  <c r="G8593" i="19"/>
  <c r="G7633" i="19"/>
  <c r="G7036" i="19"/>
  <c r="G6565" i="19"/>
  <c r="G6161" i="19"/>
  <c r="G5798" i="19"/>
  <c r="G5478" i="19"/>
  <c r="G5156" i="19"/>
  <c r="G4856" i="19"/>
  <c r="G4557" i="19"/>
  <c r="G4263" i="19"/>
  <c r="G4034" i="19"/>
  <c r="G3823" i="19"/>
  <c r="G3635" i="19"/>
  <c r="G3449" i="19"/>
  <c r="G3261" i="19"/>
  <c r="G3075" i="19"/>
  <c r="G2887" i="19"/>
  <c r="G2685" i="19"/>
  <c r="G2502" i="19"/>
  <c r="G2332" i="19"/>
  <c r="G2166" i="19"/>
  <c r="G2010" i="19"/>
  <c r="G1854" i="19"/>
  <c r="G1698" i="19"/>
  <c r="G1542" i="19"/>
  <c r="G1386" i="19"/>
  <c r="G1230" i="19"/>
  <c r="G1074" i="19"/>
  <c r="G8792" i="19"/>
  <c r="G7774" i="19"/>
  <c r="G7118" i="19"/>
  <c r="G6630" i="19"/>
  <c r="G6216" i="19"/>
  <c r="G5846" i="19"/>
  <c r="G5526" i="19"/>
  <c r="G5222" i="19"/>
  <c r="G4925" i="19"/>
  <c r="G4626" i="19"/>
  <c r="G4322" i="19"/>
  <c r="G4069" i="19"/>
  <c r="G3853" i="19"/>
  <c r="G3664" i="19"/>
  <c r="G3476" i="19"/>
  <c r="G1450" i="19"/>
  <c r="G2909" i="19"/>
  <c r="G8150" i="19"/>
  <c r="G737" i="19"/>
  <c r="G2064" i="19"/>
  <c r="G4056" i="19"/>
  <c r="G290" i="19"/>
  <c r="G1234" i="19"/>
  <c r="G2825" i="19"/>
  <c r="G6332" i="19"/>
  <c r="G2645" i="19"/>
  <c r="G350" i="19"/>
  <c r="G1561" i="19"/>
  <c r="G3368" i="19"/>
  <c r="G102" i="19"/>
  <c r="G941" i="19"/>
  <c r="G2373" i="19"/>
  <c r="G4862" i="19"/>
  <c r="G461" i="19"/>
  <c r="G1496" i="19"/>
  <c r="G3256" i="19"/>
  <c r="G8927" i="19"/>
  <c r="G893" i="19"/>
  <c r="G2124" i="19"/>
  <c r="G4657" i="19"/>
  <c r="G4821" i="19"/>
  <c r="G1214" i="19"/>
  <c r="G2589" i="19"/>
  <c r="G6144" i="19"/>
  <c r="G9839" i="19"/>
  <c r="G9611" i="19"/>
  <c r="G9407" i="19"/>
  <c r="G9179" i="19"/>
  <c r="G9993" i="19"/>
  <c r="G9765" i="19"/>
  <c r="G9561" i="19"/>
  <c r="G9333" i="19"/>
  <c r="G9129" i="19"/>
  <c r="G9833" i="19"/>
  <c r="G9589" i="19"/>
  <c r="G9315" i="19"/>
  <c r="G9070" i="19"/>
  <c r="G10002" i="19"/>
  <c r="G9758" i="19"/>
  <c r="G9484" i="19"/>
  <c r="G9240" i="19"/>
  <c r="G9865" i="19"/>
  <c r="G9569" i="19"/>
  <c r="G9242" i="19"/>
  <c r="G8970" i="19"/>
  <c r="G8731" i="19"/>
  <c r="G8527" i="19"/>
  <c r="G8299" i="19"/>
  <c r="G8095" i="19"/>
  <c r="G7867" i="19"/>
  <c r="G9998" i="19"/>
  <c r="G9668" i="19"/>
  <c r="G9376" i="19"/>
  <c r="G9876" i="19"/>
  <c r="G9523" i="19"/>
  <c r="G9133" i="19"/>
  <c r="G8867" i="19"/>
  <c r="G8616" i="19"/>
  <c r="G9770" i="19"/>
  <c r="G9377" i="19"/>
  <c r="G9042" i="19"/>
  <c r="G8772" i="19"/>
  <c r="G8549" i="19"/>
  <c r="G8301" i="19"/>
  <c r="G9708" i="19"/>
  <c r="G9850" i="19"/>
  <c r="G9530" i="19"/>
  <c r="G9064" i="19"/>
  <c r="G8770" i="19"/>
  <c r="G8478" i="19"/>
  <c r="G8238" i="19"/>
  <c r="G7990" i="19"/>
  <c r="G7767" i="19"/>
  <c r="G7531" i="19"/>
  <c r="G7327" i="19"/>
  <c r="G7099" i="19"/>
  <c r="G9721" i="19"/>
  <c r="G9222" i="19"/>
  <c r="G8884" i="19"/>
  <c r="G8581" i="19"/>
  <c r="G8334" i="19"/>
  <c r="G8080" i="19"/>
  <c r="G7858" i="19"/>
  <c r="G7614" i="19"/>
  <c r="G9774" i="19"/>
  <c r="G9267" i="19"/>
  <c r="G8914" i="19"/>
  <c r="G8609" i="19"/>
  <c r="G8361" i="19"/>
  <c r="G9490" i="19"/>
  <c r="G8968" i="19"/>
  <c r="G8558" i="19"/>
  <c r="G8242" i="19"/>
  <c r="G7943" i="19"/>
  <c r="G7677" i="19"/>
  <c r="G7410" i="19"/>
  <c r="G7188" i="19"/>
  <c r="G6945" i="19"/>
  <c r="G6741" i="19"/>
  <c r="G6513" i="19"/>
  <c r="G6309" i="19"/>
  <c r="G9520" i="19"/>
  <c r="G8990" i="19"/>
  <c r="G8578" i="19"/>
  <c r="G8256" i="19"/>
  <c r="G7957" i="19"/>
  <c r="G7691" i="19"/>
  <c r="G7422" i="19"/>
  <c r="G7200" i="19"/>
  <c r="G6956" i="19"/>
  <c r="G9848" i="19"/>
  <c r="G9181" i="19"/>
  <c r="G8763" i="19"/>
  <c r="G8382" i="19"/>
  <c r="G8097" i="19"/>
  <c r="G7798" i="19"/>
  <c r="G7541" i="19"/>
  <c r="G9576" i="19"/>
  <c r="G8889" i="19"/>
  <c r="G8373" i="19"/>
  <c r="G7998" i="19"/>
  <c r="G7608" i="19"/>
  <c r="G9250" i="19"/>
  <c r="G8633" i="19"/>
  <c r="G8207" i="19"/>
  <c r="G7810" i="19"/>
  <c r="G7474" i="19"/>
  <c r="G7168" i="19"/>
  <c r="G6911" i="19"/>
  <c r="G6651" i="19"/>
  <c r="G6428" i="19"/>
  <c r="G6184" i="19"/>
  <c r="G5980" i="19"/>
  <c r="G5752" i="19"/>
  <c r="G5548" i="19"/>
  <c r="G5320" i="19"/>
  <c r="G5116" i="19"/>
  <c r="G4888" i="19"/>
  <c r="G4684" i="19"/>
  <c r="G4456" i="19"/>
  <c r="G4252" i="19"/>
  <c r="G9161" i="19"/>
  <c r="G8632" i="19"/>
  <c r="G8165" i="19"/>
  <c r="G7809" i="19"/>
  <c r="G7439" i="19"/>
  <c r="G7167" i="19"/>
  <c r="G6880" i="19"/>
  <c r="G6650" i="19"/>
  <c r="G6401" i="19"/>
  <c r="G6183" i="19"/>
  <c r="G5955" i="19"/>
  <c r="G5751" i="19"/>
  <c r="G5523" i="19"/>
  <c r="G5319" i="19"/>
  <c r="G5091" i="19"/>
  <c r="G4887" i="19"/>
  <c r="G4659" i="19"/>
  <c r="G4455" i="19"/>
  <c r="G9702" i="19"/>
  <c r="G8974" i="19"/>
  <c r="G8440" i="19"/>
  <c r="G8057" i="19"/>
  <c r="G7658" i="19"/>
  <c r="G7353" i="19"/>
  <c r="G7054" i="19"/>
  <c r="G6806" i="19"/>
  <c r="G9807" i="19"/>
  <c r="G8781" i="19"/>
  <c r="G8077" i="19"/>
  <c r="G7558" i="19"/>
  <c r="G8870" i="19"/>
  <c r="G8201" i="19"/>
  <c r="G7611" i="19"/>
  <c r="G7222" i="19"/>
  <c r="G6841" i="19"/>
  <c r="G6543" i="19"/>
  <c r="G6246" i="19"/>
  <c r="G5999" i="19"/>
  <c r="G5725" i="19"/>
  <c r="G5481" i="19"/>
  <c r="G5207" i="19"/>
  <c r="G4963" i="19"/>
  <c r="G4689" i="19"/>
  <c r="G4445" i="19"/>
  <c r="G4186" i="19"/>
  <c r="G3982" i="19"/>
  <c r="G9579" i="19"/>
  <c r="G8650" i="19"/>
  <c r="G7982" i="19"/>
  <c r="G7480" i="19"/>
  <c r="G7076" i="19"/>
  <c r="G6747" i="19"/>
  <c r="G6433" i="19"/>
  <c r="G6170" i="19"/>
  <c r="G5898" i="19"/>
  <c r="G5652" i="19"/>
  <c r="G5378" i="19"/>
  <c r="G5134" i="19"/>
  <c r="G4860" i="19"/>
  <c r="G4616" i="19"/>
  <c r="G4342" i="19"/>
  <c r="G9046" i="19"/>
  <c r="G8259" i="19"/>
  <c r="G7724" i="19"/>
  <c r="G7258" i="19"/>
  <c r="G6913" i="19"/>
  <c r="G6570" i="19"/>
  <c r="G6304" i="19"/>
  <c r="G6024" i="19"/>
  <c r="G5780" i="19"/>
  <c r="G9304" i="19"/>
  <c r="G8183" i="19"/>
  <c r="G7380" i="19"/>
  <c r="G6917" i="19"/>
  <c r="G6474" i="19"/>
  <c r="G6130" i="19"/>
  <c r="G9280" i="19"/>
  <c r="G8181" i="19"/>
  <c r="G7379" i="19"/>
  <c r="G6914" i="19"/>
  <c r="G6473" i="19"/>
  <c r="G6127" i="19"/>
  <c r="G5802" i="19"/>
  <c r="G5540" i="19"/>
  <c r="G5298" i="19"/>
  <c r="G5054" i="19"/>
  <c r="G4812" i="19"/>
  <c r="G4536" i="19"/>
  <c r="G4294" i="19"/>
  <c r="G4106" i="19"/>
  <c r="G3923" i="19"/>
  <c r="G3746" i="19"/>
  <c r="G3554" i="19"/>
  <c r="G3386" i="19"/>
  <c r="G3218" i="19"/>
  <c r="G3050" i="19"/>
  <c r="G2882" i="19"/>
  <c r="G2690" i="19"/>
  <c r="G2534" i="19"/>
  <c r="G2378" i="19"/>
  <c r="G2222" i="19"/>
  <c r="G8807" i="19"/>
  <c r="G8088" i="19"/>
  <c r="G7497" i="19"/>
  <c r="G7127" i="19"/>
  <c r="G6786" i="19"/>
  <c r="G6491" i="19"/>
  <c r="G6222" i="19"/>
  <c r="G5951" i="19"/>
  <c r="G5702" i="19"/>
  <c r="G5469" i="19"/>
  <c r="G5243" i="19"/>
  <c r="G5017" i="19"/>
  <c r="G4795" i="19"/>
  <c r="G4569" i="19"/>
  <c r="G4345" i="19"/>
  <c r="G4157" i="19"/>
  <c r="G3987" i="19"/>
  <c r="G3817" i="19"/>
  <c r="G3649" i="19"/>
  <c r="G3493" i="19"/>
  <c r="G3337" i="19"/>
  <c r="G3181" i="19"/>
  <c r="G3025" i="19"/>
  <c r="G2869" i="19"/>
  <c r="G2713" i="19"/>
  <c r="G2557" i="19"/>
  <c r="G8861" i="19"/>
  <c r="G8122" i="19"/>
  <c r="G7525" i="19"/>
  <c r="G7125" i="19"/>
  <c r="G6780" i="19"/>
  <c r="G6488" i="19"/>
  <c r="G6218" i="19"/>
  <c r="G5969" i="19"/>
  <c r="G5719" i="19"/>
  <c r="G5483" i="19"/>
  <c r="G5257" i="19"/>
  <c r="G5033" i="19"/>
  <c r="G4809" i="19"/>
  <c r="G4583" i="19"/>
  <c r="G4341" i="19"/>
  <c r="G4155" i="19"/>
  <c r="G3985" i="19"/>
  <c r="G8528" i="19"/>
  <c r="G7570" i="19"/>
  <c r="G7001" i="19"/>
  <c r="G6534" i="19"/>
  <c r="G6134" i="19"/>
  <c r="G5773" i="19"/>
  <c r="G5458" i="19"/>
  <c r="G5159" i="19"/>
  <c r="G4836" i="19"/>
  <c r="G4537" i="19"/>
  <c r="G4245" i="19"/>
  <c r="G4019" i="19"/>
  <c r="G3810" i="19"/>
  <c r="G8513" i="19"/>
  <c r="G7564" i="19"/>
  <c r="G7000" i="19"/>
  <c r="G6530" i="19"/>
  <c r="G6133" i="19"/>
  <c r="G5772" i="19"/>
  <c r="G5432" i="19"/>
  <c r="G5132" i="19"/>
  <c r="G4835" i="19"/>
  <c r="G4534" i="19"/>
  <c r="G4244" i="19"/>
  <c r="G4017" i="19"/>
  <c r="G3809" i="19"/>
  <c r="G3621" i="19"/>
  <c r="G3435" i="19"/>
  <c r="G3247" i="19"/>
  <c r="G3059" i="19"/>
  <c r="G2859" i="19"/>
  <c r="G2671" i="19"/>
  <c r="G2489" i="19"/>
  <c r="G2319" i="19"/>
  <c r="G2154" i="19"/>
  <c r="G1998" i="19"/>
  <c r="G1842" i="19"/>
  <c r="G1686" i="19"/>
  <c r="G1530" i="19"/>
  <c r="G1374" i="19"/>
  <c r="G1218" i="19"/>
  <c r="G1050" i="19"/>
  <c r="G8710" i="19"/>
  <c r="G7690" i="19"/>
  <c r="G7080" i="19"/>
  <c r="G6592" i="19"/>
  <c r="G6190" i="19"/>
  <c r="G5821" i="19"/>
  <c r="G5498" i="19"/>
  <c r="G5201" i="19"/>
  <c r="G4902" i="19"/>
  <c r="G4598" i="19"/>
  <c r="G4282" i="19"/>
  <c r="G4049" i="19"/>
  <c r="G3837" i="19"/>
  <c r="G3648" i="19"/>
  <c r="G3462" i="19"/>
  <c r="G3274" i="19"/>
  <c r="G3088" i="19"/>
  <c r="G2900" i="19"/>
  <c r="G2712" i="19"/>
  <c r="G2527" i="19"/>
  <c r="G2357" i="19"/>
  <c r="G2177" i="19"/>
  <c r="G2021" i="19"/>
  <c r="G1865" i="19"/>
  <c r="G1709" i="19"/>
  <c r="G1553" i="19"/>
  <c r="G1397" i="19"/>
  <c r="G1241" i="19"/>
  <c r="G9390" i="19"/>
  <c r="G8105" i="19"/>
  <c r="G7317" i="19"/>
  <c r="G6796" i="19"/>
  <c r="G6334" i="19"/>
  <c r="G5950" i="19"/>
  <c r="G5614" i="19"/>
  <c r="G5312" i="19"/>
  <c r="G5012" i="19"/>
  <c r="G4713" i="19"/>
  <c r="G4412" i="19"/>
  <c r="G4152" i="19"/>
  <c r="G3929" i="19"/>
  <c r="G3732" i="19"/>
  <c r="G3546" i="19"/>
  <c r="G3344" i="19"/>
  <c r="G3156" i="19"/>
  <c r="G2970" i="19"/>
  <c r="G8841" i="19"/>
  <c r="G7415" i="19"/>
  <c r="G6644" i="19"/>
  <c r="G6041" i="19"/>
  <c r="G5532" i="19"/>
  <c r="G5083" i="19"/>
  <c r="G4634" i="19"/>
  <c r="G4205" i="19"/>
  <c r="G3852" i="19"/>
  <c r="G3595" i="19"/>
  <c r="G3343" i="19"/>
  <c r="G3094" i="19"/>
  <c r="G2848" i="19"/>
  <c r="G2622" i="19"/>
  <c r="G2411" i="19"/>
  <c r="G2207" i="19"/>
  <c r="G2019" i="19"/>
  <c r="G1833" i="19"/>
  <c r="G1645" i="19"/>
  <c r="G1443" i="19"/>
  <c r="G1257" i="19"/>
  <c r="G9145" i="19"/>
  <c r="G7550" i="19"/>
  <c r="G6749" i="19"/>
  <c r="G6120" i="19"/>
  <c r="G5601" i="19"/>
  <c r="G5147" i="19"/>
  <c r="G4701" i="19"/>
  <c r="G4257" i="19"/>
  <c r="G3924" i="19"/>
  <c r="G3630" i="19"/>
  <c r="G3381" i="19"/>
  <c r="G3132" i="19"/>
  <c r="G2880" i="19"/>
  <c r="G2673" i="19"/>
  <c r="G2471" i="19"/>
  <c r="G2284" i="19"/>
  <c r="G2104" i="19"/>
  <c r="G1932" i="19"/>
  <c r="G1760" i="19"/>
  <c r="G1586" i="19"/>
  <c r="G1414" i="19"/>
  <c r="G1240" i="19"/>
  <c r="G1073" i="19"/>
  <c r="G924" i="19"/>
  <c r="G780" i="19"/>
  <c r="G636" i="19"/>
  <c r="G492" i="19"/>
  <c r="G348" i="19"/>
  <c r="G204" i="19"/>
  <c r="G60" i="19"/>
  <c r="G8541" i="19"/>
  <c r="G7338" i="19"/>
  <c r="G6636" i="19"/>
  <c r="G6080" i="19"/>
  <c r="G5600" i="19"/>
  <c r="G5184" i="19"/>
  <c r="G4770" i="19"/>
  <c r="G4354" i="19"/>
  <c r="G4021" i="19"/>
  <c r="G3743" i="19"/>
  <c r="G3513" i="19"/>
  <c r="G3283" i="19"/>
  <c r="G3053" i="19"/>
  <c r="G2826" i="19"/>
  <c r="G2620" i="19"/>
  <c r="G2424" i="19"/>
  <c r="G2235" i="19"/>
  <c r="G2061" i="19"/>
  <c r="G1887" i="19"/>
  <c r="G1715" i="19"/>
  <c r="G1543" i="19"/>
  <c r="G1369" i="19"/>
  <c r="G1197" i="19"/>
  <c r="G1033" i="19"/>
  <c r="G887" i="19"/>
  <c r="G743" i="19"/>
  <c r="G599" i="19"/>
  <c r="G455" i="19"/>
  <c r="G311" i="19"/>
  <c r="G167" i="19"/>
  <c r="G23" i="19"/>
  <c r="G8153" i="19"/>
  <c r="G7142" i="19"/>
  <c r="G6484" i="19"/>
  <c r="G5945" i="19"/>
  <c r="G5490" i="19"/>
  <c r="G5074" i="19"/>
  <c r="G4662" i="19"/>
  <c r="G4254" i="19"/>
  <c r="G3940" i="19"/>
  <c r="G3683" i="19"/>
  <c r="G3453" i="19"/>
  <c r="G3223" i="19"/>
  <c r="G2993" i="19"/>
  <c r="G2772" i="19"/>
  <c r="G2564" i="19"/>
  <c r="G2374" i="19"/>
  <c r="G2187" i="19"/>
  <c r="G2015" i="19"/>
  <c r="G1843" i="19"/>
  <c r="G1669" i="19"/>
  <c r="G1497" i="19"/>
  <c r="G1323" i="19"/>
  <c r="G1151" i="19"/>
  <c r="G993" i="19"/>
  <c r="G849" i="19"/>
  <c r="G705" i="19"/>
  <c r="G561" i="19"/>
  <c r="G417" i="19"/>
  <c r="G8469" i="19"/>
  <c r="G6937" i="19"/>
  <c r="G6059" i="19"/>
  <c r="G5373" i="19"/>
  <c r="G4751" i="19"/>
  <c r="G4164" i="19"/>
  <c r="G3735" i="19"/>
  <c r="G3389" i="19"/>
  <c r="G3043" i="19"/>
  <c r="G2716" i="19"/>
  <c r="G2416" i="19"/>
  <c r="G2139" i="19"/>
  <c r="G1881" i="19"/>
  <c r="G1621" i="19"/>
  <c r="G1363" i="19"/>
  <c r="G1106" i="19"/>
  <c r="G906" i="19"/>
  <c r="G714" i="19"/>
  <c r="G522" i="19"/>
  <c r="G331" i="19"/>
  <c r="G159" i="19"/>
  <c r="G1204" i="19"/>
  <c r="G1136" i="19"/>
  <c r="G628" i="19"/>
  <c r="G238" i="19"/>
  <c r="G5842" i="19"/>
  <c r="G1633" i="19"/>
  <c r="G450" i="19"/>
  <c r="G9785" i="19"/>
  <c r="G7392" i="19"/>
  <c r="G6382" i="19"/>
  <c r="G5629" i="19"/>
  <c r="G5003" i="19"/>
  <c r="G4381" i="19"/>
  <c r="G3891" i="19"/>
  <c r="G3527" i="19"/>
  <c r="G3183" i="19"/>
  <c r="G2839" i="19"/>
  <c r="G2530" i="19"/>
  <c r="G2247" i="19"/>
  <c r="G1984" i="19"/>
  <c r="G1726" i="19"/>
  <c r="G1466" i="19"/>
  <c r="G1208" i="19"/>
  <c r="G986" i="19"/>
  <c r="G794" i="19"/>
  <c r="G602" i="19"/>
  <c r="G410" i="19"/>
  <c r="G230" i="19"/>
  <c r="G56" i="19"/>
  <c r="G7777" i="19"/>
  <c r="G6603" i="19"/>
  <c r="G5804" i="19"/>
  <c r="G5160" i="19"/>
  <c r="G4538" i="19"/>
  <c r="G4003" i="19"/>
  <c r="G3615" i="19"/>
  <c r="G3269" i="19"/>
  <c r="G2923" i="19"/>
  <c r="G2607" i="19"/>
  <c r="G2316" i="19"/>
  <c r="G2050" i="19"/>
  <c r="G1790" i="19"/>
  <c r="G1508" i="19"/>
  <c r="G1248" i="19"/>
  <c r="G999" i="19"/>
  <c r="G807" i="19"/>
  <c r="G615" i="19"/>
  <c r="G423" i="19"/>
  <c r="G242" i="19"/>
  <c r="G68" i="19"/>
  <c r="G5138" i="19"/>
  <c r="G1479" i="19"/>
  <c r="G867" i="19"/>
  <c r="G195" i="19"/>
  <c r="G5888" i="19"/>
  <c r="G8243" i="19"/>
  <c r="G6828" i="19"/>
  <c r="G5977" i="19"/>
  <c r="G5305" i="19"/>
  <c r="G4685" i="19"/>
  <c r="G4113" i="19"/>
  <c r="G3700" i="19"/>
  <c r="G3354" i="19"/>
  <c r="G3008" i="19"/>
  <c r="G2682" i="19"/>
  <c r="G2387" i="19"/>
  <c r="G2113" i="19"/>
  <c r="G1855" i="19"/>
  <c r="G1595" i="19"/>
  <c r="G1335" i="19"/>
  <c r="G1088" i="19"/>
  <c r="G889" i="19"/>
  <c r="G697" i="19"/>
  <c r="G505" i="19"/>
  <c r="G315" i="19"/>
  <c r="G141" i="19"/>
  <c r="G1678" i="19"/>
  <c r="G979" i="19"/>
  <c r="G436" i="19"/>
  <c r="G7877" i="19"/>
  <c r="G6568" i="19"/>
  <c r="G5659" i="19"/>
  <c r="G4885" i="19"/>
  <c r="G4143" i="19"/>
  <c r="G3694" i="19"/>
  <c r="G3199" i="19"/>
  <c r="G2752" i="19"/>
  <c r="G2335" i="19"/>
  <c r="G1979" i="19"/>
  <c r="G1591" i="19"/>
  <c r="G1135" i="19"/>
  <c r="G295" i="19"/>
  <c r="G9342" i="19"/>
  <c r="G7272" i="19"/>
  <c r="G6295" i="19"/>
  <c r="G5561" i="19"/>
  <c r="G4939" i="19"/>
  <c r="G4317" i="19"/>
  <c r="G3847" i="19"/>
  <c r="G3495" i="19"/>
  <c r="G3149" i="19"/>
  <c r="G2807" i="19"/>
  <c r="G2500" i="19"/>
  <c r="G2218" i="19"/>
  <c r="G1958" i="19"/>
  <c r="G1700" i="19"/>
  <c r="G1440" i="19"/>
  <c r="G1180" i="19"/>
  <c r="G965" i="19"/>
  <c r="G773" i="19"/>
  <c r="G581" i="19"/>
  <c r="G389" i="19"/>
  <c r="G211" i="19"/>
  <c r="G39" i="19"/>
  <c r="G7718" i="19"/>
  <c r="G6569" i="19"/>
  <c r="G5784" i="19"/>
  <c r="G5143" i="19"/>
  <c r="G4521" i="19"/>
  <c r="G3989" i="19"/>
  <c r="G3605" i="19"/>
  <c r="G3235" i="19"/>
  <c r="G2889" i="19"/>
  <c r="G2575" i="19"/>
  <c r="G2242" i="19"/>
  <c r="G1980" i="19"/>
  <c r="G1696" i="19"/>
  <c r="G613" i="19"/>
  <c r="G3545" i="19"/>
  <c r="G514" i="19"/>
  <c r="G8584" i="19"/>
  <c r="G6815" i="19"/>
  <c r="G6485" i="19"/>
  <c r="G4652" i="19"/>
  <c r="G8308" i="19"/>
  <c r="G5333" i="19"/>
  <c r="G3938" i="19"/>
  <c r="G3080" i="19"/>
  <c r="G2327" i="19"/>
  <c r="G1694" i="19"/>
  <c r="G1091" i="19"/>
  <c r="G8717" i="19"/>
  <c r="G5094" i="19"/>
  <c r="G3624" i="19"/>
  <c r="G8000" i="19"/>
  <c r="G4922" i="19"/>
  <c r="G3543" i="19"/>
  <c r="G2664" i="19"/>
  <c r="G1934" i="19"/>
  <c r="G1260" i="19"/>
  <c r="G715" i="19"/>
  <c r="G260" i="19"/>
  <c r="G188" i="19"/>
  <c r="G5582" i="19"/>
  <c r="G3865" i="19"/>
  <c r="G2934" i="19"/>
  <c r="G2164" i="19"/>
  <c r="G1477" i="19"/>
  <c r="G878" i="19"/>
  <c r="G250" i="19"/>
  <c r="G6475" i="19"/>
  <c r="G4302" i="19"/>
  <c r="G3231" i="19"/>
  <c r="G2399" i="19"/>
  <c r="G7225" i="19"/>
  <c r="G4678" i="19"/>
  <c r="G3425" i="19"/>
  <c r="G2543" i="19"/>
  <c r="G1840" i="19"/>
  <c r="G1172" i="19"/>
  <c r="G641" i="19"/>
  <c r="G261" i="19"/>
  <c r="G1560" i="19"/>
  <c r="G2323" i="19"/>
  <c r="G4446" i="19"/>
  <c r="G428" i="19"/>
  <c r="G1372" i="19"/>
  <c r="G3195" i="19"/>
  <c r="G7312" i="19"/>
  <c r="G860" i="19"/>
  <c r="G1978" i="19"/>
  <c r="G4506" i="19"/>
  <c r="G1040" i="19"/>
  <c r="G6943" i="19"/>
  <c r="G929" i="19"/>
  <c r="G2561" i="19"/>
  <c r="G5338" i="19"/>
  <c r="G607" i="19"/>
  <c r="G1632" i="19"/>
  <c r="G3654" i="19"/>
  <c r="G62" i="19"/>
  <c r="G1058" i="19"/>
  <c r="G2301" i="19"/>
  <c r="G5442" i="19"/>
  <c r="G413" i="19"/>
  <c r="G1647" i="19"/>
  <c r="G3138" i="19"/>
  <c r="G817" i="19"/>
  <c r="G572" i="19"/>
  <c r="G2038" i="19"/>
  <c r="G3832" i="19"/>
  <c r="G9911" i="19"/>
  <c r="G9719" i="19"/>
  <c r="G9479" i="19"/>
  <c r="G9287" i="19"/>
  <c r="G9047" i="19"/>
  <c r="G9873" i="19"/>
  <c r="G9633" i="19"/>
  <c r="G9441" i="19"/>
  <c r="G9201" i="19"/>
  <c r="G9963" i="19"/>
  <c r="G9675" i="19"/>
  <c r="G9445" i="19"/>
  <c r="G9157" i="19"/>
  <c r="G8941" i="19"/>
  <c r="G9844" i="19"/>
  <c r="G9614" i="19"/>
  <c r="G9326" i="19"/>
  <c r="G9096" i="19"/>
  <c r="G9674" i="19"/>
  <c r="G9397" i="19"/>
  <c r="G9054" i="19"/>
  <c r="G8839" i="19"/>
  <c r="G8599" i="19"/>
  <c r="G8407" i="19"/>
  <c r="G8167" i="19"/>
  <c r="G7975" i="19"/>
  <c r="G7735" i="19"/>
  <c r="G9824" i="19"/>
  <c r="G9480" i="19"/>
  <c r="G9204" i="19"/>
  <c r="G9649" i="19"/>
  <c r="G9317" i="19"/>
  <c r="G8952" i="19"/>
  <c r="G8734" i="19"/>
  <c r="G9895" i="19"/>
  <c r="G9564" i="19"/>
  <c r="G9149" i="19"/>
  <c r="G8895" i="19"/>
  <c r="G8628" i="19"/>
  <c r="G8418" i="19"/>
  <c r="G9832" i="19"/>
  <c r="G9499" i="19"/>
  <c r="G9697" i="19"/>
  <c r="G9278" i="19"/>
  <c r="G8868" i="19"/>
  <c r="G8613" i="19"/>
  <c r="G8321" i="19"/>
  <c r="G8108" i="19"/>
  <c r="G7846" i="19"/>
  <c r="G7639" i="19"/>
  <c r="G7399" i="19"/>
  <c r="G7207" i="19"/>
  <c r="G9892" i="19"/>
  <c r="G9448" i="19"/>
  <c r="G8986" i="19"/>
  <c r="G8723" i="19"/>
  <c r="G8421" i="19"/>
  <c r="G8198" i="19"/>
  <c r="G7936" i="19"/>
  <c r="G7727" i="19"/>
  <c r="G9950" i="19"/>
  <c r="G9494" i="19"/>
  <c r="G9019" i="19"/>
  <c r="G8751" i="19"/>
  <c r="G8447" i="19"/>
  <c r="G9821" i="19"/>
  <c r="G9125" i="19"/>
  <c r="G8748" i="19"/>
  <c r="G8348" i="19"/>
  <c r="G8085" i="19"/>
  <c r="G7770" i="19"/>
  <c r="G7532" i="19"/>
  <c r="G7266" i="19"/>
  <c r="G7057" i="19"/>
  <c r="G6813" i="19"/>
  <c r="G6621" i="19"/>
  <c r="G6381" i="19"/>
  <c r="G9856" i="19"/>
  <c r="G9158" i="19"/>
  <c r="G8765" i="19"/>
  <c r="G8367" i="19"/>
  <c r="G8099" i="19"/>
  <c r="G7785" i="19"/>
  <c r="G7545" i="19"/>
  <c r="G7278" i="19"/>
  <c r="G7069" i="19"/>
  <c r="G6824" i="19"/>
  <c r="G9485" i="19"/>
  <c r="G8892" i="19"/>
  <c r="G8555" i="19"/>
  <c r="G8190" i="19"/>
  <c r="G7940" i="19"/>
  <c r="G7629" i="19"/>
  <c r="G7407" i="19"/>
  <c r="G9086" i="19"/>
  <c r="G8607" i="19"/>
  <c r="G8125" i="19"/>
  <c r="G7790" i="19"/>
  <c r="G9518" i="19"/>
  <c r="G8888" i="19"/>
  <c r="G8344" i="19"/>
  <c r="G7997" i="19"/>
  <c r="G7586" i="19"/>
  <c r="G7310" i="19"/>
  <c r="G6997" i="19"/>
  <c r="G6769" i="19"/>
  <c r="G6507" i="19"/>
  <c r="G6298" i="19"/>
  <c r="G6052" i="19"/>
  <c r="G5860" i="19"/>
  <c r="G5620" i="19"/>
  <c r="G5428" i="19"/>
  <c r="G5188" i="19"/>
  <c r="G4996" i="19"/>
  <c r="G4756" i="19"/>
  <c r="G4564" i="19"/>
  <c r="G4324" i="19"/>
  <c r="G9571" i="19"/>
  <c r="G8796" i="19"/>
  <c r="G8370" i="19"/>
  <c r="G7933" i="19"/>
  <c r="G7606" i="19"/>
  <c r="G7261" i="19"/>
  <c r="G7010" i="19"/>
  <c r="G6728" i="19"/>
  <c r="G6519" i="19"/>
  <c r="G6257" i="19"/>
  <c r="G6063" i="19"/>
  <c r="G5823" i="19"/>
  <c r="G5631" i="19"/>
  <c r="G5391" i="19"/>
  <c r="G5199" i="19"/>
  <c r="G4959" i="19"/>
  <c r="G4767" i="19"/>
  <c r="G4527" i="19"/>
  <c r="G4335" i="19"/>
  <c r="G9197" i="19"/>
  <c r="G8682" i="19"/>
  <c r="G8182" i="19"/>
  <c r="G7847" i="19"/>
  <c r="G7453" i="19"/>
  <c r="G7196" i="19"/>
  <c r="G6892" i="19"/>
  <c r="G6674" i="19"/>
  <c r="G9056" i="19"/>
  <c r="G8381" i="19"/>
  <c r="G7733" i="19"/>
  <c r="G9366" i="19"/>
  <c r="G8413" i="19"/>
  <c r="G7887" i="19"/>
  <c r="G7348" i="19"/>
  <c r="G7013" i="19"/>
  <c r="G6643" i="19"/>
  <c r="G6386" i="19"/>
  <c r="G6085" i="19"/>
  <c r="G5855" i="19"/>
  <c r="G5567" i="19"/>
  <c r="G5337" i="19"/>
  <c r="G5049" i="19"/>
  <c r="G4819" i="19"/>
  <c r="G4531" i="19"/>
  <c r="G4301" i="19"/>
  <c r="G4054" i="19"/>
  <c r="G3862" i="19"/>
  <c r="G8907" i="19"/>
  <c r="G8261" i="19"/>
  <c r="G7636" i="19"/>
  <c r="G7263" i="19"/>
  <c r="G6857" i="19"/>
  <c r="G6575" i="19"/>
  <c r="G6260" i="19"/>
  <c r="G6026" i="19"/>
  <c r="G5738" i="19"/>
  <c r="G5508" i="19"/>
  <c r="G5220" i="19"/>
  <c r="G4990" i="19"/>
  <c r="G4702" i="19"/>
  <c r="G4472" i="19"/>
  <c r="G9425" i="19"/>
  <c r="G8604" i="19"/>
  <c r="G7913" i="19"/>
  <c r="G7452" i="19"/>
  <c r="G7029" i="19"/>
  <c r="G6725" i="19"/>
  <c r="G6398" i="19"/>
  <c r="G6154" i="19"/>
  <c r="G5866" i="19"/>
  <c r="G5636" i="19"/>
  <c r="G8509" i="19"/>
  <c r="G7713" i="19"/>
  <c r="G7078" i="19"/>
  <c r="G6671" i="19"/>
  <c r="G6247" i="19"/>
  <c r="G5936" i="19"/>
  <c r="G8508" i="19"/>
  <c r="G7712" i="19"/>
  <c r="G7072" i="19"/>
  <c r="G6670" i="19"/>
  <c r="G6242" i="19"/>
  <c r="G5935" i="19"/>
  <c r="G5665" i="19"/>
  <c r="G5400" i="19"/>
  <c r="G5142" i="19"/>
  <c r="G4898" i="19"/>
  <c r="G4656" i="19"/>
  <c r="G4416" i="19"/>
  <c r="G4184" i="19"/>
  <c r="G3988" i="19"/>
  <c r="G3806" i="19"/>
  <c r="G3638" i="19"/>
  <c r="G3470" i="19"/>
  <c r="G3290" i="19"/>
  <c r="G3110" i="19"/>
  <c r="G2942" i="19"/>
  <c r="G2774" i="19"/>
  <c r="G2606" i="19"/>
  <c r="G2450" i="19"/>
  <c r="G2294" i="19"/>
  <c r="G9279" i="19"/>
  <c r="G8326" i="19"/>
  <c r="G7710" i="19"/>
  <c r="G7269" i="19"/>
  <c r="G6912" i="19"/>
  <c r="G6600" i="19"/>
  <c r="G6327" i="19"/>
  <c r="G6067" i="19"/>
  <c r="G5818" i="19"/>
  <c r="G5573" i="19"/>
  <c r="G5347" i="19"/>
  <c r="G5123" i="19"/>
  <c r="G4881" i="19"/>
  <c r="G4655" i="19"/>
  <c r="G4433" i="19"/>
  <c r="G4223" i="19"/>
  <c r="G4052" i="19"/>
  <c r="G3882" i="19"/>
  <c r="G3721" i="19"/>
  <c r="G3565" i="19"/>
  <c r="G3409" i="19"/>
  <c r="G3253" i="19"/>
  <c r="G3097" i="19"/>
  <c r="G2929" i="19"/>
  <c r="G2773" i="19"/>
  <c r="G2617" i="19"/>
  <c r="G9266" i="19"/>
  <c r="G8374" i="19"/>
  <c r="G7744" i="19"/>
  <c r="G7288" i="19"/>
  <c r="G6931" i="19"/>
  <c r="G6617" i="19"/>
  <c r="G6343" i="19"/>
  <c r="G6083" i="19"/>
  <c r="G5816" i="19"/>
  <c r="G5569" i="19"/>
  <c r="G5345" i="19"/>
  <c r="G5119" i="19"/>
  <c r="G4895" i="19"/>
  <c r="G4669" i="19"/>
  <c r="G4447" i="19"/>
  <c r="G4233" i="19"/>
  <c r="G4063" i="19"/>
  <c r="G9139" i="19"/>
  <c r="G7986" i="19"/>
  <c r="G7208" i="19"/>
  <c r="G6704" i="19"/>
  <c r="G6281" i="19"/>
  <c r="G5904" i="19"/>
  <c r="G5575" i="19"/>
  <c r="G5273" i="19"/>
  <c r="G4974" i="19"/>
  <c r="G4677" i="19"/>
  <c r="G4375" i="19"/>
  <c r="G4123" i="19"/>
  <c r="G3903" i="19"/>
  <c r="G8992" i="19"/>
  <c r="G7906" i="19"/>
  <c r="G7205" i="19"/>
  <c r="G6701" i="19"/>
  <c r="G6279" i="19"/>
  <c r="G5903" i="19"/>
  <c r="G5570" i="19"/>
  <c r="G5270" i="19"/>
  <c r="G4973" i="19"/>
  <c r="G4670" i="19"/>
  <c r="G4374" i="19"/>
  <c r="G4104" i="19"/>
  <c r="G3887" i="19"/>
  <c r="G3693" i="19"/>
  <c r="G3507" i="19"/>
  <c r="G3319" i="19"/>
  <c r="G3131" i="19"/>
  <c r="G2945" i="19"/>
  <c r="G2757" i="19"/>
  <c r="G2571" i="19"/>
  <c r="G2397" i="19"/>
  <c r="G2227" i="19"/>
  <c r="G2058" i="19"/>
  <c r="G1902" i="19"/>
  <c r="G1746" i="19"/>
  <c r="G1590" i="19"/>
  <c r="G1434" i="19"/>
  <c r="G1278" i="19"/>
  <c r="G1122" i="19"/>
  <c r="G9408" i="19"/>
  <c r="G8116" i="19"/>
  <c r="G7333" i="19"/>
  <c r="G6803" i="19"/>
  <c r="G6341" i="19"/>
  <c r="G5960" i="19"/>
  <c r="G5616" i="19"/>
  <c r="G5316" i="19"/>
  <c r="G5014" i="19"/>
  <c r="G4715" i="19"/>
  <c r="G4418" i="19"/>
  <c r="G4154" i="19"/>
  <c r="G3931" i="19"/>
  <c r="G3736" i="19"/>
  <c r="G3548" i="19"/>
  <c r="G3346" i="19"/>
  <c r="G3160" i="19"/>
  <c r="G2972" i="19"/>
  <c r="G2784" i="19"/>
  <c r="G2598" i="19"/>
  <c r="G2422" i="19"/>
  <c r="G2252" i="19"/>
  <c r="G2093" i="19"/>
  <c r="G1937" i="19"/>
  <c r="G1781" i="19"/>
  <c r="G1625" i="19"/>
  <c r="G1457" i="19"/>
  <c r="G1301" i="19"/>
  <c r="G1145" i="19"/>
  <c r="G8502" i="19"/>
  <c r="G7552" i="19"/>
  <c r="G6986" i="19"/>
  <c r="G6523" i="19"/>
  <c r="G6122" i="19"/>
  <c r="G5767" i="19"/>
  <c r="G5448" i="19"/>
  <c r="G5150" i="19"/>
  <c r="G4826" i="19"/>
  <c r="G4526" i="19"/>
  <c r="G4241" i="19"/>
  <c r="G4012" i="19"/>
  <c r="G3804" i="19"/>
  <c r="G3618" i="19"/>
  <c r="G3430" i="19"/>
  <c r="G1520" i="19"/>
  <c r="G4025" i="19"/>
  <c r="G798" i="19"/>
  <c r="G2614" i="19"/>
  <c r="G333" i="19"/>
  <c r="G1838" i="19"/>
  <c r="G6790" i="19"/>
  <c r="G3742" i="19"/>
  <c r="G1628" i="19"/>
  <c r="G4858" i="19"/>
  <c r="G990" i="19"/>
  <c r="G2991" i="19"/>
  <c r="G509" i="19"/>
  <c r="G2123" i="19"/>
  <c r="G20" i="19"/>
  <c r="G1276" i="19"/>
  <c r="G4869" i="19"/>
  <c r="G64" i="19"/>
  <c r="G2695" i="19"/>
  <c r="G9971" i="19"/>
  <c r="G9599" i="19"/>
  <c r="G9311" i="19"/>
  <c r="G9981" i="19"/>
  <c r="G9693" i="19"/>
  <c r="G9321" i="19"/>
  <c r="G9991" i="19"/>
  <c r="G9574" i="19"/>
  <c r="G9229" i="19"/>
  <c r="G9988" i="19"/>
  <c r="G9642" i="19"/>
  <c r="G9224" i="19"/>
  <c r="G9760" i="19"/>
  <c r="G9223" i="19"/>
  <c r="G8865" i="19"/>
  <c r="G8515" i="19"/>
  <c r="G8227" i="19"/>
  <c r="G7855" i="19"/>
  <c r="G9859" i="19"/>
  <c r="G9360" i="19"/>
  <c r="G9751" i="19"/>
  <c r="G9114" i="19"/>
  <c r="G8760" i="19"/>
  <c r="G9750" i="19"/>
  <c r="G9252" i="19"/>
  <c r="G8759" i="19"/>
  <c r="G8445" i="19"/>
  <c r="G9685" i="19"/>
  <c r="G9836" i="19"/>
  <c r="G9044" i="19"/>
  <c r="G8645" i="19"/>
  <c r="G8225" i="19"/>
  <c r="G7911" i="19"/>
  <c r="G7519" i="19"/>
  <c r="G7231" i="19"/>
  <c r="G9696" i="19"/>
  <c r="G9082" i="19"/>
  <c r="G8566" i="19"/>
  <c r="G8224" i="19"/>
  <c r="G7845" i="19"/>
  <c r="G7542" i="19"/>
  <c r="G9245" i="19"/>
  <c r="G8782" i="19"/>
  <c r="G8346" i="19"/>
  <c r="G9288" i="19"/>
  <c r="G8540" i="19"/>
  <c r="G8115" i="19"/>
  <c r="G7660" i="19"/>
  <c r="G7332" i="19"/>
  <c r="G6933" i="19"/>
  <c r="G6645" i="19"/>
  <c r="G6297" i="19"/>
  <c r="G9318" i="19"/>
  <c r="G8557" i="19"/>
  <c r="G8129" i="19"/>
  <c r="G7673" i="19"/>
  <c r="G7344" i="19"/>
  <c r="G6944" i="19"/>
  <c r="G9554" i="19"/>
  <c r="G8742" i="19"/>
  <c r="G8269" i="19"/>
  <c r="G7782" i="19"/>
  <c r="G7433" i="19"/>
  <c r="G8860" i="19"/>
  <c r="G8231" i="19"/>
  <c r="G7589" i="19"/>
  <c r="G8949" i="19"/>
  <c r="G8187" i="19"/>
  <c r="G7683" i="19"/>
  <c r="G7153" i="19"/>
  <c r="G6795" i="19"/>
  <c r="G6415" i="19"/>
  <c r="G6112" i="19"/>
  <c r="G5740" i="19"/>
  <c r="G5452" i="19"/>
  <c r="G5104" i="19"/>
  <c r="G4816" i="19"/>
  <c r="G4444" i="19"/>
  <c r="G9660" i="19"/>
  <c r="G8605" i="19"/>
  <c r="G8039" i="19"/>
  <c r="G7419" i="19"/>
  <c r="G7041" i="19"/>
  <c r="G6637" i="19"/>
  <c r="G6323" i="19"/>
  <c r="G5943" i="19"/>
  <c r="G5655" i="19"/>
  <c r="G5307" i="19"/>
  <c r="G5019" i="19"/>
  <c r="G4647" i="19"/>
  <c r="G4359" i="19"/>
  <c r="G8942" i="19"/>
  <c r="G8286" i="19"/>
  <c r="G7640" i="19"/>
  <c r="G7228" i="19"/>
  <c r="G6792" i="19"/>
  <c r="G9375" i="19"/>
  <c r="G8048" i="19"/>
  <c r="G9508" i="19"/>
  <c r="G8171" i="19"/>
  <c r="G7458" i="19"/>
  <c r="G6819" i="19"/>
  <c r="G6419" i="19"/>
  <c r="G5985" i="19"/>
  <c r="G5639" i="19"/>
  <c r="G5193" i="19"/>
  <c r="G4847" i="19"/>
  <c r="G4429" i="19"/>
  <c r="G4114" i="19"/>
  <c r="G9507" i="19"/>
  <c r="G8337" i="19"/>
  <c r="G7457" i="19"/>
  <c r="G6954" i="19"/>
  <c r="G6418" i="19"/>
  <c r="G6056" i="19"/>
  <c r="G5638" i="19"/>
  <c r="G5292" i="19"/>
  <c r="G4846" i="19"/>
  <c r="G4500" i="19"/>
  <c r="G8993" i="19"/>
  <c r="G8072" i="19"/>
  <c r="G7237" i="19"/>
  <c r="G6761" i="19"/>
  <c r="G6289" i="19"/>
  <c r="G5938" i="19"/>
  <c r="G9202" i="19"/>
  <c r="G7808" i="19"/>
  <c r="G6889" i="19"/>
  <c r="G6348" i="19"/>
  <c r="G9194" i="19"/>
  <c r="G7803" i="19"/>
  <c r="G6888" i="19"/>
  <c r="G6347" i="19"/>
  <c r="G5781" i="19"/>
  <c r="G5454" i="19"/>
  <c r="G5038" i="19"/>
  <c r="G4692" i="19"/>
  <c r="G4280" i="19"/>
  <c r="G4027" i="19"/>
  <c r="G3722" i="19"/>
  <c r="G3494" i="19"/>
  <c r="G3206" i="19"/>
  <c r="G2966" i="19"/>
  <c r="G2678" i="19"/>
  <c r="G2474" i="19"/>
  <c r="G9940" i="19"/>
  <c r="G8505" i="19"/>
  <c r="G7467" i="19"/>
  <c r="G6962" i="19"/>
  <c r="G6472" i="19"/>
  <c r="G6106" i="19"/>
  <c r="G5685" i="19"/>
  <c r="G5383" i="19"/>
  <c r="G5001" i="19"/>
  <c r="G4709" i="19"/>
  <c r="G4327" i="19"/>
  <c r="G4079" i="19"/>
  <c r="G3793" i="19"/>
  <c r="G3589" i="19"/>
  <c r="G3325" i="19"/>
  <c r="G3121" i="19"/>
  <c r="G2857" i="19"/>
  <c r="G2641" i="19"/>
  <c r="G8795" i="19"/>
  <c r="G7839" i="19"/>
  <c r="G7093" i="19"/>
  <c r="G6666" i="19"/>
  <c r="G6199" i="19"/>
  <c r="G5874" i="19"/>
  <c r="G5465" i="19"/>
  <c r="G5155" i="19"/>
  <c r="G4793" i="19"/>
  <c r="G4481" i="19"/>
  <c r="G4142" i="19"/>
  <c r="G9435" i="19"/>
  <c r="G7517" i="19"/>
  <c r="G6807" i="19"/>
  <c r="G6105" i="19"/>
  <c r="G5618" i="19"/>
  <c r="G5112" i="19"/>
  <c r="G4721" i="19"/>
  <c r="G4228" i="19"/>
  <c r="G3933" i="19"/>
  <c r="G8429" i="19"/>
  <c r="G7287" i="19"/>
  <c r="G6502" i="19"/>
  <c r="G5961" i="19"/>
  <c r="G5410" i="19"/>
  <c r="G5016" i="19"/>
  <c r="G4510" i="19"/>
  <c r="G4156" i="19"/>
  <c r="G3795" i="19"/>
  <c r="G3535" i="19"/>
  <c r="G3233" i="19"/>
  <c r="G2973" i="19"/>
  <c r="G2657" i="19"/>
  <c r="G2423" i="19"/>
  <c r="G2142" i="19"/>
  <c r="G1938" i="19"/>
  <c r="G1674" i="19"/>
  <c r="G1458" i="19"/>
  <c r="G1194" i="19"/>
  <c r="G9754" i="19"/>
  <c r="G7630" i="19"/>
  <c r="G6879" i="19"/>
  <c r="G6158" i="19"/>
  <c r="G5671" i="19"/>
  <c r="G5180" i="19"/>
  <c r="G4764" i="19"/>
  <c r="G4261" i="19"/>
  <c r="G3964" i="19"/>
  <c r="G3634" i="19"/>
  <c r="G3390" i="19"/>
  <c r="G3130" i="19"/>
  <c r="G2872" i="19"/>
  <c r="G2626" i="19"/>
  <c r="G2396" i="19"/>
  <c r="G2153" i="19"/>
  <c r="G1961" i="19"/>
  <c r="G1745" i="19"/>
  <c r="G1529" i="19"/>
  <c r="G1337" i="19"/>
  <c r="G9880" i="19"/>
  <c r="G7966" i="19"/>
  <c r="G7066" i="19"/>
  <c r="G6460" i="19"/>
  <c r="G5892" i="19"/>
  <c r="G5518" i="19"/>
  <c r="G5172" i="19"/>
  <c r="G4783" i="19"/>
  <c r="G4437" i="19"/>
  <c r="G4117" i="19"/>
  <c r="G3851" i="19"/>
  <c r="G3632" i="19"/>
  <c r="G3402" i="19"/>
  <c r="G3200" i="19"/>
  <c r="G2984" i="19"/>
  <c r="G8701" i="19"/>
  <c r="G7283" i="19"/>
  <c r="G6499" i="19"/>
  <c r="G5870" i="19"/>
  <c r="G5326" i="19"/>
  <c r="G4842" i="19"/>
  <c r="G4358" i="19"/>
  <c r="G3971" i="19"/>
  <c r="G3670" i="19"/>
  <c r="G3382" i="19"/>
  <c r="G3113" i="19"/>
  <c r="G2830" i="19"/>
  <c r="G2588" i="19"/>
  <c r="G2363" i="19"/>
  <c r="G2135" i="19"/>
  <c r="G1933" i="19"/>
  <c r="G1731" i="19"/>
  <c r="G1531" i="19"/>
  <c r="G1329" i="19"/>
  <c r="G1127" i="19"/>
  <c r="G7742" i="19"/>
  <c r="G6793" i="19"/>
  <c r="G6081" i="19"/>
  <c r="G5531" i="19"/>
  <c r="G5047" i="19"/>
  <c r="G4525" i="19"/>
  <c r="G4098" i="19"/>
  <c r="G3766" i="19"/>
  <c r="G3497" i="19"/>
  <c r="G3226" i="19"/>
  <c r="G2938" i="19"/>
  <c r="G2707" i="19"/>
  <c r="G2487" i="19"/>
  <c r="G2268" i="19"/>
  <c r="G2076" i="19"/>
  <c r="G1888" i="19"/>
  <c r="G1702" i="19"/>
  <c r="G1514" i="19"/>
  <c r="G1328" i="19"/>
  <c r="G1140" i="19"/>
  <c r="G972" i="19"/>
  <c r="G816" i="19"/>
  <c r="G660" i="19"/>
  <c r="G504" i="19"/>
  <c r="G336" i="19"/>
  <c r="G180" i="19"/>
  <c r="G24" i="19"/>
  <c r="G8065" i="19"/>
  <c r="G7022" i="19"/>
  <c r="G6353" i="19"/>
  <c r="G5789" i="19"/>
  <c r="G5324" i="19"/>
  <c r="G4870" i="19"/>
  <c r="G4424" i="19"/>
  <c r="G4045" i="19"/>
  <c r="G3726" i="19"/>
  <c r="G3475" i="19"/>
  <c r="G3225" i="19"/>
  <c r="G2976" i="19"/>
  <c r="G2740" i="19"/>
  <c r="G2518" i="19"/>
  <c r="G2313" i="19"/>
  <c r="G2119" i="19"/>
  <c r="G1931" i="19"/>
  <c r="G1743" i="19"/>
  <c r="G1557" i="19"/>
  <c r="G1355" i="19"/>
  <c r="G1167" i="19"/>
  <c r="G995" i="19"/>
  <c r="G839" i="19"/>
  <c r="G683" i="19"/>
  <c r="G527" i="19"/>
  <c r="G371" i="19"/>
  <c r="G215" i="19"/>
  <c r="G59" i="19"/>
  <c r="G8384" i="19"/>
  <c r="G7197" i="19"/>
  <c r="G6436" i="19"/>
  <c r="G5862" i="19"/>
  <c r="G5385" i="19"/>
  <c r="G4938" i="19"/>
  <c r="G4485" i="19"/>
  <c r="G4095" i="19"/>
  <c r="G3780" i="19"/>
  <c r="G3528" i="19"/>
  <c r="G3281" i="19"/>
  <c r="G3032" i="19"/>
  <c r="G2790" i="19"/>
  <c r="G2548" i="19"/>
  <c r="G2341" i="19"/>
  <c r="G2145" i="19"/>
  <c r="G1957" i="19"/>
  <c r="G1771" i="19"/>
  <c r="G1583" i="19"/>
  <c r="G1395" i="19"/>
  <c r="G1209" i="19"/>
  <c r="G1031" i="19"/>
  <c r="G873" i="19"/>
  <c r="G717" i="19"/>
  <c r="G549" i="19"/>
  <c r="G393" i="19"/>
  <c r="G7960" i="19"/>
  <c r="G6613" i="19"/>
  <c r="G5749" i="19"/>
  <c r="G5060" i="19"/>
  <c r="G4385" i="19"/>
  <c r="G3861" i="19"/>
  <c r="G3473" i="19"/>
  <c r="G3101" i="19"/>
  <c r="G2739" i="19"/>
  <c r="G2391" i="19"/>
  <c r="G2097" i="19"/>
  <c r="G1814" i="19"/>
  <c r="G1535" i="19"/>
  <c r="G1252" i="19"/>
  <c r="G1002" i="19"/>
  <c r="G795" i="19"/>
  <c r="G586" i="19"/>
  <c r="G378" i="19"/>
  <c r="G187" i="19"/>
  <c r="G9451" i="19"/>
  <c r="G1081" i="19"/>
  <c r="G565" i="19"/>
  <c r="G166" i="19"/>
  <c r="G3603" i="19"/>
  <c r="G915" i="19"/>
  <c r="G6422" i="19"/>
  <c r="G8096" i="19"/>
  <c r="G6680" i="19"/>
  <c r="G5806" i="19"/>
  <c r="G5100" i="19"/>
  <c r="G4436" i="19"/>
  <c r="G3860" i="19"/>
  <c r="G3471" i="19"/>
  <c r="G3099" i="19"/>
  <c r="G2735" i="19"/>
  <c r="G2415" i="19"/>
  <c r="G2114" i="19"/>
  <c r="G1836" i="19"/>
  <c r="G1552" i="19"/>
  <c r="G1274" i="19"/>
  <c r="G1017" i="19"/>
  <c r="G809" i="19"/>
  <c r="G584" i="19"/>
  <c r="G377" i="19"/>
  <c r="G186" i="19"/>
  <c r="G9768" i="19"/>
  <c r="G7190" i="19"/>
  <c r="G6176" i="19"/>
  <c r="G5412" i="19"/>
  <c r="G4748" i="19"/>
  <c r="G4112" i="19"/>
  <c r="G3671" i="19"/>
  <c r="G3295" i="19"/>
  <c r="G2891" i="19"/>
  <c r="G2553" i="19"/>
  <c r="G2244" i="19"/>
  <c r="G1964" i="19"/>
  <c r="G1660" i="19"/>
  <c r="G1378" i="19"/>
  <c r="G1084" i="19"/>
  <c r="G870" i="19"/>
  <c r="G663" i="19"/>
  <c r="G454" i="19"/>
  <c r="G256" i="19"/>
  <c r="G54" i="19"/>
  <c r="G3636" i="19"/>
  <c r="G1221" i="19"/>
  <c r="G754" i="19"/>
  <c r="G6721" i="19"/>
  <c r="G9782" i="19"/>
  <c r="G7301" i="19"/>
  <c r="G6235" i="19"/>
  <c r="G5471" i="19"/>
  <c r="G4794" i="19"/>
  <c r="G4161" i="19"/>
  <c r="G3672" i="19"/>
  <c r="G3296" i="19"/>
  <c r="G2924" i="19"/>
  <c r="G2578" i="19"/>
  <c r="G2272" i="19"/>
  <c r="G1983" i="19"/>
  <c r="G1705" i="19"/>
  <c r="G1423" i="19"/>
  <c r="G1143" i="19"/>
  <c r="G919" i="19"/>
  <c r="G712" i="19"/>
  <c r="G487" i="19"/>
  <c r="G285" i="19"/>
  <c r="G99" i="19"/>
  <c r="G1394" i="19"/>
  <c r="G787" i="19"/>
  <c r="G9680" i="19"/>
  <c r="G7062" i="19"/>
  <c r="G5964" i="19"/>
  <c r="G5029" i="19"/>
  <c r="G4269" i="19"/>
  <c r="G3717" i="19"/>
  <c r="G3176" i="19"/>
  <c r="G2676" i="19"/>
  <c r="G2215" i="19"/>
  <c r="G1849" i="19"/>
  <c r="G1393" i="19"/>
  <c r="G642" i="19"/>
  <c r="G93" i="19"/>
  <c r="G7736" i="19"/>
  <c r="G6514" i="19"/>
  <c r="G5674" i="19"/>
  <c r="G4992" i="19"/>
  <c r="G4271" i="19"/>
  <c r="G3783" i="19"/>
  <c r="G3408" i="19"/>
  <c r="G3033" i="19"/>
  <c r="G2680" i="19"/>
  <c r="G2360" i="19"/>
  <c r="G2067" i="19"/>
  <c r="G1786" i="19"/>
  <c r="G1507" i="19"/>
  <c r="G1224" i="19"/>
  <c r="G980" i="19"/>
  <c r="G758" i="19"/>
  <c r="G548" i="19"/>
  <c r="G341" i="19"/>
  <c r="G153" i="19"/>
  <c r="G9032" i="19"/>
  <c r="G7064" i="19"/>
  <c r="G6094" i="19"/>
  <c r="G5349" i="19"/>
  <c r="G4680" i="19"/>
  <c r="G4062" i="19"/>
  <c r="G3639" i="19"/>
  <c r="G3201" i="19"/>
  <c r="G2835" i="19"/>
  <c r="G2497" i="19"/>
  <c r="G2152" i="19"/>
  <c r="G1870" i="19"/>
  <c r="G1202" i="19"/>
  <c r="G110" i="19"/>
  <c r="G882" i="19"/>
  <c r="G65" i="19"/>
  <c r="G7170" i="19"/>
  <c r="G6714" i="19"/>
  <c r="G4508" i="19"/>
  <c r="G7426" i="19"/>
  <c r="G4928" i="19"/>
  <c r="G3628" i="19"/>
  <c r="G2747" i="19"/>
  <c r="G2013" i="19"/>
  <c r="G1344" i="19"/>
  <c r="G770" i="19"/>
  <c r="G5586" i="19"/>
  <c r="G3797" i="19"/>
  <c r="G8483" i="19"/>
  <c r="G4776" i="19"/>
  <c r="G3394" i="19"/>
  <c r="G2467" i="19"/>
  <c r="G1712" i="19"/>
  <c r="G1006" i="19"/>
  <c r="G478" i="19"/>
  <c r="G17" i="19"/>
  <c r="G6478" i="19"/>
  <c r="G4213" i="19"/>
  <c r="G3082" i="19"/>
  <c r="G2211" i="19"/>
  <c r="G1430" i="19"/>
  <c r="G796" i="19"/>
  <c r="G117" i="19"/>
  <c r="G5542" i="19"/>
  <c r="G3771" i="19"/>
  <c r="G2795" i="19"/>
  <c r="G1992" i="19"/>
  <c r="G5285" i="19"/>
  <c r="G3655" i="19"/>
  <c r="G2694" i="19"/>
  <c r="G1906" i="19"/>
  <c r="G1111" i="19"/>
  <c r="G571" i="19"/>
  <c r="G447" i="19"/>
  <c r="G2259" i="19"/>
  <c r="G193" i="19"/>
  <c r="G160" i="19"/>
  <c r="G734" i="19"/>
  <c r="G1519" i="19"/>
  <c r="G2494" i="19"/>
  <c r="G4009" i="19"/>
  <c r="G9209" i="19"/>
  <c r="G9626" i="19"/>
  <c r="G1068" i="19"/>
  <c r="G1584" i="19"/>
  <c r="G4217" i="19"/>
  <c r="G1024" i="19"/>
  <c r="G3052" i="19"/>
  <c r="G382" i="19"/>
  <c r="G1909" i="19"/>
  <c r="G91" i="19"/>
  <c r="G6060" i="19"/>
  <c r="G1779" i="19"/>
  <c r="G5122" i="19"/>
  <c r="G1261" i="19"/>
  <c r="G3510" i="19"/>
  <c r="G559" i="19"/>
  <c r="G2194" i="19"/>
  <c r="G190" i="19"/>
  <c r="G1580" i="19"/>
  <c r="G5168" i="19"/>
  <c r="G366" i="19"/>
  <c r="G3139" i="19"/>
  <c r="G9923" i="19"/>
  <c r="G9587" i="19"/>
  <c r="G9299" i="19"/>
  <c r="G9933" i="19"/>
  <c r="G9645" i="19"/>
  <c r="G9309" i="19"/>
  <c r="G9977" i="19"/>
  <c r="G9517" i="19"/>
  <c r="G9171" i="19"/>
  <c r="G9974" i="19"/>
  <c r="G9628" i="19"/>
  <c r="G9168" i="19"/>
  <c r="G9691" i="19"/>
  <c r="G9207" i="19"/>
  <c r="G8852" i="19"/>
  <c r="G8467" i="19"/>
  <c r="G8179" i="19"/>
  <c r="G7843" i="19"/>
  <c r="G9842" i="19"/>
  <c r="G9290" i="19"/>
  <c r="G9667" i="19"/>
  <c r="G9094" i="19"/>
  <c r="G8747" i="19"/>
  <c r="G9666" i="19"/>
  <c r="G9170" i="19"/>
  <c r="G8746" i="19"/>
  <c r="G8432" i="19"/>
  <c r="G9604" i="19"/>
  <c r="G9723" i="19"/>
  <c r="G9022" i="19"/>
  <c r="G8630" i="19"/>
  <c r="G8173" i="19"/>
  <c r="G7859" i="19"/>
  <c r="G7507" i="19"/>
  <c r="G7219" i="19"/>
  <c r="G9580" i="19"/>
  <c r="G9004" i="19"/>
  <c r="G8548" i="19"/>
  <c r="G8211" i="19"/>
  <c r="G7792" i="19"/>
  <c r="G9984" i="19"/>
  <c r="G9219" i="19"/>
  <c r="G8766" i="19"/>
  <c r="G8290" i="19"/>
  <c r="G9159" i="19"/>
  <c r="G8519" i="19"/>
  <c r="G8100" i="19"/>
  <c r="G7604" i="19"/>
  <c r="G7280" i="19"/>
  <c r="G6921" i="19"/>
  <c r="G6633" i="19"/>
  <c r="G6249" i="19"/>
  <c r="G9184" i="19"/>
  <c r="G8538" i="19"/>
  <c r="G8114" i="19"/>
  <c r="G7617" i="19"/>
  <c r="G7292" i="19"/>
  <c r="G6932" i="19"/>
  <c r="G9516" i="19"/>
  <c r="G8658" i="19"/>
  <c r="G8206" i="19"/>
  <c r="G7765" i="19"/>
  <c r="G7420" i="19"/>
  <c r="G8749" i="19"/>
  <c r="G8149" i="19"/>
  <c r="G9975" i="19"/>
  <c r="G8920" i="19"/>
  <c r="G8103" i="19"/>
  <c r="G7607" i="19"/>
  <c r="G7138" i="19"/>
  <c r="G6782" i="19"/>
  <c r="G6363" i="19"/>
  <c r="G6064" i="19"/>
  <c r="G5728" i="19"/>
  <c r="G5440" i="19"/>
  <c r="G5056" i="19"/>
  <c r="G4768" i="19"/>
  <c r="G4432" i="19"/>
  <c r="G9616" i="19"/>
  <c r="G8495" i="19"/>
  <c r="G7954" i="19"/>
  <c r="G7403" i="19"/>
  <c r="G7025" i="19"/>
  <c r="G6584" i="19"/>
  <c r="G6270" i="19"/>
  <c r="G5931" i="19"/>
  <c r="G5643" i="19"/>
  <c r="G5259" i="19"/>
  <c r="G4971" i="19"/>
  <c r="G4635" i="19"/>
  <c r="G4347" i="19"/>
  <c r="G8821" i="19"/>
  <c r="G8202" i="19"/>
  <c r="G7621" i="19"/>
  <c r="G7211" i="19"/>
  <c r="G6739" i="19"/>
  <c r="G9115" i="19"/>
  <c r="G8014" i="19"/>
  <c r="G9437" i="19"/>
  <c r="G8046" i="19"/>
  <c r="G7367" i="19"/>
  <c r="G6802" i="19"/>
  <c r="G6403" i="19"/>
  <c r="G5927" i="19"/>
  <c r="G5581" i="19"/>
  <c r="G5179" i="19"/>
  <c r="G4833" i="19"/>
  <c r="G4373" i="19"/>
  <c r="G4066" i="19"/>
  <c r="G9436" i="19"/>
  <c r="G8300" i="19"/>
  <c r="G7366" i="19"/>
  <c r="G6876" i="19"/>
  <c r="G6400" i="19"/>
  <c r="G6042" i="19"/>
  <c r="G5580" i="19"/>
  <c r="G5234" i="19"/>
  <c r="G4832" i="19"/>
  <c r="G4486" i="19"/>
  <c r="G8813" i="19"/>
  <c r="G7945" i="19"/>
  <c r="G7218" i="19"/>
  <c r="G6745" i="19"/>
  <c r="G6226" i="19"/>
  <c r="G5880" i="19"/>
  <c r="G9102" i="19"/>
  <c r="G7758" i="19"/>
  <c r="G6788" i="19"/>
  <c r="G6266" i="19"/>
  <c r="G9098" i="19"/>
  <c r="G7756" i="19"/>
  <c r="G6787" i="19"/>
  <c r="G6265" i="19"/>
  <c r="G5761" i="19"/>
  <c r="G5434" i="19"/>
  <c r="G5022" i="19"/>
  <c r="G4676" i="19"/>
  <c r="G4266" i="19"/>
  <c r="G4001" i="19"/>
  <c r="G3698" i="19"/>
  <c r="G3482" i="19"/>
  <c r="G3194" i="19"/>
  <c r="G2954" i="19"/>
  <c r="G2666" i="19"/>
  <c r="G2462" i="19"/>
  <c r="G9828" i="19"/>
  <c r="G8437" i="19"/>
  <c r="G7441" i="19"/>
  <c r="G6940" i="19"/>
  <c r="G6430" i="19"/>
  <c r="G6089" i="19"/>
  <c r="G5663" i="19"/>
  <c r="G5363" i="19"/>
  <c r="G4985" i="19"/>
  <c r="G4673" i="19"/>
  <c r="G4309" i="19"/>
  <c r="G4065" i="19"/>
  <c r="G3781" i="19"/>
  <c r="G3577" i="19"/>
  <c r="G3313" i="19"/>
  <c r="G3109" i="19"/>
  <c r="G2845" i="19"/>
  <c r="G2629" i="19"/>
  <c r="G8730" i="19"/>
  <c r="G7791" i="19"/>
  <c r="G7065" i="19"/>
  <c r="G6641" i="19"/>
  <c r="G6179" i="19"/>
  <c r="G5853" i="19"/>
  <c r="G5447" i="19"/>
  <c r="G5137" i="19"/>
  <c r="G4757" i="19"/>
  <c r="G4463" i="19"/>
  <c r="G4129" i="19"/>
  <c r="G9269" i="19"/>
  <c r="G7466" i="19"/>
  <c r="G6736" i="19"/>
  <c r="G6078" i="19"/>
  <c r="G5598" i="19"/>
  <c r="G5089" i="19"/>
  <c r="G4698" i="19"/>
  <c r="G4212" i="19"/>
  <c r="G3918" i="19"/>
  <c r="G8355" i="19"/>
  <c r="G7250" i="19"/>
  <c r="G6469" i="19"/>
  <c r="G5929" i="19"/>
  <c r="G5387" i="19"/>
  <c r="G4994" i="19"/>
  <c r="G4489" i="19"/>
  <c r="G4139" i="19"/>
  <c r="G3779" i="19"/>
  <c r="G3521" i="19"/>
  <c r="G3203" i="19"/>
  <c r="G2959" i="19"/>
  <c r="G2643" i="19"/>
  <c r="G2410" i="19"/>
  <c r="G2130" i="19"/>
  <c r="G1914" i="19"/>
  <c r="G1662" i="19"/>
  <c r="G1446" i="19"/>
  <c r="G1182" i="19"/>
  <c r="G9547" i="19"/>
  <c r="G7562" i="19"/>
  <c r="G6844" i="19"/>
  <c r="G6132" i="19"/>
  <c r="G5641" i="19"/>
  <c r="G5154" i="19"/>
  <c r="G4738" i="19"/>
  <c r="G4243" i="19"/>
  <c r="G3947" i="19"/>
  <c r="G3620" i="19"/>
  <c r="G3376" i="19"/>
  <c r="G3102" i="19"/>
  <c r="G2856" i="19"/>
  <c r="G2612" i="19"/>
  <c r="G2370" i="19"/>
  <c r="G2141" i="19"/>
  <c r="G1949" i="19"/>
  <c r="G1721" i="19"/>
  <c r="G1517" i="19"/>
  <c r="G1313" i="19"/>
  <c r="G9540" i="19"/>
  <c r="G7822" i="19"/>
  <c r="G7028" i="19"/>
  <c r="G6397" i="19"/>
  <c r="G5867" i="19"/>
  <c r="G5496" i="19"/>
  <c r="G5102" i="19"/>
  <c r="G4758" i="19"/>
  <c r="G4390" i="19"/>
  <c r="G4099" i="19"/>
  <c r="G3835" i="19"/>
  <c r="G3604" i="19"/>
  <c r="G3388" i="19"/>
  <c r="G3172" i="19"/>
  <c r="G2956" i="19"/>
  <c r="G8554" i="19"/>
  <c r="G7224" i="19"/>
  <c r="G6450" i="19"/>
  <c r="G5792" i="19"/>
  <c r="G5289" i="19"/>
  <c r="G4807" i="19"/>
  <c r="G4321" i="19"/>
  <c r="G3945" i="19"/>
  <c r="G3653" i="19"/>
  <c r="G3365" i="19"/>
  <c r="G3077" i="19"/>
  <c r="G2812" i="19"/>
  <c r="G2572" i="19"/>
  <c r="G2348" i="19"/>
  <c r="G2121" i="19"/>
  <c r="G1919" i="19"/>
  <c r="G1717" i="19"/>
  <c r="G1515" i="19"/>
  <c r="G1315" i="19"/>
  <c r="G9641" i="19"/>
  <c r="G7652" i="19"/>
  <c r="G6685" i="19"/>
  <c r="G6036" i="19"/>
  <c r="G5493" i="19"/>
  <c r="G4979" i="19"/>
  <c r="G4495" i="19"/>
  <c r="G4074" i="19"/>
  <c r="G3744" i="19"/>
  <c r="G3478" i="19"/>
  <c r="G3209" i="19"/>
  <c r="G2921" i="19"/>
  <c r="G2691" i="19"/>
  <c r="G2456" i="19"/>
  <c r="G2251" i="19"/>
  <c r="G2062" i="19"/>
  <c r="G1874" i="19"/>
  <c r="G1688" i="19"/>
  <c r="G1500" i="19"/>
  <c r="G1312" i="19"/>
  <c r="G1126" i="19"/>
  <c r="G960" i="19"/>
  <c r="G804" i="19"/>
  <c r="G648" i="19"/>
  <c r="G480" i="19"/>
  <c r="G324" i="19"/>
  <c r="G168" i="19"/>
  <c r="G12" i="19"/>
  <c r="G7961" i="19"/>
  <c r="G6972" i="19"/>
  <c r="G6299" i="19"/>
  <c r="G5753" i="19"/>
  <c r="G5286" i="19"/>
  <c r="G4838" i="19"/>
  <c r="G4388" i="19"/>
  <c r="G3992" i="19"/>
  <c r="G3705" i="19"/>
  <c r="G3455" i="19"/>
  <c r="G3208" i="19"/>
  <c r="G2957" i="19"/>
  <c r="G2722" i="19"/>
  <c r="G2503" i="19"/>
  <c r="G2298" i="19"/>
  <c r="G2103" i="19"/>
  <c r="G1917" i="19"/>
  <c r="G1729" i="19"/>
  <c r="G1527" i="19"/>
  <c r="G1341" i="19"/>
  <c r="G1153" i="19"/>
  <c r="G983" i="19"/>
  <c r="G827" i="19"/>
  <c r="G671" i="19"/>
  <c r="G515" i="19"/>
  <c r="G359" i="19"/>
  <c r="G203" i="19"/>
  <c r="G47" i="19"/>
  <c r="G8253" i="19"/>
  <c r="G7079" i="19"/>
  <c r="G6387" i="19"/>
  <c r="G5820" i="19"/>
  <c r="G5352" i="19"/>
  <c r="G4901" i="19"/>
  <c r="G4452" i="19"/>
  <c r="G4068" i="19"/>
  <c r="G3760" i="19"/>
  <c r="G3511" i="19"/>
  <c r="G3262" i="19"/>
  <c r="G3010" i="19"/>
  <c r="G2754" i="19"/>
  <c r="G2531" i="19"/>
  <c r="G2326" i="19"/>
  <c r="G2131" i="19"/>
  <c r="G1943" i="19"/>
  <c r="G1755" i="19"/>
  <c r="G1569" i="19"/>
  <c r="G1381" i="19"/>
  <c r="G1195" i="19"/>
  <c r="G1018" i="19"/>
  <c r="G861" i="19"/>
  <c r="G693" i="19"/>
  <c r="G537" i="19"/>
  <c r="G381" i="19"/>
  <c r="G7799" i="19"/>
  <c r="G6539" i="19"/>
  <c r="G5690" i="19"/>
  <c r="G5009" i="19"/>
  <c r="G4337" i="19"/>
  <c r="G3825" i="19"/>
  <c r="G3447" i="19"/>
  <c r="G3069" i="19"/>
  <c r="G2687" i="19"/>
  <c r="G2368" i="19"/>
  <c r="G2074" i="19"/>
  <c r="G1795" i="19"/>
  <c r="G1512" i="19"/>
  <c r="G1233" i="19"/>
  <c r="G987" i="19"/>
  <c r="G778" i="19"/>
  <c r="G570" i="19"/>
  <c r="G363" i="19"/>
  <c r="G173" i="19"/>
  <c r="G2262" i="19"/>
  <c r="G1029" i="19"/>
  <c r="G517" i="19"/>
  <c r="G138" i="19"/>
  <c r="G3348" i="19"/>
  <c r="G819" i="19"/>
  <c r="G6092" i="19"/>
  <c r="G7930" i="19"/>
  <c r="G6610" i="19"/>
  <c r="G5735" i="19"/>
  <c r="G5058" i="19"/>
  <c r="G4334" i="19"/>
  <c r="G3819" i="19"/>
  <c r="G3443" i="19"/>
  <c r="G3067" i="19"/>
  <c r="G2711" i="19"/>
  <c r="G2388" i="19"/>
  <c r="G2096" i="19"/>
  <c r="G1812" i="19"/>
  <c r="G1534" i="19"/>
  <c r="G1250" i="19"/>
  <c r="G1001" i="19"/>
  <c r="G776" i="19"/>
  <c r="G569" i="19"/>
  <c r="G362" i="19"/>
  <c r="G172" i="19"/>
  <c r="G9065" i="19"/>
  <c r="G7106" i="19"/>
  <c r="G6109" i="19"/>
  <c r="G5370" i="19"/>
  <c r="G4682" i="19"/>
  <c r="G4077" i="19"/>
  <c r="G3641" i="19"/>
  <c r="G3237" i="19"/>
  <c r="G2865" i="19"/>
  <c r="G2526" i="19"/>
  <c r="G2223" i="19"/>
  <c r="G1940" i="19"/>
  <c r="G1636" i="19"/>
  <c r="G1358" i="19"/>
  <c r="G1067" i="19"/>
  <c r="G855" i="19"/>
  <c r="G646" i="19"/>
  <c r="G438" i="19"/>
  <c r="G226" i="19"/>
  <c r="G40" i="19"/>
  <c r="G3257" i="19"/>
  <c r="G1159" i="19"/>
  <c r="G738" i="19"/>
  <c r="G6567" i="19"/>
  <c r="G9457" i="19"/>
  <c r="G7191" i="19"/>
  <c r="G6177" i="19"/>
  <c r="G5414" i="19"/>
  <c r="G4749" i="19"/>
  <c r="G4081" i="19"/>
  <c r="G3642" i="19"/>
  <c r="G3270" i="19"/>
  <c r="G2892" i="19"/>
  <c r="G2556" i="19"/>
  <c r="G2245" i="19"/>
  <c r="G1965" i="19"/>
  <c r="G1681" i="19"/>
  <c r="G1403" i="19"/>
  <c r="G1120" i="19"/>
  <c r="G904" i="19"/>
  <c r="G679" i="19"/>
  <c r="G472" i="19"/>
  <c r="G271" i="19"/>
  <c r="G85" i="19"/>
  <c r="G1332" i="19"/>
  <c r="G739" i="19"/>
  <c r="G8761" i="19"/>
  <c r="G6979" i="19"/>
  <c r="G5889" i="19"/>
  <c r="G4987" i="19"/>
  <c r="G4185" i="19"/>
  <c r="G3659" i="19"/>
  <c r="G3141" i="19"/>
  <c r="G2648" i="19"/>
  <c r="G2195" i="19"/>
  <c r="G1807" i="19"/>
  <c r="G1351" i="19"/>
  <c r="G594" i="19"/>
  <c r="G51" i="19"/>
  <c r="G7595" i="19"/>
  <c r="G6443" i="19"/>
  <c r="G5615" i="19"/>
  <c r="G4889" i="19"/>
  <c r="G4229" i="19"/>
  <c r="G3754" i="19"/>
  <c r="G3379" i="19"/>
  <c r="G3006" i="19"/>
  <c r="G2651" i="19"/>
  <c r="G2337" i="19"/>
  <c r="G2044" i="19"/>
  <c r="G1765" i="19"/>
  <c r="G1484" i="19"/>
  <c r="G1203" i="19"/>
  <c r="G950" i="19"/>
  <c r="G740" i="19"/>
  <c r="G533" i="19"/>
  <c r="G327" i="19"/>
  <c r="G139" i="19"/>
  <c r="G8762" i="19"/>
  <c r="G6984" i="19"/>
  <c r="G6023" i="19"/>
  <c r="G5302" i="19"/>
  <c r="G4618" i="19"/>
  <c r="G4029" i="19"/>
  <c r="G3581" i="19"/>
  <c r="G3177" i="19"/>
  <c r="G2805" i="19"/>
  <c r="G2478" i="19"/>
  <c r="G2128" i="19"/>
  <c r="G1850" i="19"/>
  <c r="G1048" i="19"/>
  <c r="G22" i="19"/>
  <c r="G690" i="19"/>
  <c r="G9030" i="19"/>
  <c r="G6977" i="19"/>
  <c r="G6275" i="19"/>
  <c r="G4403" i="19"/>
  <c r="G7130" i="19"/>
  <c r="G4820" i="19"/>
  <c r="G3567" i="19"/>
  <c r="G2693" i="19"/>
  <c r="G1954" i="19"/>
  <c r="G1282" i="19"/>
  <c r="G735" i="19"/>
  <c r="G5441" i="19"/>
  <c r="G3713" i="19"/>
  <c r="G7428" i="19"/>
  <c r="G4614" i="19"/>
  <c r="G3312" i="19"/>
  <c r="G2401" i="19"/>
  <c r="G1652" i="19"/>
  <c r="G961" i="19"/>
  <c r="G445" i="19"/>
  <c r="G750" i="19"/>
  <c r="G6206" i="19"/>
  <c r="G4091" i="19"/>
  <c r="G3021" i="19"/>
  <c r="G2100" i="19"/>
  <c r="G1366" i="19"/>
  <c r="G704" i="19"/>
  <c r="G78" i="19"/>
  <c r="G5375" i="19"/>
  <c r="G3682" i="19"/>
  <c r="G2719" i="19"/>
  <c r="G10003" i="19"/>
  <c r="G5126" i="19"/>
  <c r="G3570" i="19"/>
  <c r="G2615" i="19"/>
  <c r="G1780" i="19"/>
  <c r="G1063" i="19"/>
  <c r="G529" i="19"/>
  <c r="G544" i="19"/>
  <c r="G2542" i="19"/>
  <c r="G234" i="19"/>
  <c r="G194" i="19"/>
  <c r="G784" i="19"/>
  <c r="G1582" i="19"/>
  <c r="G2595" i="19"/>
  <c r="G4177" i="19"/>
  <c r="G8950" i="19"/>
  <c r="G4823" i="19"/>
  <c r="G1668" i="19"/>
  <c r="G4964" i="19"/>
  <c r="G1078" i="19"/>
  <c r="G3309" i="19"/>
  <c r="G430" i="19"/>
  <c r="G2146" i="19"/>
  <c r="G304" i="19"/>
  <c r="G58" i="19"/>
  <c r="G1863" i="19"/>
  <c r="G6061" i="19"/>
  <c r="G1345" i="19"/>
  <c r="G3768" i="19"/>
  <c r="G608" i="19"/>
  <c r="G2473" i="19"/>
  <c r="G233" i="19"/>
  <c r="G1732" i="19"/>
  <c r="G5443" i="19"/>
  <c r="G783" i="19"/>
  <c r="G3280" i="19"/>
  <c r="G9899" i="19"/>
  <c r="G9575" i="19"/>
  <c r="G9263" i="19"/>
  <c r="G9921" i="19"/>
  <c r="G9621" i="19"/>
  <c r="G9297" i="19"/>
  <c r="G9934" i="19"/>
  <c r="G9502" i="19"/>
  <c r="G9142" i="19"/>
  <c r="G9960" i="19"/>
  <c r="G9584" i="19"/>
  <c r="G9152" i="19"/>
  <c r="G9655" i="19"/>
  <c r="G9190" i="19"/>
  <c r="G8815" i="19"/>
  <c r="G8455" i="19"/>
  <c r="G8155" i="19"/>
  <c r="G7831" i="19"/>
  <c r="G9792" i="19"/>
  <c r="G9272" i="19"/>
  <c r="G9627" i="19"/>
  <c r="G9077" i="19"/>
  <c r="G8708" i="19"/>
  <c r="G9648" i="19"/>
  <c r="G9132" i="19"/>
  <c r="G8733" i="19"/>
  <c r="G8392" i="19"/>
  <c r="G9581" i="19"/>
  <c r="G9670" i="19"/>
  <c r="G9005" i="19"/>
  <c r="G8582" i="19"/>
  <c r="G8160" i="19"/>
  <c r="G7833" i="19"/>
  <c r="G7495" i="19"/>
  <c r="G7183" i="19"/>
  <c r="G9555" i="19"/>
  <c r="G8969" i="19"/>
  <c r="G8534" i="19"/>
  <c r="G8172" i="19"/>
  <c r="G7779" i="19"/>
  <c r="G9922" i="19"/>
  <c r="G9195" i="19"/>
  <c r="G8718" i="19"/>
  <c r="G9986" i="19"/>
  <c r="G9097" i="19"/>
  <c r="G8500" i="19"/>
  <c r="G8052" i="19"/>
  <c r="G7588" i="19"/>
  <c r="G7253" i="19"/>
  <c r="G6909" i="19"/>
  <c r="G6597" i="19"/>
  <c r="G6237" i="19"/>
  <c r="G9122" i="19"/>
  <c r="G8517" i="19"/>
  <c r="G8066" i="19"/>
  <c r="G7601" i="19"/>
  <c r="G7265" i="19"/>
  <c r="G6920" i="19"/>
  <c r="G9411" i="19"/>
  <c r="G8637" i="19"/>
  <c r="G8175" i="19"/>
  <c r="G7750" i="19"/>
  <c r="G9927" i="19"/>
  <c r="G8716" i="19"/>
  <c r="G8104" i="19"/>
  <c r="G9924" i="19"/>
  <c r="G8828" i="19"/>
  <c r="G8082" i="19"/>
  <c r="G7568" i="19"/>
  <c r="G7120" i="19"/>
  <c r="G6743" i="19"/>
  <c r="G6350" i="19"/>
  <c r="G6040" i="19"/>
  <c r="G5716" i="19"/>
  <c r="G5404" i="19"/>
  <c r="G5044" i="19"/>
  <c r="G4744" i="19"/>
  <c r="G4420" i="19"/>
  <c r="G9468" i="19"/>
  <c r="G8470" i="19"/>
  <c r="G7914" i="19"/>
  <c r="G7388" i="19"/>
  <c r="G6982" i="19"/>
  <c r="G6571" i="19"/>
  <c r="G6244" i="19"/>
  <c r="G5919" i="19"/>
  <c r="G5607" i="19"/>
  <c r="G5247" i="19"/>
  <c r="G4947" i="19"/>
  <c r="G4623" i="19"/>
  <c r="G4311" i="19"/>
  <c r="G8794" i="19"/>
  <c r="G8161" i="19"/>
  <c r="G7600" i="19"/>
  <c r="G7165" i="19"/>
  <c r="G6726" i="19"/>
  <c r="G9006" i="19"/>
  <c r="G7984" i="19"/>
  <c r="G9235" i="19"/>
  <c r="G8012" i="19"/>
  <c r="G7328" i="19"/>
  <c r="G6784" i="19"/>
  <c r="G6355" i="19"/>
  <c r="G5913" i="19"/>
  <c r="G5553" i="19"/>
  <c r="G5165" i="19"/>
  <c r="G4789" i="19"/>
  <c r="G4357" i="19"/>
  <c r="G4042" i="19"/>
  <c r="G9365" i="19"/>
  <c r="G8200" i="19"/>
  <c r="G7347" i="19"/>
  <c r="G6840" i="19"/>
  <c r="G6385" i="19"/>
  <c r="G5998" i="19"/>
  <c r="G5566" i="19"/>
  <c r="G5206" i="19"/>
  <c r="G4818" i="19"/>
  <c r="G4442" i="19"/>
  <c r="G8771" i="19"/>
  <c r="G7882" i="19"/>
  <c r="G7194" i="19"/>
  <c r="G6692" i="19"/>
  <c r="G6212" i="19"/>
  <c r="G5852" i="19"/>
  <c r="G9029" i="19"/>
  <c r="G7622" i="19"/>
  <c r="G6767" i="19"/>
  <c r="G6224" i="19"/>
  <c r="G9024" i="19"/>
  <c r="G7620" i="19"/>
  <c r="G6762" i="19"/>
  <c r="G6223" i="19"/>
  <c r="G5744" i="19"/>
  <c r="G5366" i="19"/>
  <c r="G4986" i="19"/>
  <c r="G4640" i="19"/>
  <c r="G4251" i="19"/>
  <c r="G3975" i="19"/>
  <c r="G3686" i="19"/>
  <c r="G3458" i="19"/>
  <c r="G3182" i="19"/>
  <c r="G2930" i="19"/>
  <c r="G2654" i="19"/>
  <c r="G2438" i="19"/>
  <c r="G9698" i="19"/>
  <c r="G8277" i="19"/>
  <c r="G7405" i="19"/>
  <c r="G6887" i="19"/>
  <c r="G6409" i="19"/>
  <c r="G6048" i="19"/>
  <c r="G5646" i="19"/>
  <c r="G5329" i="19"/>
  <c r="G4967" i="19"/>
  <c r="G4639" i="19"/>
  <c r="G4293" i="19"/>
  <c r="G4039" i="19"/>
  <c r="G3769" i="19"/>
  <c r="G3553" i="19"/>
  <c r="G3301" i="19"/>
  <c r="G3073" i="19"/>
  <c r="G2833" i="19"/>
  <c r="G2605" i="19"/>
  <c r="G8608" i="19"/>
  <c r="G7695" i="19"/>
  <c r="G7037" i="19"/>
  <c r="G6594" i="19"/>
  <c r="G6162" i="19"/>
  <c r="G5795" i="19"/>
  <c r="G5431" i="19"/>
  <c r="G5101" i="19"/>
  <c r="G4739" i="19"/>
  <c r="G4427" i="19"/>
  <c r="G4116" i="19"/>
  <c r="G9018" i="19"/>
  <c r="G7425" i="19"/>
  <c r="G6667" i="19"/>
  <c r="G6047" i="19"/>
  <c r="G5549" i="19"/>
  <c r="G5065" i="19"/>
  <c r="G4651" i="19"/>
  <c r="G4192" i="19"/>
  <c r="G3872" i="19"/>
  <c r="G8258" i="19"/>
  <c r="G7166" i="19"/>
  <c r="G6406" i="19"/>
  <c r="G5875" i="19"/>
  <c r="G5362" i="19"/>
  <c r="G4950" i="19"/>
  <c r="G4464" i="19"/>
  <c r="G4086" i="19"/>
  <c r="G3765" i="19"/>
  <c r="G3491" i="19"/>
  <c r="G3189" i="19"/>
  <c r="G2931" i="19"/>
  <c r="G2627" i="19"/>
  <c r="G2384" i="19"/>
  <c r="G2118" i="19"/>
  <c r="G1890" i="19"/>
  <c r="G1650" i="19"/>
  <c r="G1422" i="19"/>
  <c r="G1170" i="19"/>
  <c r="G9264" i="19"/>
  <c r="G7512" i="19"/>
  <c r="G6733" i="19"/>
  <c r="G6102" i="19"/>
  <c r="G5592" i="19"/>
  <c r="G5110" i="19"/>
  <c r="G4694" i="19"/>
  <c r="G4226" i="19"/>
  <c r="G3916" i="19"/>
  <c r="G3606" i="19"/>
  <c r="G3332" i="19"/>
  <c r="G3072" i="19"/>
  <c r="G2828" i="19"/>
  <c r="G2584" i="19"/>
  <c r="G2331" i="19"/>
  <c r="G2129" i="19"/>
  <c r="G1925" i="19"/>
  <c r="G1697" i="19"/>
  <c r="G1505" i="19"/>
  <c r="G1289" i="19"/>
  <c r="G9231" i="19"/>
  <c r="G7749" i="19"/>
  <c r="G6948" i="19"/>
  <c r="G6302" i="19"/>
  <c r="G5844" i="19"/>
  <c r="G5473" i="19"/>
  <c r="G5082" i="19"/>
  <c r="G4736" i="19"/>
  <c r="G4367" i="19"/>
  <c r="G4064" i="19"/>
  <c r="G3820" i="19"/>
  <c r="G3588" i="19"/>
  <c r="G3372" i="19"/>
  <c r="G3142" i="19"/>
  <c r="G2940" i="19"/>
  <c r="G8427" i="19"/>
  <c r="G7163" i="19"/>
  <c r="G6399" i="19"/>
  <c r="G5757" i="19"/>
  <c r="G5256" i="19"/>
  <c r="G4772" i="19"/>
  <c r="G4290" i="19"/>
  <c r="G3925" i="19"/>
  <c r="G3612" i="19"/>
  <c r="G3324" i="19"/>
  <c r="G3055" i="19"/>
  <c r="G2794" i="19"/>
  <c r="G2552" i="19"/>
  <c r="G2315" i="19"/>
  <c r="G2107" i="19"/>
  <c r="G1905" i="19"/>
  <c r="G1703" i="19"/>
  <c r="G1501" i="19"/>
  <c r="G1299" i="19"/>
  <c r="G9361" i="19"/>
  <c r="G7482" i="19"/>
  <c r="G6639" i="19"/>
  <c r="G6000" i="19"/>
  <c r="G5461" i="19"/>
  <c r="G4941" i="19"/>
  <c r="G4457" i="19"/>
  <c r="G4046" i="19"/>
  <c r="G3727" i="19"/>
  <c r="G3456" i="19"/>
  <c r="G3168" i="19"/>
  <c r="G2902" i="19"/>
  <c r="G2655" i="19"/>
  <c r="G2441" i="19"/>
  <c r="G2236" i="19"/>
  <c r="G2048" i="19"/>
  <c r="G1860" i="19"/>
  <c r="G1672" i="19"/>
  <c r="G1486" i="19"/>
  <c r="G1298" i="19"/>
  <c r="G1113" i="19"/>
  <c r="G948" i="19"/>
  <c r="G792" i="19"/>
  <c r="G624" i="19"/>
  <c r="G468" i="19"/>
  <c r="G312" i="19"/>
  <c r="G156" i="19"/>
  <c r="G9843" i="19"/>
  <c r="G7865" i="19"/>
  <c r="G6903" i="19"/>
  <c r="G6254" i="19"/>
  <c r="G5712" i="19"/>
  <c r="G5254" i="19"/>
  <c r="G4800" i="19"/>
  <c r="G4318" i="19"/>
  <c r="G3968" i="19"/>
  <c r="G3687" i="19"/>
  <c r="G3438" i="19"/>
  <c r="G3187" i="19"/>
  <c r="G2937" i="19"/>
  <c r="G2706" i="19"/>
  <c r="G2485" i="19"/>
  <c r="G2283" i="19"/>
  <c r="G2089" i="19"/>
  <c r="G1903" i="19"/>
  <c r="G1701" i="19"/>
  <c r="G1513" i="19"/>
  <c r="G1327" i="19"/>
  <c r="G1139" i="19"/>
  <c r="G971" i="19"/>
  <c r="G815" i="19"/>
  <c r="G659" i="19"/>
  <c r="G503" i="19"/>
  <c r="G347" i="19"/>
  <c r="G191" i="19"/>
  <c r="G35" i="19"/>
  <c r="G8050" i="19"/>
  <c r="G7014" i="19"/>
  <c r="G6338" i="19"/>
  <c r="G5785" i="19"/>
  <c r="G5315" i="19"/>
  <c r="G4868" i="19"/>
  <c r="G4417" i="19"/>
  <c r="G4043" i="19"/>
  <c r="G3741" i="19"/>
  <c r="G3492" i="19"/>
  <c r="G3240" i="19"/>
  <c r="G2974" i="19"/>
  <c r="G2736" i="19"/>
  <c r="G2516" i="19"/>
  <c r="G2311" i="19"/>
  <c r="G2115" i="19"/>
  <c r="G1929" i="19"/>
  <c r="G1741" i="19"/>
  <c r="G1555" i="19"/>
  <c r="G1367" i="19"/>
  <c r="G1179" i="19"/>
  <c r="G1005" i="19"/>
  <c r="G837" i="19"/>
  <c r="G681" i="19"/>
  <c r="G525" i="19"/>
  <c r="G369" i="19"/>
  <c r="G7648" i="19"/>
  <c r="G6462" i="19"/>
  <c r="G5633" i="19"/>
  <c r="G4957" i="19"/>
  <c r="G4285" i="19"/>
  <c r="G3791" i="19"/>
  <c r="G3415" i="19"/>
  <c r="G3011" i="19"/>
  <c r="G2662" i="19"/>
  <c r="G2343" i="19"/>
  <c r="G2053" i="19"/>
  <c r="G1772" i="19"/>
  <c r="G1491" i="19"/>
  <c r="G1210" i="19"/>
  <c r="G970" i="19"/>
  <c r="G762" i="19"/>
  <c r="G555" i="19"/>
  <c r="G346" i="19"/>
  <c r="G145" i="19"/>
  <c r="G1720" i="19"/>
  <c r="G997" i="19"/>
  <c r="G484" i="19"/>
  <c r="G124" i="19"/>
  <c r="G3118" i="19"/>
  <c r="G771" i="19"/>
  <c r="G5774" i="19"/>
  <c r="G7781" i="19"/>
  <c r="G6522" i="19"/>
  <c r="G5688" i="19"/>
  <c r="G4956" i="19"/>
  <c r="G4275" i="19"/>
  <c r="G3789" i="19"/>
  <c r="G3413" i="19"/>
  <c r="G3041" i="19"/>
  <c r="G2683" i="19"/>
  <c r="G2367" i="19"/>
  <c r="G2072" i="19"/>
  <c r="G1792" i="19"/>
  <c r="G1510" i="19"/>
  <c r="G1232" i="19"/>
  <c r="G968" i="19"/>
  <c r="G761" i="19"/>
  <c r="G554" i="19"/>
  <c r="G344" i="19"/>
  <c r="G158" i="19"/>
  <c r="G8842" i="19"/>
  <c r="G7002" i="19"/>
  <c r="G6053" i="19"/>
  <c r="G5304" i="19"/>
  <c r="G4638" i="19"/>
  <c r="G4036" i="19"/>
  <c r="G3583" i="19"/>
  <c r="G3211" i="19"/>
  <c r="G2837" i="19"/>
  <c r="G2506" i="19"/>
  <c r="G2198" i="19"/>
  <c r="G1920" i="19"/>
  <c r="G1618" i="19"/>
  <c r="G1334" i="19"/>
  <c r="G1051" i="19"/>
  <c r="G838" i="19"/>
  <c r="G630" i="19"/>
  <c r="G406" i="19"/>
  <c r="G212" i="19"/>
  <c r="G26" i="19"/>
  <c r="G2946" i="19"/>
  <c r="G1064" i="19"/>
  <c r="G675" i="19"/>
  <c r="G6359" i="19"/>
  <c r="G9068" i="19"/>
  <c r="G7107" i="19"/>
  <c r="G6113" i="19"/>
  <c r="G5371" i="19"/>
  <c r="G4641" i="19"/>
  <c r="G4038" i="19"/>
  <c r="G3616" i="19"/>
  <c r="G3238" i="19"/>
  <c r="G2866" i="19"/>
  <c r="G2529" i="19"/>
  <c r="G2224" i="19"/>
  <c r="G1941" i="19"/>
  <c r="G1663" i="19"/>
  <c r="G1379" i="19"/>
  <c r="G1104" i="19"/>
  <c r="G871" i="19"/>
  <c r="G664" i="19"/>
  <c r="G457" i="19"/>
  <c r="G257" i="19"/>
  <c r="G69" i="19"/>
  <c r="G1264" i="19"/>
  <c r="G691" i="19"/>
  <c r="G8585" i="19"/>
  <c r="G6817" i="19"/>
  <c r="G5778" i="19"/>
  <c r="G4930" i="19"/>
  <c r="G4109" i="19"/>
  <c r="G3580" i="19"/>
  <c r="G3083" i="19"/>
  <c r="G2596" i="19"/>
  <c r="G2171" i="19"/>
  <c r="G1783" i="19"/>
  <c r="G1331" i="19"/>
  <c r="G498" i="19"/>
  <c r="G37" i="19"/>
  <c r="G7477" i="19"/>
  <c r="G6373" i="19"/>
  <c r="G5513" i="19"/>
  <c r="G4837" i="19"/>
  <c r="G4189" i="19"/>
  <c r="G3725" i="19"/>
  <c r="G3352" i="19"/>
  <c r="G2975" i="19"/>
  <c r="G2628" i="19"/>
  <c r="G2312" i="19"/>
  <c r="G2025" i="19"/>
  <c r="G1742" i="19"/>
  <c r="G1463" i="19"/>
  <c r="G1161" i="19"/>
  <c r="G932" i="19"/>
  <c r="G725" i="19"/>
  <c r="G518" i="19"/>
  <c r="G313" i="19"/>
  <c r="G125" i="19"/>
  <c r="G8586" i="19"/>
  <c r="G6900" i="19"/>
  <c r="G5965" i="19"/>
  <c r="G5240" i="19"/>
  <c r="G4574" i="19"/>
  <c r="G3954" i="19"/>
  <c r="G3547" i="19"/>
  <c r="G3143" i="19"/>
  <c r="G2781" i="19"/>
  <c r="G2452" i="19"/>
  <c r="G2110" i="19"/>
  <c r="G1826" i="19"/>
  <c r="G931" i="19"/>
  <c r="G9327" i="19"/>
  <c r="G610" i="19"/>
  <c r="G8758" i="19"/>
  <c r="G6652" i="19"/>
  <c r="G6079" i="19"/>
  <c r="G4268" i="19"/>
  <c r="G6868" i="19"/>
  <c r="G4706" i="19"/>
  <c r="G3486" i="19"/>
  <c r="G2619" i="19"/>
  <c r="G1908" i="19"/>
  <c r="G1235" i="19"/>
  <c r="G700" i="19"/>
  <c r="G5233" i="19"/>
  <c r="G3544" i="19"/>
  <c r="G7060" i="19"/>
  <c r="G4498" i="19"/>
  <c r="G3251" i="19"/>
  <c r="G2350" i="19"/>
  <c r="G1605" i="19"/>
  <c r="G925" i="19"/>
  <c r="G400" i="19"/>
  <c r="G668" i="19"/>
  <c r="G6005" i="19"/>
  <c r="G3976" i="19"/>
  <c r="G2853" i="19"/>
  <c r="G2040" i="19"/>
  <c r="G1306" i="19"/>
  <c r="G626" i="19"/>
  <c r="G46" i="19"/>
  <c r="G5230" i="19"/>
  <c r="G3600" i="19"/>
  <c r="G2647" i="19"/>
  <c r="G8750" i="19"/>
  <c r="G4975" i="19"/>
  <c r="G3508" i="19"/>
  <c r="G2492" i="19"/>
  <c r="G1735" i="19"/>
  <c r="G1023" i="19"/>
  <c r="G494" i="19"/>
  <c r="G604" i="19"/>
  <c r="G2968" i="19"/>
  <c r="G277" i="19"/>
  <c r="G235" i="19"/>
  <c r="G845" i="19"/>
  <c r="G1667" i="19"/>
  <c r="G2696" i="19"/>
  <c r="G4406" i="19"/>
  <c r="G1821" i="19"/>
  <c r="G5190" i="19"/>
  <c r="G1150" i="19"/>
  <c r="G3450" i="19"/>
  <c r="G541" i="19"/>
  <c r="G2255" i="19"/>
  <c r="G496" i="19"/>
  <c r="G92" i="19"/>
  <c r="G2016" i="19"/>
  <c r="G6421" i="19"/>
  <c r="G1408" i="19"/>
  <c r="G3939" i="19"/>
  <c r="G718" i="19"/>
  <c r="G2565" i="19"/>
  <c r="G274" i="19"/>
  <c r="G1798" i="19"/>
  <c r="G6139" i="19"/>
  <c r="G844" i="19"/>
  <c r="G3424" i="19"/>
  <c r="G9887" i="19"/>
  <c r="G9551" i="19"/>
  <c r="G9251" i="19"/>
  <c r="G9909" i="19"/>
  <c r="G9609" i="19"/>
  <c r="G9273" i="19"/>
  <c r="G9919" i="19"/>
  <c r="G9487" i="19"/>
  <c r="G9127" i="19"/>
  <c r="G9930" i="19"/>
  <c r="G9570" i="19"/>
  <c r="G9138" i="19"/>
  <c r="G9639" i="19"/>
  <c r="G9156" i="19"/>
  <c r="G8803" i="19"/>
  <c r="G8443" i="19"/>
  <c r="G8143" i="19"/>
  <c r="G7807" i="19"/>
  <c r="G9773" i="19"/>
  <c r="G9255" i="19"/>
  <c r="G9607" i="19"/>
  <c r="G9043" i="19"/>
  <c r="G8694" i="19"/>
  <c r="G9112" i="19"/>
  <c r="G8706" i="19"/>
  <c r="G8379" i="19"/>
  <c r="G9562" i="19"/>
  <c r="G9640" i="19"/>
  <c r="G8971" i="19"/>
  <c r="G8567" i="19"/>
  <c r="G8147" i="19"/>
  <c r="G7820" i="19"/>
  <c r="G7471" i="19"/>
  <c r="G7171" i="19"/>
  <c r="G9529" i="19"/>
  <c r="G8506" i="19"/>
  <c r="G8159" i="19"/>
  <c r="G7766" i="19"/>
  <c r="G9886" i="19"/>
  <c r="G9146" i="19"/>
  <c r="G8703" i="19"/>
  <c r="G9942" i="19"/>
  <c r="G9067" i="19"/>
  <c r="G8462" i="19"/>
  <c r="G8037" i="19"/>
  <c r="G7574" i="19"/>
  <c r="G7240" i="19"/>
  <c r="G6885" i="19"/>
  <c r="G6585" i="19"/>
  <c r="G9982" i="19"/>
  <c r="G9091" i="19"/>
  <c r="G8481" i="19"/>
  <c r="G8051" i="19"/>
  <c r="G7587" i="19"/>
  <c r="G7252" i="19"/>
  <c r="G6896" i="19"/>
  <c r="G9382" i="19"/>
  <c r="G8618" i="19"/>
  <c r="G8158" i="19"/>
  <c r="G7719" i="19"/>
  <c r="G9879" i="19"/>
  <c r="G8692" i="19"/>
  <c r="G8086" i="19"/>
  <c r="G9818" i="19"/>
  <c r="G8800" i="19"/>
  <c r="G8061" i="19"/>
  <c r="G7549" i="19"/>
  <c r="G7090" i="19"/>
  <c r="G6730" i="19"/>
  <c r="G6337" i="19"/>
  <c r="G6028" i="19"/>
  <c r="G5692" i="19"/>
  <c r="G5392" i="19"/>
  <c r="G5032" i="19"/>
  <c r="G4732" i="19"/>
  <c r="G4396" i="19"/>
  <c r="G9428" i="19"/>
  <c r="G8446" i="19"/>
  <c r="G7890" i="19"/>
  <c r="G7355" i="19"/>
  <c r="G6966" i="19"/>
  <c r="G6558" i="19"/>
  <c r="G6231" i="19"/>
  <c r="G5895" i="19"/>
  <c r="G5595" i="19"/>
  <c r="G5235" i="19"/>
  <c r="G4935" i="19"/>
  <c r="G4599" i="19"/>
  <c r="G4299" i="19"/>
  <c r="G8764" i="19"/>
  <c r="G8139" i="19"/>
  <c r="G7563" i="19"/>
  <c r="G7150" i="19"/>
  <c r="G6713" i="19"/>
  <c r="G8960" i="19"/>
  <c r="G7921" i="19"/>
  <c r="G9178" i="19"/>
  <c r="G7983" i="19"/>
  <c r="G7304" i="19"/>
  <c r="G6748" i="19"/>
  <c r="G6340" i="19"/>
  <c r="G5899" i="19"/>
  <c r="G5539" i="19"/>
  <c r="G5135" i="19"/>
  <c r="G4775" i="19"/>
  <c r="G4343" i="19"/>
  <c r="G4030" i="19"/>
  <c r="G9234" i="19"/>
  <c r="G8170" i="19"/>
  <c r="G7326" i="19"/>
  <c r="G6818" i="19"/>
  <c r="G6354" i="19"/>
  <c r="G5984" i="19"/>
  <c r="G5552" i="19"/>
  <c r="G5192" i="19"/>
  <c r="G4788" i="19"/>
  <c r="G4428" i="19"/>
  <c r="G8729" i="19"/>
  <c r="G7850" i="19"/>
  <c r="G7155" i="19"/>
  <c r="G6673" i="19"/>
  <c r="G6198" i="19"/>
  <c r="G5838" i="19"/>
  <c r="G8886" i="19"/>
  <c r="G7577" i="19"/>
  <c r="G6740" i="19"/>
  <c r="G6205" i="19"/>
  <c r="G8877" i="19"/>
  <c r="G7575" i="19"/>
  <c r="G6738" i="19"/>
  <c r="G6204" i="19"/>
  <c r="G5723" i="19"/>
  <c r="G5348" i="19"/>
  <c r="G4952" i="19"/>
  <c r="G4622" i="19"/>
  <c r="G4237" i="19"/>
  <c r="G3962" i="19"/>
  <c r="G3674" i="19"/>
  <c r="G3434" i="19"/>
  <c r="G3170" i="19"/>
  <c r="G2918" i="19"/>
  <c r="G2642" i="19"/>
  <c r="G2426" i="19"/>
  <c r="G9598" i="19"/>
  <c r="G8219" i="19"/>
  <c r="G7378" i="19"/>
  <c r="G6862" i="19"/>
  <c r="G6390" i="19"/>
  <c r="G6031" i="19"/>
  <c r="G5627" i="19"/>
  <c r="G5297" i="19"/>
  <c r="G4951" i="19"/>
  <c r="G4621" i="19"/>
  <c r="G4265" i="19"/>
  <c r="G4026" i="19"/>
  <c r="G3757" i="19"/>
  <c r="G3541" i="19"/>
  <c r="G3289" i="19"/>
  <c r="G3061" i="19"/>
  <c r="G2821" i="19"/>
  <c r="G2593" i="19"/>
  <c r="G8544" i="19"/>
  <c r="G7653" i="19"/>
  <c r="G7009" i="19"/>
  <c r="G6574" i="19"/>
  <c r="G6141" i="19"/>
  <c r="G5777" i="19"/>
  <c r="G5413" i="19"/>
  <c r="G5085" i="19"/>
  <c r="G4723" i="19"/>
  <c r="G4411" i="19"/>
  <c r="G4103" i="19"/>
  <c r="G8805" i="19"/>
  <c r="G7377" i="19"/>
  <c r="G6632" i="19"/>
  <c r="G5989" i="19"/>
  <c r="G5528" i="19"/>
  <c r="G5042" i="19"/>
  <c r="G4628" i="19"/>
  <c r="G4176" i="19"/>
  <c r="G3855" i="19"/>
  <c r="G8195" i="19"/>
  <c r="G7124" i="19"/>
  <c r="G6377" i="19"/>
  <c r="G5849" i="19"/>
  <c r="G5340" i="19"/>
  <c r="G4926" i="19"/>
  <c r="G4440" i="19"/>
  <c r="G4070" i="19"/>
  <c r="G3751" i="19"/>
  <c r="G3477" i="19"/>
  <c r="G3175" i="19"/>
  <c r="G2915" i="19"/>
  <c r="G2613" i="19"/>
  <c r="G2358" i="19"/>
  <c r="G2106" i="19"/>
  <c r="G1878" i="19"/>
  <c r="G1626" i="19"/>
  <c r="G1410" i="19"/>
  <c r="G1158" i="19"/>
  <c r="G9135" i="19"/>
  <c r="G7461" i="19"/>
  <c r="G6699" i="19"/>
  <c r="G6074" i="19"/>
  <c r="G5568" i="19"/>
  <c r="G5084" i="19"/>
  <c r="G4668" i="19"/>
  <c r="G4206" i="19"/>
  <c r="G3901" i="19"/>
  <c r="G3592" i="19"/>
  <c r="G3318" i="19"/>
  <c r="G3058" i="19"/>
  <c r="G2814" i="19"/>
  <c r="G2568" i="19"/>
  <c r="G2317" i="19"/>
  <c r="G2117" i="19"/>
  <c r="G1913" i="19"/>
  <c r="G1685" i="19"/>
  <c r="G1493" i="19"/>
  <c r="G1277" i="19"/>
  <c r="G9088" i="19"/>
  <c r="G7681" i="19"/>
  <c r="G6907" i="19"/>
  <c r="G6272" i="19"/>
  <c r="G5817" i="19"/>
  <c r="G5426" i="19"/>
  <c r="G5059" i="19"/>
  <c r="G4690" i="19"/>
  <c r="G4344" i="19"/>
  <c r="G4047" i="19"/>
  <c r="G3790" i="19"/>
  <c r="G3574" i="19"/>
  <c r="G3330" i="19"/>
  <c r="G3128" i="19"/>
  <c r="G2926" i="19"/>
  <c r="G8298" i="19"/>
  <c r="G7098" i="19"/>
  <c r="G6312" i="19"/>
  <c r="G5717" i="19"/>
  <c r="G5219" i="19"/>
  <c r="G4737" i="19"/>
  <c r="G4259" i="19"/>
  <c r="G3900" i="19"/>
  <c r="G3573" i="19"/>
  <c r="G3307" i="19"/>
  <c r="G3036" i="19"/>
  <c r="G2778" i="19"/>
  <c r="G2536" i="19"/>
  <c r="G2300" i="19"/>
  <c r="G2091" i="19"/>
  <c r="G1891" i="19"/>
  <c r="G1689" i="19"/>
  <c r="G1487" i="19"/>
  <c r="G1271" i="19"/>
  <c r="G8973" i="19"/>
  <c r="G7398" i="19"/>
  <c r="G6583" i="19"/>
  <c r="G5948" i="19"/>
  <c r="G5393" i="19"/>
  <c r="G4909" i="19"/>
  <c r="G4425" i="19"/>
  <c r="G4022" i="19"/>
  <c r="G3708" i="19"/>
  <c r="G3439" i="19"/>
  <c r="G3151" i="19"/>
  <c r="G2863" i="19"/>
  <c r="G2637" i="19"/>
  <c r="G2425" i="19"/>
  <c r="G2220" i="19"/>
  <c r="G2032" i="19"/>
  <c r="G1846" i="19"/>
  <c r="G1658" i="19"/>
  <c r="G1472" i="19"/>
  <c r="G1284" i="19"/>
  <c r="G1100" i="19"/>
  <c r="G936" i="19"/>
  <c r="G768" i="19"/>
  <c r="G612" i="19"/>
  <c r="G456" i="19"/>
  <c r="G300" i="19"/>
  <c r="G144" i="19"/>
  <c r="G9630" i="19"/>
  <c r="G7739" i="19"/>
  <c r="G6851" i="19"/>
  <c r="G6209" i="19"/>
  <c r="G5675" i="19"/>
  <c r="G5216" i="19"/>
  <c r="G4734" i="19"/>
  <c r="G4287" i="19"/>
  <c r="G3942" i="19"/>
  <c r="G3668" i="19"/>
  <c r="G3417" i="19"/>
  <c r="G3167" i="19"/>
  <c r="G2920" i="19"/>
  <c r="G2688" i="19"/>
  <c r="G2470" i="19"/>
  <c r="G2267" i="19"/>
  <c r="G2075" i="19"/>
  <c r="G1873" i="19"/>
  <c r="G1687" i="19"/>
  <c r="G1499" i="19"/>
  <c r="G1311" i="19"/>
  <c r="G1125" i="19"/>
  <c r="G959" i="19"/>
  <c r="G803" i="19"/>
  <c r="G647" i="19"/>
  <c r="G491" i="19"/>
  <c r="G335" i="19"/>
  <c r="G179" i="19"/>
  <c r="G11" i="19"/>
  <c r="G7938" i="19"/>
  <c r="G6951" i="19"/>
  <c r="G6294" i="19"/>
  <c r="G5745" i="19"/>
  <c r="G5282" i="19"/>
  <c r="G4831" i="19"/>
  <c r="G4382" i="19"/>
  <c r="G4015" i="19"/>
  <c r="G3724" i="19"/>
  <c r="G3472" i="19"/>
  <c r="G3204" i="19"/>
  <c r="G2952" i="19"/>
  <c r="G2720" i="19"/>
  <c r="G2499" i="19"/>
  <c r="G2296" i="19"/>
  <c r="G2101" i="19"/>
  <c r="G1915" i="19"/>
  <c r="G1727" i="19"/>
  <c r="G1539" i="19"/>
  <c r="G1353" i="19"/>
  <c r="G1165" i="19"/>
  <c r="G981" i="19"/>
  <c r="G825" i="19"/>
  <c r="G669" i="19"/>
  <c r="G513" i="19"/>
  <c r="G357" i="19"/>
  <c r="G7511" i="19"/>
  <c r="G6394" i="19"/>
  <c r="G5579" i="19"/>
  <c r="G4907" i="19"/>
  <c r="G4242" i="19"/>
  <c r="G3761" i="19"/>
  <c r="G3357" i="19"/>
  <c r="G2985" i="19"/>
  <c r="G2635" i="19"/>
  <c r="G2322" i="19"/>
  <c r="G2030" i="19"/>
  <c r="G1751" i="19"/>
  <c r="G1468" i="19"/>
  <c r="G1189" i="19"/>
  <c r="G954" i="19"/>
  <c r="G747" i="19"/>
  <c r="G538" i="19"/>
  <c r="G317" i="19"/>
  <c r="G129" i="19"/>
  <c r="G1592" i="19"/>
  <c r="G964" i="19"/>
  <c r="G451" i="19"/>
  <c r="G94" i="19"/>
  <c r="G2854" i="19"/>
  <c r="G706" i="19"/>
  <c r="G5658" i="19"/>
  <c r="G7598" i="19"/>
  <c r="G6459" i="19"/>
  <c r="G5578" i="19"/>
  <c r="G4894" i="19"/>
  <c r="G4239" i="19"/>
  <c r="G3759" i="19"/>
  <c r="G3387" i="19"/>
  <c r="G3009" i="19"/>
  <c r="G2661" i="19"/>
  <c r="G2340" i="19"/>
  <c r="G2052" i="19"/>
  <c r="G1768" i="19"/>
  <c r="G1490" i="19"/>
  <c r="G1188" i="19"/>
  <c r="G953" i="19"/>
  <c r="G746" i="19"/>
  <c r="G536" i="19"/>
  <c r="G330" i="19"/>
  <c r="G142" i="19"/>
  <c r="G8636" i="19"/>
  <c r="G6927" i="19"/>
  <c r="G5976" i="19"/>
  <c r="G5258" i="19"/>
  <c r="G4582" i="19"/>
  <c r="G3956" i="19"/>
  <c r="G3557" i="19"/>
  <c r="G3179" i="19"/>
  <c r="G2813" i="19"/>
  <c r="G2480" i="19"/>
  <c r="G2180" i="19"/>
  <c r="G1896" i="19"/>
  <c r="G1594" i="19"/>
  <c r="G1316" i="19"/>
  <c r="G1032" i="19"/>
  <c r="G822" i="19"/>
  <c r="G598" i="19"/>
  <c r="G390" i="19"/>
  <c r="G198" i="19"/>
  <c r="G10" i="19"/>
  <c r="G2730" i="19"/>
  <c r="G1028" i="19"/>
  <c r="G627" i="19"/>
  <c r="G6288" i="19"/>
  <c r="G8843" i="19"/>
  <c r="G7003" i="19"/>
  <c r="G6055" i="19"/>
  <c r="G5263" i="19"/>
  <c r="G4584" i="19"/>
  <c r="G4004" i="19"/>
  <c r="G3584" i="19"/>
  <c r="G3212" i="19"/>
  <c r="G2838" i="19"/>
  <c r="G2507" i="19"/>
  <c r="G2199" i="19"/>
  <c r="G1921" i="19"/>
  <c r="G1639" i="19"/>
  <c r="G1359" i="19"/>
  <c r="G856" i="19"/>
  <c r="G649" i="19"/>
  <c r="G439" i="19"/>
  <c r="G243" i="19"/>
  <c r="G55" i="19"/>
  <c r="G1222" i="19"/>
  <c r="G643" i="19"/>
  <c r="G8358" i="19"/>
  <c r="G6722" i="19"/>
  <c r="G5730" i="19"/>
  <c r="G4061" i="19"/>
  <c r="G3522" i="19"/>
  <c r="G3060" i="19"/>
  <c r="G2544" i="19"/>
  <c r="G2151" i="19"/>
  <c r="G1763" i="19"/>
  <c r="G1287" i="19"/>
  <c r="G418" i="19"/>
  <c r="G7" i="19"/>
  <c r="G7365" i="19"/>
  <c r="G6233" i="19"/>
  <c r="G5459" i="19"/>
  <c r="G4784" i="19"/>
  <c r="G4148" i="19"/>
  <c r="G3696" i="19"/>
  <c r="G3321" i="19"/>
  <c r="G2948" i="19"/>
  <c r="G2601" i="19"/>
  <c r="G2289" i="19"/>
  <c r="G2002" i="19"/>
  <c r="G1723" i="19"/>
  <c r="G1419" i="19"/>
  <c r="G1138" i="19"/>
  <c r="G917" i="19"/>
  <c r="G710" i="19"/>
  <c r="G500" i="19"/>
  <c r="G297" i="19"/>
  <c r="G111" i="19"/>
  <c r="G8360" i="19"/>
  <c r="G6821" i="19"/>
  <c r="G5890" i="19"/>
  <c r="G5196" i="19"/>
  <c r="G4474" i="19"/>
  <c r="G3913" i="19"/>
  <c r="G3523" i="19"/>
  <c r="G3119" i="19"/>
  <c r="G2753" i="19"/>
  <c r="G2430" i="19"/>
  <c r="G2086" i="19"/>
  <c r="G1808" i="19"/>
  <c r="G835" i="19"/>
  <c r="G5612" i="19"/>
  <c r="G562" i="19"/>
  <c r="G8357" i="19"/>
  <c r="G6504" i="19"/>
  <c r="G5887" i="19"/>
  <c r="G4167" i="19"/>
  <c r="G6614" i="19"/>
  <c r="G4561" i="19"/>
  <c r="G3426" i="19"/>
  <c r="G2562" i="19"/>
  <c r="G1862" i="19"/>
  <c r="G1176" i="19"/>
  <c r="G9538" i="19"/>
  <c r="G4958" i="19"/>
  <c r="G3483" i="19"/>
  <c r="G6775" i="19"/>
  <c r="G4339" i="19"/>
  <c r="G3166" i="19"/>
  <c r="G2281" i="19"/>
  <c r="G1538" i="19"/>
  <c r="G879" i="19"/>
  <c r="G365" i="19"/>
  <c r="G556" i="19"/>
  <c r="G5765" i="19"/>
  <c r="G3773" i="19"/>
  <c r="G2796" i="19"/>
  <c r="G1993" i="19"/>
  <c r="G1259" i="19"/>
  <c r="G591" i="19"/>
  <c r="G16" i="19"/>
  <c r="G5066" i="19"/>
  <c r="G3539" i="19"/>
  <c r="G2590" i="19"/>
  <c r="G8151" i="19"/>
  <c r="G4822" i="19"/>
  <c r="G3340" i="19"/>
  <c r="G2421" i="19"/>
  <c r="G1670" i="19"/>
  <c r="G976" i="19"/>
  <c r="G449" i="19"/>
  <c r="G653" i="19"/>
  <c r="G3599" i="19"/>
  <c r="G318" i="19"/>
  <c r="G278" i="19"/>
  <c r="G896" i="19"/>
  <c r="G1737" i="19"/>
  <c r="G2802" i="19"/>
  <c r="G4711" i="19"/>
  <c r="G3568" i="19"/>
  <c r="G380" i="19"/>
  <c r="G2233" i="19"/>
  <c r="G6707" i="19"/>
  <c r="G1607" i="19"/>
  <c r="G4253" i="19"/>
  <c r="G2850" i="19"/>
  <c r="G877" i="19"/>
  <c r="G4133" i="19"/>
  <c r="G558" i="19"/>
  <c r="G2563" i="19"/>
  <c r="G19" i="19"/>
  <c r="G1867" i="19"/>
  <c r="G5136" i="19"/>
  <c r="G992" i="19"/>
  <c r="G2994" i="19"/>
  <c r="G262" i="19"/>
  <c r="G1968" i="19"/>
  <c r="G7143" i="19"/>
  <c r="G9731" i="19"/>
  <c r="G9347" i="19"/>
  <c r="G9059" i="19"/>
  <c r="G9741" i="19"/>
  <c r="G9453" i="19"/>
  <c r="G9069" i="19"/>
  <c r="G9689" i="19"/>
  <c r="G9286" i="19"/>
  <c r="G8953" i="19"/>
  <c r="G9686" i="19"/>
  <c r="G9340" i="19"/>
  <c r="G9829" i="19"/>
  <c r="G9414" i="19"/>
  <c r="G8904" i="19"/>
  <c r="G8611" i="19"/>
  <c r="G8275" i="19"/>
  <c r="G7987" i="19"/>
  <c r="G9912" i="19"/>
  <c r="G9496" i="19"/>
  <c r="G9835" i="19"/>
  <c r="G9337" i="19"/>
  <c r="G8799" i="19"/>
  <c r="G9917" i="19"/>
  <c r="G9336" i="19"/>
  <c r="G8909" i="19"/>
  <c r="G8484" i="19"/>
  <c r="G9853" i="19"/>
  <c r="G9961" i="19"/>
  <c r="G9302" i="19"/>
  <c r="G8691" i="19"/>
  <c r="G8336" i="19"/>
  <c r="G7964" i="19"/>
  <c r="G7651" i="19"/>
  <c r="G7267" i="19"/>
  <c r="G9925" i="19"/>
  <c r="G9175" i="19"/>
  <c r="G8738" i="19"/>
  <c r="G8264" i="19"/>
  <c r="G7949" i="19"/>
  <c r="G7590" i="19"/>
  <c r="G9524" i="19"/>
  <c r="G8830" i="19"/>
  <c r="G8461" i="19"/>
  <c r="G9422" i="19"/>
  <c r="G8768" i="19"/>
  <c r="G8163" i="19"/>
  <c r="G7786" i="19"/>
  <c r="G7384" i="19"/>
  <c r="G7070" i="19"/>
  <c r="G6681" i="19"/>
  <c r="G6393" i="19"/>
  <c r="G9452" i="19"/>
  <c r="G8789" i="19"/>
  <c r="G8177" i="19"/>
  <c r="G7800" i="19"/>
  <c r="G7396" i="19"/>
  <c r="G7082" i="19"/>
  <c r="G9663" i="19"/>
  <c r="G8915" i="19"/>
  <c r="G8343" i="19"/>
  <c r="G7955" i="19"/>
  <c r="G7473" i="19"/>
  <c r="G9130" i="19"/>
  <c r="G8322" i="19"/>
  <c r="G7811" i="19"/>
  <c r="G9049" i="19"/>
  <c r="G8372" i="19"/>
  <c r="G7768" i="19"/>
  <c r="G7325" i="19"/>
  <c r="G6839" i="19"/>
  <c r="G6520" i="19"/>
  <c r="G6160" i="19"/>
  <c r="G5872" i="19"/>
  <c r="G5488" i="19"/>
  <c r="G5200" i="19"/>
  <c r="G4864" i="19"/>
  <c r="G4576" i="19"/>
  <c r="G9809" i="19"/>
  <c r="G8823" i="19"/>
  <c r="G8123" i="19"/>
  <c r="G7623" i="19"/>
  <c r="G7089" i="19"/>
  <c r="G6742" i="19"/>
  <c r="G6375" i="19"/>
  <c r="G6075" i="19"/>
  <c r="G5691" i="19"/>
  <c r="G5403" i="19"/>
  <c r="G5067" i="19"/>
  <c r="G4779" i="19"/>
  <c r="G4395" i="19"/>
  <c r="G9238" i="19"/>
  <c r="G8390" i="19"/>
  <c r="G7868" i="19"/>
  <c r="G7274" i="19"/>
  <c r="G6906" i="19"/>
  <c r="G9658" i="19"/>
  <c r="G8415" i="19"/>
  <c r="G9735" i="19"/>
  <c r="G8454" i="19"/>
  <c r="G7556" i="19"/>
  <c r="G7034" i="19"/>
  <c r="G6464" i="19"/>
  <c r="G6101" i="19"/>
  <c r="G5697" i="19"/>
  <c r="G5351" i="19"/>
  <c r="G4891" i="19"/>
  <c r="G4545" i="19"/>
  <c r="G4162" i="19"/>
  <c r="G3874" i="19"/>
  <c r="G8453" i="19"/>
  <c r="G7668" i="19"/>
  <c r="G7033" i="19"/>
  <c r="G6590" i="19"/>
  <c r="G6098" i="19"/>
  <c r="G5754" i="19"/>
  <c r="G5350" i="19"/>
  <c r="G5004" i="19"/>
  <c r="G4544" i="19"/>
  <c r="G9493" i="19"/>
  <c r="G8196" i="19"/>
  <c r="G7478" i="19"/>
  <c r="G6816" i="19"/>
  <c r="G6413" i="19"/>
  <c r="G5996" i="19"/>
  <c r="G5650" i="19"/>
  <c r="G7946" i="19"/>
  <c r="G7103" i="19"/>
  <c r="G6435" i="19"/>
  <c r="G5958" i="19"/>
  <c r="G7944" i="19"/>
  <c r="G7101" i="19"/>
  <c r="G6432" i="19"/>
  <c r="G5953" i="19"/>
  <c r="G5504" i="19"/>
  <c r="G5158" i="19"/>
  <c r="G4742" i="19"/>
  <c r="G4434" i="19"/>
  <c r="G4080" i="19"/>
  <c r="G3818" i="19"/>
  <c r="G3530" i="19"/>
  <c r="G3314" i="19"/>
  <c r="G3026" i="19"/>
  <c r="G2786" i="19"/>
  <c r="G2510" i="19"/>
  <c r="G2306" i="19"/>
  <c r="G8677" i="19"/>
  <c r="G7751" i="19"/>
  <c r="G7067" i="19"/>
  <c r="G6619" i="19"/>
  <c r="G6164" i="19"/>
  <c r="G5837" i="19"/>
  <c r="G5433" i="19"/>
  <c r="G5141" i="19"/>
  <c r="G4759" i="19"/>
  <c r="G4449" i="19"/>
  <c r="G4131" i="19"/>
  <c r="G3895" i="19"/>
  <c r="G3625" i="19"/>
  <c r="G3421" i="19"/>
  <c r="G3157" i="19"/>
  <c r="G2953" i="19"/>
  <c r="G2689" i="19"/>
  <c r="G9364" i="19"/>
  <c r="G7981" i="19"/>
  <c r="G7316" i="19"/>
  <c r="G6735" i="19"/>
  <c r="G6364" i="19"/>
  <c r="G5930" i="19"/>
  <c r="G5587" i="19"/>
  <c r="G5225" i="19"/>
  <c r="G4913" i="19"/>
  <c r="G4533" i="19"/>
  <c r="G4248" i="19"/>
  <c r="G9929" i="19"/>
  <c r="G8058" i="19"/>
  <c r="G6926" i="19"/>
  <c r="G6315" i="19"/>
  <c r="G5726" i="19"/>
  <c r="G5299" i="19"/>
  <c r="G4787" i="19"/>
  <c r="G4399" i="19"/>
  <c r="G3983" i="19"/>
  <c r="G9265" i="19"/>
  <c r="G7464" i="19"/>
  <c r="G6734" i="19"/>
  <c r="G6045" i="19"/>
  <c r="G5593" i="19"/>
  <c r="G5086" i="19"/>
  <c r="G4697" i="19"/>
  <c r="G4208" i="19"/>
  <c r="G3902" i="19"/>
  <c r="G3593" i="19"/>
  <c r="G3333" i="19"/>
  <c r="G3017" i="19"/>
  <c r="G2771" i="19"/>
  <c r="G2463" i="19"/>
  <c r="G2240" i="19"/>
  <c r="G1974" i="19"/>
  <c r="G1758" i="19"/>
  <c r="G1506" i="19"/>
  <c r="G1290" i="19"/>
  <c r="G1026" i="19"/>
  <c r="G8192" i="19"/>
  <c r="G6999" i="19"/>
  <c r="G6404" i="19"/>
  <c r="G5771" i="19"/>
  <c r="G5339" i="19"/>
  <c r="G4834" i="19"/>
  <c r="G4439" i="19"/>
  <c r="G4016" i="19"/>
  <c r="G3750" i="19"/>
  <c r="G3432" i="19"/>
  <c r="G3202" i="19"/>
  <c r="G2944" i="19"/>
  <c r="G2684" i="19"/>
  <c r="G2448" i="19"/>
  <c r="G2226" i="19"/>
  <c r="G1997" i="19"/>
  <c r="G1805" i="19"/>
  <c r="G1589" i="19"/>
  <c r="G1373" i="19"/>
  <c r="G1169" i="19"/>
  <c r="G8324" i="19"/>
  <c r="G7193" i="19"/>
  <c r="G6587" i="19"/>
  <c r="G6066" i="19"/>
  <c r="G5588" i="19"/>
  <c r="G5242" i="19"/>
  <c r="G4896" i="19"/>
  <c r="G4507" i="19"/>
  <c r="G4188" i="19"/>
  <c r="G3914" i="19"/>
  <c r="G3676" i="19"/>
  <c r="G3460" i="19"/>
  <c r="G3244" i="19"/>
  <c r="G3042" i="19"/>
  <c r="G9406" i="19"/>
  <c r="G7561" i="19"/>
  <c r="G6698" i="19"/>
  <c r="G6001" i="19"/>
  <c r="G5462" i="19"/>
  <c r="G4943" i="19"/>
  <c r="G4461" i="19"/>
  <c r="G4048" i="19"/>
  <c r="G3728" i="19"/>
  <c r="G3459" i="19"/>
  <c r="G3191" i="19"/>
  <c r="G2903" i="19"/>
  <c r="G2658" i="19"/>
  <c r="G2427" i="19"/>
  <c r="G2193" i="19"/>
  <c r="G1991" i="19"/>
  <c r="G1775" i="19"/>
  <c r="G1573" i="19"/>
  <c r="G1371" i="19"/>
  <c r="G1171" i="19"/>
  <c r="G8157" i="19"/>
  <c r="G6975" i="19"/>
  <c r="G6255" i="19"/>
  <c r="G5676" i="19"/>
  <c r="G5185" i="19"/>
  <c r="G4665" i="19"/>
  <c r="G4179" i="19"/>
  <c r="G3828" i="19"/>
  <c r="G3555" i="19"/>
  <c r="G3284" i="19"/>
  <c r="G3018" i="19"/>
  <c r="G2759" i="19"/>
  <c r="G2535" i="19"/>
  <c r="G2329" i="19"/>
  <c r="G2134" i="19"/>
  <c r="G1946" i="19"/>
  <c r="G1744" i="19"/>
  <c r="G1558" i="19"/>
  <c r="G1370" i="19"/>
  <c r="G1184" i="19"/>
  <c r="G1008" i="19"/>
  <c r="G852" i="19"/>
  <c r="G696" i="19"/>
  <c r="G540" i="19"/>
  <c r="G384" i="19"/>
  <c r="G228" i="19"/>
  <c r="G72" i="19"/>
  <c r="G8401" i="19"/>
  <c r="G7220" i="19"/>
  <c r="G6486" i="19"/>
  <c r="G5906" i="19"/>
  <c r="G5424" i="19"/>
  <c r="G4978" i="19"/>
  <c r="G4524" i="19"/>
  <c r="G4125" i="19"/>
  <c r="G3802" i="19"/>
  <c r="G3552" i="19"/>
  <c r="G3303" i="19"/>
  <c r="G3034" i="19"/>
  <c r="G2792" i="19"/>
  <c r="G2566" i="19"/>
  <c r="G2361" i="19"/>
  <c r="G2161" i="19"/>
  <c r="G1975" i="19"/>
  <c r="G1787" i="19"/>
  <c r="G1599" i="19"/>
  <c r="G1413" i="19"/>
  <c r="G1225" i="19"/>
  <c r="G1046" i="19"/>
  <c r="G875" i="19"/>
  <c r="G719" i="19"/>
  <c r="G563" i="19"/>
  <c r="G407" i="19"/>
  <c r="G251" i="19"/>
  <c r="G95" i="19"/>
  <c r="G8788" i="19"/>
  <c r="G7393" i="19"/>
  <c r="G6629" i="19"/>
  <c r="G6030" i="19"/>
  <c r="G5521" i="19"/>
  <c r="G5039" i="19"/>
  <c r="G4592" i="19"/>
  <c r="G4172" i="19"/>
  <c r="G3846" i="19"/>
  <c r="G3586" i="19"/>
  <c r="G3339" i="19"/>
  <c r="G3090" i="19"/>
  <c r="G2840" i="19"/>
  <c r="G2616" i="19"/>
  <c r="G2405" i="19"/>
  <c r="G2203" i="19"/>
  <c r="G2001" i="19"/>
  <c r="G1813" i="19"/>
  <c r="G1627" i="19"/>
  <c r="G1439" i="19"/>
  <c r="G1251" i="19"/>
  <c r="G1070" i="19"/>
  <c r="G909" i="19"/>
  <c r="G753" i="19"/>
  <c r="G597" i="19"/>
  <c r="G441" i="19"/>
  <c r="G8666" i="19"/>
  <c r="G6847" i="19"/>
  <c r="G5925" i="19"/>
  <c r="G5215" i="19"/>
  <c r="G4543" i="19"/>
  <c r="G3967" i="19"/>
  <c r="G3561" i="19"/>
  <c r="G3185" i="19"/>
  <c r="G2818" i="19"/>
  <c r="G2484" i="19"/>
  <c r="G2183" i="19"/>
  <c r="G1900" i="19"/>
  <c r="G1598" i="19"/>
  <c r="G1319" i="19"/>
  <c r="G1054" i="19"/>
  <c r="G843" i="19"/>
  <c r="G634" i="19"/>
  <c r="G426" i="19"/>
  <c r="G231" i="19"/>
  <c r="G43" i="19"/>
  <c r="G1288" i="19"/>
  <c r="G709" i="19"/>
  <c r="G282" i="19"/>
  <c r="G5095" i="19"/>
  <c r="G1263" i="19"/>
  <c r="G79" i="19"/>
  <c r="G8646" i="19"/>
  <c r="G6929" i="19"/>
  <c r="G5978" i="19"/>
  <c r="G5266" i="19"/>
  <c r="G4591" i="19"/>
  <c r="G4005" i="19"/>
  <c r="G3585" i="19"/>
  <c r="G3213" i="19"/>
  <c r="G2817" i="19"/>
  <c r="G2482" i="19"/>
  <c r="G2182" i="19"/>
  <c r="G1898" i="19"/>
  <c r="G1620" i="19"/>
  <c r="G1336" i="19"/>
  <c r="G1069" i="19"/>
  <c r="G857" i="19"/>
  <c r="G650" i="19"/>
  <c r="G440" i="19"/>
  <c r="G244" i="19"/>
  <c r="G42" i="19"/>
  <c r="G7485" i="19"/>
  <c r="G6379" i="19"/>
  <c r="G5576" i="19"/>
  <c r="G4892" i="19"/>
  <c r="G4235" i="19"/>
  <c r="G3755" i="19"/>
  <c r="G3383" i="19"/>
  <c r="G3007" i="19"/>
  <c r="G2659" i="19"/>
  <c r="G2338" i="19"/>
  <c r="G2026" i="19"/>
  <c r="G1748" i="19"/>
  <c r="G1444" i="19"/>
  <c r="G1142" i="19"/>
  <c r="G918" i="19"/>
  <c r="G711" i="19"/>
  <c r="G502" i="19"/>
  <c r="G298" i="19"/>
  <c r="G112" i="19"/>
  <c r="G9031" i="19"/>
  <c r="G1567" i="19"/>
  <c r="G834" i="19"/>
  <c r="G21" i="19"/>
  <c r="G5506" i="19"/>
  <c r="G7597" i="19"/>
  <c r="G6458" i="19"/>
  <c r="G5626" i="19"/>
  <c r="G4955" i="19"/>
  <c r="G4274" i="19"/>
  <c r="G3788" i="19"/>
  <c r="G3412" i="19"/>
  <c r="G3040" i="19"/>
  <c r="G2660" i="19"/>
  <c r="G2339" i="19"/>
  <c r="G2051" i="19"/>
  <c r="G1767" i="19"/>
  <c r="G1489" i="19"/>
  <c r="G1207" i="19"/>
  <c r="G967" i="19"/>
  <c r="G760" i="19"/>
  <c r="G553" i="19"/>
  <c r="G343" i="19"/>
  <c r="G157" i="19"/>
  <c r="G1548" i="19"/>
  <c r="G901" i="19"/>
  <c r="G224" i="19"/>
  <c r="G7360" i="19"/>
  <c r="G6227" i="19"/>
  <c r="G5301" i="19"/>
  <c r="G4518" i="19"/>
  <c r="G3812" i="19"/>
  <c r="G3315" i="19"/>
  <c r="G2804" i="19"/>
  <c r="G2355" i="19"/>
  <c r="G1955" i="19"/>
  <c r="G1523" i="19"/>
  <c r="G1011" i="19"/>
  <c r="G181" i="19"/>
  <c r="G8218" i="19"/>
  <c r="G6744" i="19"/>
  <c r="G5845" i="19"/>
  <c r="G5145" i="19"/>
  <c r="G4475" i="19"/>
  <c r="G3919" i="19"/>
  <c r="G3524" i="19"/>
  <c r="G3120" i="19"/>
  <c r="G2755" i="19"/>
  <c r="G2431" i="19"/>
  <c r="G2132" i="19"/>
  <c r="G1851" i="19"/>
  <c r="G1570" i="19"/>
  <c r="G1291" i="19"/>
  <c r="G1030" i="19"/>
  <c r="G821" i="19"/>
  <c r="G614" i="19"/>
  <c r="G404" i="19"/>
  <c r="G197" i="19"/>
  <c r="G9" i="19"/>
  <c r="G7361" i="19"/>
  <c r="G6293" i="19"/>
  <c r="G5510" i="19"/>
  <c r="G4824" i="19"/>
  <c r="G4187" i="19"/>
  <c r="G3719" i="19"/>
  <c r="G3317" i="19"/>
  <c r="G2947" i="19"/>
  <c r="G2597" i="19"/>
  <c r="G2216" i="19"/>
  <c r="G1936" i="19"/>
  <c r="G1568" i="19"/>
  <c r="G340" i="19"/>
  <c r="G1653" i="19"/>
  <c r="G309" i="19"/>
  <c r="G7444" i="19"/>
  <c r="G7540" i="19"/>
  <c r="G5025" i="19"/>
  <c r="G9992" i="19"/>
  <c r="G5482" i="19"/>
  <c r="G3841" i="19"/>
  <c r="G2936" i="19"/>
  <c r="G2168" i="19"/>
  <c r="G1495" i="19"/>
  <c r="G892" i="19"/>
  <c r="G6268" i="19"/>
  <c r="G4096" i="19"/>
  <c r="G3023" i="19"/>
  <c r="G5389" i="19"/>
  <c r="G3691" i="19"/>
  <c r="G2727" i="19"/>
  <c r="G1883" i="19"/>
  <c r="G1149" i="19"/>
  <c r="G592" i="19"/>
  <c r="G118" i="19"/>
  <c r="G7427" i="19"/>
  <c r="G4613" i="19"/>
  <c r="G3311" i="19"/>
  <c r="G2400" i="19"/>
  <c r="G1651" i="19"/>
  <c r="G958" i="19"/>
  <c r="G291" i="19"/>
  <c r="G6197" i="19"/>
  <c r="G4060" i="19"/>
  <c r="G2999" i="19"/>
  <c r="G2150" i="19"/>
  <c r="G5879" i="19"/>
  <c r="G3907" i="19"/>
  <c r="G2904" i="19"/>
  <c r="G2078" i="19"/>
  <c r="G1330" i="19"/>
  <c r="G722" i="19"/>
  <c r="G175" i="19"/>
  <c r="G1693" i="19"/>
  <c r="G30" i="19"/>
  <c r="G31" i="19"/>
  <c r="G574" i="19"/>
  <c r="G1286" i="19"/>
  <c r="G2230" i="19"/>
  <c r="G3564" i="19"/>
  <c r="G6634" i="19"/>
  <c r="G3681" i="19"/>
  <c r="G481" i="19"/>
  <c r="G2324" i="19"/>
  <c r="G9624" i="19"/>
  <c r="G1690" i="19"/>
  <c r="G4722" i="19"/>
  <c r="G3106" i="19"/>
  <c r="G1041" i="19"/>
  <c r="G4296" i="19"/>
  <c r="G655" i="19"/>
  <c r="G2667" i="19"/>
  <c r="G146" i="19"/>
  <c r="G1951" i="19"/>
  <c r="G5706" i="19"/>
  <c r="G1061" i="19"/>
  <c r="G3403" i="19"/>
  <c r="G703" i="19"/>
  <c r="G2126" i="19"/>
  <c r="G7814" i="19"/>
  <c r="G9695" i="19"/>
  <c r="G9335" i="19"/>
  <c r="G9035" i="19"/>
  <c r="G9729" i="19"/>
  <c r="G9417" i="19"/>
  <c r="G9057" i="19"/>
  <c r="G9661" i="19"/>
  <c r="G9271" i="19"/>
  <c r="G8917" i="19"/>
  <c r="G9672" i="19"/>
  <c r="G9312" i="19"/>
  <c r="G9811" i="19"/>
  <c r="G9363" i="19"/>
  <c r="G8891" i="19"/>
  <c r="G8587" i="19"/>
  <c r="G8263" i="19"/>
  <c r="G7951" i="19"/>
  <c r="G9894" i="19"/>
  <c r="G9462" i="19"/>
  <c r="G9814" i="19"/>
  <c r="G9276" i="19"/>
  <c r="G8786" i="19"/>
  <c r="G9874" i="19"/>
  <c r="G9316" i="19"/>
  <c r="G8866" i="19"/>
  <c r="G8471" i="19"/>
  <c r="G9810" i="19"/>
  <c r="G9926" i="19"/>
  <c r="G9226" i="19"/>
  <c r="G8676" i="19"/>
  <c r="G8307" i="19"/>
  <c r="G7950" i="19"/>
  <c r="G7615" i="19"/>
  <c r="G7255" i="19"/>
  <c r="G9864" i="19"/>
  <c r="G9148" i="19"/>
  <c r="G8690" i="19"/>
  <c r="G8250" i="19"/>
  <c r="G7923" i="19"/>
  <c r="G7578" i="19"/>
  <c r="G9444" i="19"/>
  <c r="G8814" i="19"/>
  <c r="G8433" i="19"/>
  <c r="G9388" i="19"/>
  <c r="G8704" i="19"/>
  <c r="G8148" i="19"/>
  <c r="G7755" i="19"/>
  <c r="G7371" i="19"/>
  <c r="G7031" i="19"/>
  <c r="G6669" i="19"/>
  <c r="G6369" i="19"/>
  <c r="G9416" i="19"/>
  <c r="G8726" i="19"/>
  <c r="G8162" i="19"/>
  <c r="G7769" i="19"/>
  <c r="G7383" i="19"/>
  <c r="G7043" i="19"/>
  <c r="G9629" i="19"/>
  <c r="G8872" i="19"/>
  <c r="G8325" i="19"/>
  <c r="G7907" i="19"/>
  <c r="G7460" i="19"/>
  <c r="G9050" i="19"/>
  <c r="G8297" i="19"/>
  <c r="G7748" i="19"/>
  <c r="G9013" i="19"/>
  <c r="G8319" i="19"/>
  <c r="G7746" i="19"/>
  <c r="G7277" i="19"/>
  <c r="G6823" i="19"/>
  <c r="G6494" i="19"/>
  <c r="G6148" i="19"/>
  <c r="G5836" i="19"/>
  <c r="G5476" i="19"/>
  <c r="G5176" i="19"/>
  <c r="G4852" i="19"/>
  <c r="G4540" i="19"/>
  <c r="G9763" i="19"/>
  <c r="G8774" i="19"/>
  <c r="G8102" i="19"/>
  <c r="G7565" i="19"/>
  <c r="G7073" i="19"/>
  <c r="G6715" i="19"/>
  <c r="G6362" i="19"/>
  <c r="G6039" i="19"/>
  <c r="G5679" i="19"/>
  <c r="G5379" i="19"/>
  <c r="G5055" i="19"/>
  <c r="G4743" i="19"/>
  <c r="G4383" i="19"/>
  <c r="G9154" i="19"/>
  <c r="G8365" i="19"/>
  <c r="G7804" i="19"/>
  <c r="G7259" i="19"/>
  <c r="G6878" i="19"/>
  <c r="G9592" i="19"/>
  <c r="G8303" i="19"/>
  <c r="G9653" i="19"/>
  <c r="G8380" i="19"/>
  <c r="G7534" i="19"/>
  <c r="G6974" i="19"/>
  <c r="G6449" i="19"/>
  <c r="G6071" i="19"/>
  <c r="G5683" i="19"/>
  <c r="G5309" i="19"/>
  <c r="G4877" i="19"/>
  <c r="G4517" i="19"/>
  <c r="G4150" i="19"/>
  <c r="G3838" i="19"/>
  <c r="G8412" i="19"/>
  <c r="G7610" i="19"/>
  <c r="G7012" i="19"/>
  <c r="G6542" i="19"/>
  <c r="G6084" i="19"/>
  <c r="G5724" i="19"/>
  <c r="G5336" i="19"/>
  <c r="G4962" i="19"/>
  <c r="G4530" i="19"/>
  <c r="G9362" i="19"/>
  <c r="G8164" i="19"/>
  <c r="G7406" i="19"/>
  <c r="G6797" i="19"/>
  <c r="G3680" i="19"/>
  <c r="G1820" i="19"/>
  <c r="G416" i="19"/>
  <c r="G2767" i="19"/>
  <c r="G397" i="19"/>
  <c r="G894" i="19"/>
  <c r="G2185" i="19"/>
  <c r="G3801" i="19"/>
  <c r="G7522" i="19"/>
  <c r="G3310" i="19"/>
  <c r="G6708" i="19"/>
  <c r="G832" i="19"/>
  <c r="G1882" i="19"/>
  <c r="G3461" i="19"/>
  <c r="G7055" i="19"/>
  <c r="G322" i="19"/>
  <c r="G1368" i="19"/>
  <c r="G2799" i="19"/>
  <c r="G5075" i="19"/>
  <c r="G3334" i="19"/>
  <c r="G6776" i="19"/>
  <c r="G1436" i="19"/>
  <c r="G2495" i="19"/>
  <c r="G4215" i="19"/>
  <c r="G3740" i="19"/>
  <c r="G6970" i="19"/>
  <c r="G8024" i="19"/>
  <c r="G2241" i="19"/>
  <c r="G1462" i="19"/>
  <c r="G2066" i="19"/>
  <c r="G2679" i="19"/>
  <c r="G3351" i="19"/>
  <c r="G4110" i="19"/>
  <c r="G5030" i="19"/>
  <c r="G6424" i="19"/>
  <c r="G9682" i="19"/>
  <c r="G283" i="19"/>
  <c r="G662" i="19"/>
  <c r="G1049" i="19"/>
  <c r="G1526" i="19"/>
  <c r="G1939" i="19"/>
  <c r="G2479" i="19"/>
  <c r="G3091" i="19"/>
  <c r="G3667" i="19"/>
  <c r="G4629" i="19"/>
  <c r="G5905" i="19"/>
  <c r="G7904" i="19"/>
  <c r="G325" i="19"/>
  <c r="G1609" i="19"/>
  <c r="G2309" i="19"/>
  <c r="G3027" i="19"/>
  <c r="G3912" i="19"/>
  <c r="G5346" i="19"/>
  <c r="G7172" i="19"/>
  <c r="G547" i="19"/>
  <c r="G1704" i="19"/>
  <c r="G329" i="19"/>
  <c r="G631" i="19"/>
  <c r="G1016" i="19"/>
  <c r="G1509" i="19"/>
  <c r="G2007" i="19"/>
  <c r="G2459" i="19"/>
  <c r="G3096" i="19"/>
  <c r="G3756" i="19"/>
  <c r="G4541" i="19"/>
  <c r="G5805" i="19"/>
  <c r="G7778" i="19"/>
  <c r="G7061" i="19"/>
  <c r="G963" i="19"/>
  <c r="G724" i="19"/>
  <c r="G284" i="19"/>
  <c r="G582" i="19"/>
  <c r="G966" i="19"/>
  <c r="G1464" i="19"/>
  <c r="G1982" i="19"/>
  <c r="G2432" i="19"/>
  <c r="G3065" i="19"/>
  <c r="G3729" i="19"/>
  <c r="G4476" i="19"/>
  <c r="G5733" i="19"/>
  <c r="G7596" i="19"/>
  <c r="G200" i="19"/>
  <c r="G506" i="19"/>
  <c r="G890" i="19"/>
  <c r="G1318" i="19"/>
  <c r="G1750" i="19"/>
  <c r="G2273" i="19"/>
  <c r="G2867" i="19"/>
  <c r="G3501" i="19"/>
  <c r="G4163" i="19"/>
  <c r="G5372" i="19"/>
  <c r="G6829" i="19"/>
  <c r="G5550" i="19"/>
  <c r="G2127" i="19"/>
  <c r="G296" i="19"/>
  <c r="G1178" i="19"/>
  <c r="G101" i="19"/>
  <c r="G459" i="19"/>
  <c r="G826" i="19"/>
  <c r="G1166" i="19"/>
  <c r="G1684" i="19"/>
  <c r="G2204" i="19"/>
  <c r="G2766" i="19"/>
  <c r="G3299" i="19"/>
  <c r="G4044" i="19"/>
  <c r="G5167" i="19"/>
  <c r="G6326" i="19"/>
  <c r="G9476" i="19"/>
  <c r="G609" i="19"/>
  <c r="G885" i="19"/>
  <c r="G1123" i="19"/>
  <c r="G1467" i="19"/>
  <c r="G1799" i="19"/>
  <c r="G2087" i="19"/>
  <c r="G2453" i="19"/>
  <c r="G2860" i="19"/>
  <c r="G3298" i="19"/>
  <c r="G3666" i="19"/>
  <c r="G4225" i="19"/>
  <c r="G5006" i="19"/>
  <c r="G5707" i="19"/>
  <c r="G6785" i="19"/>
  <c r="G8933" i="19"/>
  <c r="G227" i="19"/>
  <c r="G467" i="19"/>
  <c r="G755" i="19"/>
  <c r="G1020" i="19"/>
  <c r="G1297" i="19"/>
  <c r="G1643" i="19"/>
  <c r="G1989" i="19"/>
  <c r="G2328" i="19"/>
  <c r="G2652" i="19"/>
  <c r="G3092" i="19"/>
  <c r="G3533" i="19"/>
  <c r="G3920" i="19"/>
  <c r="G4632" i="19"/>
  <c r="G5460" i="19"/>
  <c r="G6395" i="19"/>
  <c r="G7547" i="19"/>
  <c r="G96" i="19"/>
  <c r="G372" i="19"/>
  <c r="G600" i="19"/>
  <c r="G888" i="19"/>
  <c r="G1198" i="19"/>
  <c r="G1528" i="19"/>
  <c r="G1816" i="19"/>
  <c r="G2162" i="19"/>
  <c r="G2519" i="19"/>
  <c r="G2847" i="19"/>
  <c r="G3342" i="19"/>
  <c r="G3849" i="19"/>
  <c r="G4565" i="19"/>
  <c r="G5325" i="19"/>
  <c r="G6356" i="19"/>
  <c r="G8070" i="19"/>
  <c r="G1243" i="19"/>
  <c r="G1617" i="19"/>
  <c r="G2005" i="19"/>
  <c r="G2379" i="19"/>
  <c r="G2744" i="19"/>
  <c r="G3227" i="19"/>
  <c r="G3711" i="19"/>
  <c r="G4232" i="19"/>
  <c r="G5118" i="19"/>
  <c r="G6086" i="19"/>
  <c r="G7349" i="19"/>
  <c r="G2898" i="19"/>
  <c r="G3272" i="19"/>
  <c r="G3660" i="19"/>
  <c r="G4031" i="19"/>
  <c r="G4620" i="19"/>
  <c r="G5267" i="19"/>
  <c r="G5923" i="19"/>
  <c r="G6724" i="19"/>
  <c r="G8588" i="19"/>
  <c r="G1361" i="19"/>
  <c r="G1673" i="19"/>
  <c r="G2069" i="19"/>
  <c r="G2461" i="19"/>
  <c r="G2886" i="19"/>
  <c r="G3260" i="19"/>
  <c r="G3778" i="19"/>
  <c r="G4392" i="19"/>
  <c r="G5061" i="19"/>
  <c r="G5928" i="19"/>
  <c r="G7035" i="19"/>
  <c r="G9906" i="19"/>
  <c r="G1338" i="19"/>
  <c r="G1794" i="19"/>
  <c r="G2202" i="19"/>
  <c r="G2599" i="19"/>
  <c r="G3117" i="19"/>
  <c r="G3607" i="19"/>
  <c r="G4175" i="19"/>
  <c r="G4786" i="19"/>
  <c r="G5645" i="19"/>
  <c r="G6665" i="19"/>
  <c r="G8117" i="19"/>
  <c r="G4107" i="19"/>
  <c r="G4813" i="19"/>
  <c r="G5648" i="19"/>
  <c r="G6471" i="19"/>
  <c r="G8197" i="19"/>
  <c r="G4220" i="19"/>
  <c r="G4705" i="19"/>
  <c r="G5327" i="19"/>
  <c r="G5949" i="19"/>
  <c r="G6686" i="19"/>
  <c r="G7430" i="19"/>
  <c r="G9577" i="19"/>
  <c r="G2917" i="19"/>
  <c r="G3277" i="19"/>
  <c r="G3709" i="19"/>
  <c r="G4144" i="19"/>
  <c r="G4725" i="19"/>
  <c r="G5209" i="19"/>
  <c r="G5876" i="19"/>
  <c r="G6578" i="19"/>
  <c r="G7320" i="19"/>
  <c r="G9090" i="19"/>
  <c r="G2522" i="19"/>
  <c r="G2978" i="19"/>
  <c r="G3362" i="19"/>
  <c r="G3844" i="19"/>
  <c r="G4398" i="19"/>
  <c r="G4934" i="19"/>
  <c r="G5647" i="19"/>
  <c r="G6452" i="19"/>
  <c r="G7842" i="19"/>
  <c r="G6033" i="19"/>
  <c r="G7245" i="19"/>
  <c r="G5606" i="19"/>
  <c r="G6182" i="19"/>
  <c r="G7049" i="19"/>
  <c r="G8648" i="19"/>
  <c r="G4716" i="19"/>
  <c r="G5522" i="19"/>
  <c r="G6276" i="19"/>
  <c r="G7284" i="19"/>
  <c r="G8958" i="19"/>
  <c r="G4315" i="19"/>
  <c r="G5063" i="19"/>
  <c r="G5869" i="19"/>
  <c r="G6660" i="19"/>
  <c r="G7920" i="19"/>
  <c r="G7763" i="19"/>
  <c r="G6687" i="19"/>
  <c r="G7469" i="19"/>
  <c r="G8712" i="19"/>
  <c r="G4539" i="19"/>
  <c r="G5211" i="19"/>
  <c r="G5835" i="19"/>
  <c r="G6532" i="19"/>
  <c r="G7276" i="19"/>
  <c r="G8396" i="19"/>
  <c r="G4336" i="19"/>
  <c r="G5008" i="19"/>
  <c r="G5632" i="19"/>
  <c r="G6311" i="19"/>
  <c r="G7011" i="19"/>
  <c r="G8019" i="19"/>
  <c r="G9572" i="19"/>
  <c r="G8634" i="19"/>
  <c r="G7643" i="19"/>
  <c r="G8573" i="19"/>
  <c r="G6836" i="19"/>
  <c r="G7559" i="19"/>
  <c r="G8385" i="19"/>
  <c r="G9903" i="19"/>
  <c r="G6825" i="19"/>
  <c r="G7546" i="19"/>
  <c r="G8368" i="19"/>
  <c r="G9860" i="19"/>
  <c r="G9037" i="19"/>
  <c r="G7740" i="19"/>
  <c r="G8435" i="19"/>
  <c r="G9472" i="19"/>
  <c r="G7411" i="19"/>
  <c r="G8121" i="19"/>
  <c r="G8885" i="19"/>
  <c r="G9521" i="19"/>
  <c r="G8641" i="19"/>
  <c r="G9583" i="19"/>
  <c r="G8967" i="19"/>
  <c r="G9220" i="19"/>
  <c r="G7747" i="19"/>
  <c r="G8419" i="19"/>
  <c r="G9072" i="19"/>
  <c r="G9110" i="19"/>
  <c r="G9858" i="19"/>
  <c r="G9459" i="19"/>
  <c r="G9213" i="19"/>
  <c r="G9885" i="19"/>
  <c r="G9491" i="19"/>
  <c r="G3658" i="19"/>
  <c r="G218" i="19"/>
  <c r="G353" i="19"/>
  <c r="G991" i="19"/>
  <c r="G1563" i="19"/>
  <c r="G2447" i="19"/>
  <c r="G928" i="19"/>
  <c r="G799" i="19"/>
  <c r="G1303" i="19"/>
  <c r="G2231" i="19"/>
  <c r="G3427" i="19"/>
  <c r="G1435" i="19"/>
  <c r="G367" i="19"/>
  <c r="G135" i="19"/>
  <c r="G349" i="19"/>
  <c r="G940" i="19"/>
  <c r="G2238" i="19"/>
  <c r="G4010" i="19"/>
  <c r="G2039" i="19"/>
  <c r="G3392" i="19"/>
  <c r="G7050" i="19"/>
  <c r="G914" i="19"/>
  <c r="G1930" i="19"/>
  <c r="G3540" i="19"/>
  <c r="G7862" i="19"/>
  <c r="G512" i="19"/>
  <c r="G1431" i="19"/>
  <c r="G2874" i="19"/>
  <c r="G5232" i="19"/>
  <c r="G3396" i="19"/>
  <c r="G7133" i="19"/>
  <c r="G1540" i="19"/>
  <c r="G2803" i="19"/>
  <c r="G4306" i="19"/>
  <c r="G3811" i="19"/>
  <c r="G7248" i="19"/>
  <c r="G8213" i="19"/>
  <c r="G2574" i="19"/>
  <c r="G1610" i="19"/>
  <c r="G2172" i="19"/>
  <c r="G2703" i="19"/>
  <c r="G3375" i="19"/>
  <c r="G4146" i="19"/>
  <c r="G5096" i="19"/>
  <c r="G6508" i="19"/>
  <c r="G25" i="19"/>
  <c r="G356" i="19"/>
  <c r="G677" i="19"/>
  <c r="G1066" i="19"/>
  <c r="G1549" i="19"/>
  <c r="G1981" i="19"/>
  <c r="G2525" i="19"/>
  <c r="G3178" i="19"/>
  <c r="G3814" i="19"/>
  <c r="G4681" i="19"/>
  <c r="G5972" i="19"/>
  <c r="G8063" i="19"/>
  <c r="G354" i="19"/>
  <c r="G1677" i="19"/>
  <c r="G2381" i="19"/>
  <c r="G3234" i="19"/>
  <c r="G3986" i="19"/>
  <c r="G5401" i="19"/>
  <c r="G7256" i="19"/>
  <c r="G595" i="19"/>
  <c r="G13" i="19"/>
  <c r="G361" i="19"/>
  <c r="G727" i="19"/>
  <c r="G1035" i="19"/>
  <c r="G1533" i="19"/>
  <c r="G2027" i="19"/>
  <c r="G2481" i="19"/>
  <c r="G3124" i="19"/>
  <c r="G3816" i="19"/>
  <c r="G4849" i="19"/>
  <c r="G5856" i="19"/>
  <c r="G7929" i="19"/>
  <c r="G9314" i="19"/>
  <c r="G978" i="19"/>
  <c r="G1101" i="19"/>
  <c r="G314" i="19"/>
  <c r="G678" i="19"/>
  <c r="G982" i="19"/>
  <c r="G1488" i="19"/>
  <c r="G2006" i="19"/>
  <c r="G2458" i="19"/>
  <c r="G3095" i="19"/>
  <c r="G3787" i="19"/>
  <c r="G4790" i="19"/>
  <c r="G5851" i="19"/>
  <c r="G7925" i="19"/>
  <c r="G214" i="19"/>
  <c r="G521" i="19"/>
  <c r="G905" i="19"/>
  <c r="G1360" i="19"/>
  <c r="G1856" i="19"/>
  <c r="G2295" i="19"/>
  <c r="G2895" i="19"/>
  <c r="G3559" i="19"/>
  <c r="G4199" i="19"/>
  <c r="G5419" i="19"/>
  <c r="G7006" i="19"/>
  <c r="G6890" i="19"/>
  <c r="G2403" i="19"/>
  <c r="G326" i="19"/>
  <c r="G1246" i="19"/>
  <c r="G115" i="19"/>
  <c r="G474" i="19"/>
  <c r="G858" i="19"/>
  <c r="G1275" i="19"/>
  <c r="G1707" i="19"/>
  <c r="G2228" i="19"/>
  <c r="G2791" i="19"/>
  <c r="G3331" i="19"/>
  <c r="G4084" i="19"/>
  <c r="G5268" i="19"/>
  <c r="G6683" i="19"/>
  <c r="G9841" i="19"/>
  <c r="G621" i="19"/>
  <c r="G897" i="19"/>
  <c r="G1137" i="19"/>
  <c r="G1483" i="19"/>
  <c r="G1827" i="19"/>
  <c r="G2159" i="19"/>
  <c r="G2468" i="19"/>
  <c r="G2877" i="19"/>
  <c r="G3320" i="19"/>
  <c r="G3702" i="19"/>
  <c r="G4281" i="19"/>
  <c r="G5109" i="19"/>
  <c r="G5901" i="19"/>
  <c r="G6843" i="19"/>
  <c r="G9134" i="19"/>
  <c r="G239" i="19"/>
  <c r="G479" i="19"/>
  <c r="G767" i="19"/>
  <c r="G1059" i="19"/>
  <c r="G1383" i="19"/>
  <c r="G1657" i="19"/>
  <c r="G2003" i="19"/>
  <c r="G2346" i="19"/>
  <c r="G2672" i="19"/>
  <c r="G3111" i="19"/>
  <c r="G3571" i="19"/>
  <c r="G4073" i="19"/>
  <c r="G4664" i="19"/>
  <c r="G5492" i="19"/>
  <c r="G6444" i="19"/>
  <c r="G7649" i="19"/>
  <c r="G108" i="19"/>
  <c r="G396" i="19"/>
  <c r="G672" i="19"/>
  <c r="G900" i="19"/>
  <c r="G1212" i="19"/>
  <c r="G1544" i="19"/>
  <c r="G1832" i="19"/>
  <c r="G2176" i="19"/>
  <c r="G2551" i="19"/>
  <c r="G2979" i="19"/>
  <c r="G3364" i="19"/>
  <c r="G3876" i="19"/>
  <c r="G4633" i="19"/>
  <c r="G5357" i="19"/>
  <c r="G6445" i="19"/>
  <c r="G8284" i="19"/>
  <c r="G1343" i="19"/>
  <c r="G1659" i="19"/>
  <c r="G2035" i="19"/>
  <c r="G2394" i="19"/>
  <c r="G2760" i="19"/>
  <c r="G3249" i="19"/>
  <c r="G3747" i="19"/>
  <c r="G4391" i="19"/>
  <c r="G5153" i="19"/>
  <c r="G6131" i="19"/>
  <c r="G7484" i="19"/>
  <c r="G2912" i="19"/>
  <c r="G3286" i="19"/>
  <c r="G3690" i="19"/>
  <c r="G4135" i="19"/>
  <c r="G4643" i="19"/>
  <c r="G5288" i="19"/>
  <c r="G5981" i="19"/>
  <c r="G6831" i="19"/>
  <c r="G8674" i="19"/>
  <c r="G1385" i="19"/>
  <c r="G1769" i="19"/>
  <c r="G2081" i="19"/>
  <c r="G2475" i="19"/>
  <c r="G2914" i="19"/>
  <c r="G3288" i="19"/>
  <c r="G3792" i="19"/>
  <c r="G4462" i="19"/>
  <c r="G5269" i="19"/>
  <c r="G5986" i="19"/>
  <c r="G7204" i="19"/>
  <c r="G1014" i="19"/>
  <c r="G1362" i="19"/>
  <c r="G1806" i="19"/>
  <c r="G2253" i="19"/>
  <c r="G2729" i="19"/>
  <c r="G3147" i="19"/>
  <c r="G3665" i="19"/>
  <c r="G4191" i="19"/>
  <c r="G4810" i="19"/>
  <c r="G5672" i="19"/>
  <c r="G6772" i="19"/>
  <c r="G8793" i="19"/>
  <c r="G4140" i="19"/>
  <c r="G4927" i="19"/>
  <c r="G5673" i="19"/>
  <c r="G6503" i="19"/>
  <c r="G8276" i="19"/>
  <c r="G4262" i="19"/>
  <c r="G4859" i="19"/>
  <c r="G5361" i="19"/>
  <c r="G6025" i="19"/>
  <c r="G6710" i="19"/>
  <c r="G7465" i="19"/>
  <c r="G9796" i="19"/>
  <c r="G2965" i="19"/>
  <c r="G3385" i="19"/>
  <c r="G3733" i="19"/>
  <c r="G4196" i="19"/>
  <c r="G4741" i="19"/>
  <c r="G5227" i="19"/>
  <c r="G5893" i="19"/>
  <c r="G6646" i="19"/>
  <c r="G7619" i="19"/>
  <c r="G9394" i="19"/>
  <c r="G2582" i="19"/>
  <c r="G3002" i="19"/>
  <c r="G3374" i="19"/>
  <c r="G3870" i="19"/>
  <c r="G4450" i="19"/>
  <c r="G5108" i="19"/>
  <c r="G5686" i="19"/>
  <c r="G6601" i="19"/>
  <c r="G7901" i="19"/>
  <c r="G6108" i="19"/>
  <c r="G7298" i="19"/>
  <c r="G5664" i="19"/>
  <c r="G6367" i="19"/>
  <c r="G7131" i="19"/>
  <c r="G8686" i="19"/>
  <c r="G4774" i="19"/>
  <c r="G5538" i="19"/>
  <c r="G6339" i="19"/>
  <c r="G7302" i="19"/>
  <c r="G9174" i="19"/>
  <c r="G4329" i="19"/>
  <c r="G5121" i="19"/>
  <c r="G5885" i="19"/>
  <c r="G6732" i="19"/>
  <c r="G7948" i="19"/>
  <c r="G7889" i="19"/>
  <c r="G6700" i="19"/>
  <c r="G7544" i="19"/>
  <c r="G8737" i="19"/>
  <c r="G4587" i="19"/>
  <c r="G5223" i="19"/>
  <c r="G5883" i="19"/>
  <c r="G6545" i="19"/>
  <c r="G7340" i="19"/>
  <c r="G8416" i="19"/>
  <c r="G4384" i="19"/>
  <c r="G5020" i="19"/>
  <c r="G5680" i="19"/>
  <c r="G6324" i="19"/>
  <c r="G7074" i="19"/>
  <c r="G8040" i="19"/>
  <c r="G9764" i="19"/>
  <c r="G8665" i="19"/>
  <c r="G7704" i="19"/>
  <c r="G8595" i="19"/>
  <c r="G6884" i="19"/>
  <c r="G7573" i="19"/>
  <c r="G8460" i="19"/>
  <c r="G9941" i="19"/>
  <c r="G6873" i="19"/>
  <c r="G7560" i="19"/>
  <c r="G8442" i="19"/>
  <c r="G9904" i="19"/>
  <c r="G9123" i="19"/>
  <c r="G7753" i="19"/>
  <c r="G8492" i="19"/>
  <c r="G9497" i="19"/>
  <c r="G7459" i="19"/>
  <c r="G8134" i="19"/>
  <c r="G8954" i="19"/>
  <c r="G9541" i="19"/>
  <c r="G8693" i="19"/>
  <c r="G9606" i="19"/>
  <c r="G9027" i="19"/>
  <c r="G9236" i="19"/>
  <c r="G7795" i="19"/>
  <c r="G8431" i="19"/>
  <c r="G9137" i="19"/>
  <c r="G9124" i="19"/>
  <c r="G9916" i="19"/>
  <c r="G9473" i="19"/>
  <c r="G9261" i="19"/>
  <c r="G9897" i="19"/>
  <c r="G9539" i="19"/>
  <c r="G3538" i="19"/>
  <c r="G6615" i="19"/>
  <c r="G308" i="19"/>
  <c r="G781" i="19"/>
  <c r="G1492" i="19"/>
  <c r="G2098" i="19"/>
  <c r="G702" i="19"/>
  <c r="G589" i="19"/>
  <c r="G1220" i="19"/>
  <c r="G1892" i="19"/>
  <c r="P16" i="17"/>
  <c r="H10" i="17"/>
  <c r="N10" i="17" s="1"/>
  <c r="H13" i="17"/>
  <c r="N13" i="17" s="1"/>
  <c r="H11" i="17"/>
  <c r="N11" i="17" s="1"/>
  <c r="H12" i="17"/>
  <c r="N12" i="17" s="1"/>
  <c r="O12" i="17"/>
  <c r="P15" i="17"/>
  <c r="N15" i="17" l="1"/>
  <c r="M19" i="19"/>
  <c r="M17" i="19"/>
  <c r="M18" i="19"/>
  <c r="M16" i="19"/>
  <c r="N16" i="17"/>
  <c r="O10" i="17"/>
  <c r="O13" i="17"/>
  <c r="O11" i="17"/>
  <c r="O15" i="17" l="1"/>
  <c r="O16" i="17"/>
  <c r="D24" i="16"/>
  <c r="D39" i="16"/>
  <c r="D9" i="17" s="1"/>
  <c r="F9" i="17" s="1"/>
  <c r="D34" i="16"/>
  <c r="D33" i="16"/>
  <c r="F11" i="16"/>
  <c r="G11" i="16" s="1"/>
  <c r="H11" i="16" s="1"/>
  <c r="I11" i="16" s="1"/>
  <c r="J11" i="16" s="1"/>
  <c r="K35" i="15"/>
  <c r="J35" i="15"/>
  <c r="I35" i="15"/>
  <c r="H35" i="15"/>
  <c r="G35" i="15"/>
  <c r="F35" i="15"/>
  <c r="E35" i="15"/>
  <c r="D35" i="15"/>
  <c r="B2" i="15"/>
  <c r="K23" i="15"/>
  <c r="J23" i="15"/>
  <c r="I23" i="15"/>
  <c r="H23" i="15"/>
  <c r="G23" i="15"/>
  <c r="F23" i="15"/>
  <c r="E23" i="15"/>
  <c r="D23" i="15"/>
  <c r="B23" i="15"/>
  <c r="K22" i="15"/>
  <c r="J22" i="15"/>
  <c r="I22" i="15"/>
  <c r="H22" i="15"/>
  <c r="G22" i="15"/>
  <c r="F22" i="15"/>
  <c r="E22" i="15"/>
  <c r="D22" i="15"/>
  <c r="B22" i="15"/>
  <c r="B24" i="15"/>
  <c r="K15" i="15"/>
  <c r="K16" i="15" s="1"/>
  <c r="J15" i="15"/>
  <c r="J16" i="15" s="1"/>
  <c r="I15" i="15"/>
  <c r="I16" i="15" s="1"/>
  <c r="H15" i="15"/>
  <c r="H16" i="15" s="1"/>
  <c r="G15" i="15"/>
  <c r="G16" i="15" s="1"/>
  <c r="F15" i="15"/>
  <c r="F16" i="15" s="1"/>
  <c r="E15" i="15"/>
  <c r="E16" i="15" s="1"/>
  <c r="D15" i="15"/>
  <c r="D16" i="15" s="1"/>
  <c r="B15" i="15"/>
  <c r="K10" i="15"/>
  <c r="J10" i="15"/>
  <c r="I10" i="15"/>
  <c r="H10" i="15"/>
  <c r="G10" i="15"/>
  <c r="F10" i="15"/>
  <c r="E10" i="15"/>
  <c r="K9" i="15"/>
  <c r="J9" i="15"/>
  <c r="I9" i="15"/>
  <c r="H9" i="15"/>
  <c r="G9" i="15"/>
  <c r="F9" i="15"/>
  <c r="E9" i="15"/>
  <c r="D10" i="15"/>
  <c r="D9" i="15"/>
  <c r="F10" i="12"/>
  <c r="H9" i="17" l="1"/>
  <c r="P9" i="17"/>
  <c r="D11" i="15"/>
  <c r="D18" i="15" s="1"/>
  <c r="D57" i="23" s="1"/>
  <c r="D59" i="23" s="1"/>
  <c r="F24" i="15"/>
  <c r="H24" i="15"/>
  <c r="I24" i="15"/>
  <c r="G11" i="15"/>
  <c r="G18" i="15" s="1"/>
  <c r="G57" i="23" s="1"/>
  <c r="G59" i="23" s="1"/>
  <c r="I11" i="15"/>
  <c r="I18" i="15" s="1"/>
  <c r="I57" i="23" s="1"/>
  <c r="I59" i="23" s="1"/>
  <c r="J11" i="15"/>
  <c r="J18" i="15" s="1"/>
  <c r="J57" i="23" s="1"/>
  <c r="J59" i="23" s="1"/>
  <c r="J24" i="15"/>
  <c r="H11" i="15"/>
  <c r="H18" i="15" s="1"/>
  <c r="H57" i="23" s="1"/>
  <c r="H59" i="23" s="1"/>
  <c r="F11" i="15"/>
  <c r="F18" i="15" s="1"/>
  <c r="F57" i="23" s="1"/>
  <c r="F59" i="23" s="1"/>
  <c r="D24" i="15"/>
  <c r="E24" i="15"/>
  <c r="K24" i="15"/>
  <c r="G24" i="15"/>
  <c r="E11" i="15"/>
  <c r="E18" i="15" s="1"/>
  <c r="E57" i="23" s="1"/>
  <c r="E59" i="23" s="1"/>
  <c r="K11" i="15"/>
  <c r="K18" i="15" s="1"/>
  <c r="K57" i="23" l="1"/>
  <c r="K59" i="23" s="1"/>
  <c r="O9" i="17"/>
  <c r="N9" i="17"/>
  <c r="P19" i="17"/>
  <c r="P20" i="17"/>
  <c r="P18" i="17"/>
  <c r="P26" i="17" s="1"/>
  <c r="P17" i="17"/>
  <c r="H3" i="14"/>
  <c r="H5" i="14" s="1"/>
  <c r="L19" i="12" s="1"/>
  <c r="P24" i="17" l="1"/>
  <c r="P28" i="17"/>
  <c r="O18" i="17"/>
  <c r="O24" i="17" s="1"/>
  <c r="O26" i="17" s="1"/>
  <c r="O17" i="17"/>
  <c r="O19" i="17"/>
  <c r="O20" i="17"/>
  <c r="N20" i="17"/>
  <c r="N19" i="17"/>
  <c r="N18" i="17"/>
  <c r="N24" i="17" s="1"/>
  <c r="N26" i="17" s="1"/>
  <c r="N17" i="17"/>
  <c r="B2" i="13"/>
  <c r="G43" i="22" l="1"/>
  <c r="G37" i="22"/>
  <c r="G36" i="22"/>
  <c r="G42" i="22"/>
  <c r="G41" i="22"/>
  <c r="G40" i="22"/>
  <c r="G39" i="22"/>
  <c r="G38" i="22"/>
  <c r="G35" i="22"/>
  <c r="G44" i="22"/>
  <c r="N28" i="17"/>
  <c r="N30" i="17" s="1"/>
  <c r="O28" i="17"/>
  <c r="O30" i="17" s="1"/>
  <c r="K15" i="13"/>
  <c r="D127" i="13"/>
  <c r="D126" i="13"/>
  <c r="D125" i="13"/>
  <c r="D124" i="13"/>
  <c r="D123" i="13"/>
  <c r="D122" i="13"/>
  <c r="D121" i="13"/>
  <c r="D120" i="13"/>
  <c r="D119" i="13"/>
  <c r="D118" i="13"/>
  <c r="D117" i="13"/>
  <c r="D116" i="13"/>
  <c r="D115" i="13"/>
  <c r="D114" i="13"/>
  <c r="D113" i="13"/>
  <c r="D112" i="13"/>
  <c r="D111" i="13"/>
  <c r="D110" i="13"/>
  <c r="D109" i="13"/>
  <c r="D108" i="13"/>
  <c r="D107" i="13"/>
  <c r="D106" i="13"/>
  <c r="D105" i="13"/>
  <c r="D104" i="13"/>
  <c r="D103" i="13"/>
  <c r="D102" i="13"/>
  <c r="D101" i="13"/>
  <c r="D100" i="13"/>
  <c r="D99" i="13"/>
  <c r="D98" i="13"/>
  <c r="D97" i="13"/>
  <c r="D96" i="13"/>
  <c r="D95" i="13"/>
  <c r="D94" i="13"/>
  <c r="D93" i="13"/>
  <c r="D92" i="13"/>
  <c r="D91" i="13"/>
  <c r="D90" i="13"/>
  <c r="D89" i="13"/>
  <c r="D88" i="13"/>
  <c r="D87" i="13"/>
  <c r="D86" i="13"/>
  <c r="D85" i="13"/>
  <c r="D84" i="13"/>
  <c r="D83" i="13"/>
  <c r="D82" i="13"/>
  <c r="D81" i="13"/>
  <c r="D80" i="13"/>
  <c r="D79" i="13"/>
  <c r="D78" i="13"/>
  <c r="D77" i="13"/>
  <c r="D76" i="13"/>
  <c r="D75" i="13"/>
  <c r="D74" i="13"/>
  <c r="D73" i="13"/>
  <c r="D72" i="13"/>
  <c r="D71" i="13"/>
  <c r="D70" i="13"/>
  <c r="D69" i="13"/>
  <c r="D68" i="13"/>
  <c r="D67" i="13"/>
  <c r="D66" i="13"/>
  <c r="D65" i="13"/>
  <c r="D64" i="13"/>
  <c r="D63" i="13"/>
  <c r="D62" i="13"/>
  <c r="D61" i="13"/>
  <c r="D60" i="13"/>
  <c r="D59" i="13"/>
  <c r="D58" i="13"/>
  <c r="D57" i="13"/>
  <c r="D56" i="13"/>
  <c r="D55" i="13"/>
  <c r="D54" i="13"/>
  <c r="D53" i="13"/>
  <c r="D52" i="13"/>
  <c r="D51" i="13"/>
  <c r="D50" i="13"/>
  <c r="D49" i="13"/>
  <c r="D48" i="13"/>
  <c r="D47" i="13"/>
  <c r="D46" i="13"/>
  <c r="D45" i="13"/>
  <c r="D44" i="13"/>
  <c r="D43" i="13"/>
  <c r="D42" i="13"/>
  <c r="D41" i="13"/>
  <c r="D40" i="13"/>
  <c r="D39" i="13"/>
  <c r="D38" i="13"/>
  <c r="D37" i="13"/>
  <c r="D36" i="13"/>
  <c r="D35" i="13"/>
  <c r="D34" i="13"/>
  <c r="D33" i="13"/>
  <c r="D32" i="13"/>
  <c r="D31" i="13"/>
  <c r="D30" i="13"/>
  <c r="D29" i="13"/>
  <c r="D28" i="13"/>
  <c r="D27" i="13"/>
  <c r="D26" i="13"/>
  <c r="D25" i="13"/>
  <c r="D24" i="13"/>
  <c r="D23" i="13"/>
  <c r="D22" i="13"/>
  <c r="D21" i="13"/>
  <c r="D20" i="13"/>
  <c r="D19" i="13"/>
  <c r="D18" i="13"/>
  <c r="D17" i="13"/>
  <c r="D16" i="13"/>
  <c r="D15" i="13"/>
  <c r="D14" i="13"/>
  <c r="D13" i="13"/>
  <c r="D12" i="13"/>
  <c r="D11" i="13"/>
  <c r="D10" i="13"/>
  <c r="D9" i="13"/>
  <c r="D8" i="13"/>
  <c r="D7" i="13"/>
  <c r="H127" i="13"/>
  <c r="H126" i="13"/>
  <c r="H125" i="13"/>
  <c r="H124" i="13"/>
  <c r="H123" i="13"/>
  <c r="H122" i="13"/>
  <c r="H121" i="13"/>
  <c r="H120" i="13"/>
  <c r="H119" i="13"/>
  <c r="H118" i="13"/>
  <c r="H117" i="13"/>
  <c r="H116" i="13"/>
  <c r="H115" i="13"/>
  <c r="H114" i="13"/>
  <c r="H113" i="13"/>
  <c r="H112" i="13"/>
  <c r="H111" i="13"/>
  <c r="H110" i="13"/>
  <c r="H109" i="13"/>
  <c r="H108" i="13"/>
  <c r="H107" i="13"/>
  <c r="H106" i="13"/>
  <c r="H105" i="13"/>
  <c r="H104" i="13"/>
  <c r="H103" i="13"/>
  <c r="H102" i="13"/>
  <c r="H101" i="13"/>
  <c r="H100" i="13"/>
  <c r="H99" i="13"/>
  <c r="H98" i="13"/>
  <c r="H97" i="13"/>
  <c r="H96" i="13"/>
  <c r="H95" i="13"/>
  <c r="H94" i="13"/>
  <c r="H93" i="13"/>
  <c r="H92" i="13"/>
  <c r="H91" i="13"/>
  <c r="H90" i="13"/>
  <c r="H89" i="13"/>
  <c r="H88" i="13"/>
  <c r="H87" i="13"/>
  <c r="H86" i="13"/>
  <c r="H85" i="13"/>
  <c r="H84" i="13"/>
  <c r="H83" i="13"/>
  <c r="H82" i="13"/>
  <c r="H81" i="13"/>
  <c r="H80" i="13"/>
  <c r="H79" i="13"/>
  <c r="H78" i="13"/>
  <c r="H77" i="13"/>
  <c r="H76" i="13"/>
  <c r="H75" i="13"/>
  <c r="H74" i="13"/>
  <c r="H73" i="13"/>
  <c r="H72" i="13"/>
  <c r="H71" i="13"/>
  <c r="H70" i="13"/>
  <c r="H69" i="13"/>
  <c r="H68" i="13"/>
  <c r="H67" i="13"/>
  <c r="H66" i="13"/>
  <c r="H65" i="13"/>
  <c r="H64" i="13"/>
  <c r="H63" i="13"/>
  <c r="H62" i="13"/>
  <c r="H61" i="13"/>
  <c r="H60" i="13"/>
  <c r="H59" i="13"/>
  <c r="H58" i="13"/>
  <c r="H57" i="13"/>
  <c r="H56" i="13"/>
  <c r="H55" i="13"/>
  <c r="H54" i="13"/>
  <c r="H53" i="13"/>
  <c r="H52" i="13"/>
  <c r="H51" i="13"/>
  <c r="H50" i="13"/>
  <c r="H49" i="13"/>
  <c r="H48" i="13"/>
  <c r="H47" i="13"/>
  <c r="H46" i="13"/>
  <c r="H45" i="13"/>
  <c r="H44" i="13"/>
  <c r="H43" i="13"/>
  <c r="H42" i="13"/>
  <c r="H41" i="13"/>
  <c r="H40" i="13"/>
  <c r="H39" i="13"/>
  <c r="H38" i="13"/>
  <c r="H37" i="13"/>
  <c r="H36" i="13"/>
  <c r="H35" i="13"/>
  <c r="H34" i="13"/>
  <c r="H33" i="13"/>
  <c r="H32" i="13"/>
  <c r="H31" i="13"/>
  <c r="H30" i="13"/>
  <c r="H29" i="13"/>
  <c r="H28" i="13"/>
  <c r="H27" i="13"/>
  <c r="H26" i="13"/>
  <c r="H25" i="13"/>
  <c r="H24" i="13"/>
  <c r="H23" i="13"/>
  <c r="H22" i="13"/>
  <c r="H21" i="13"/>
  <c r="H20" i="13"/>
  <c r="H19" i="13"/>
  <c r="H18" i="13"/>
  <c r="H17" i="13"/>
  <c r="H16" i="13"/>
  <c r="H15" i="13"/>
  <c r="H14" i="13"/>
  <c r="H13" i="13"/>
  <c r="H12" i="13"/>
  <c r="H11" i="13"/>
  <c r="H10" i="13"/>
  <c r="H9" i="13"/>
  <c r="H8" i="13"/>
  <c r="H7" i="13"/>
  <c r="K13" i="13" l="1"/>
  <c r="K8" i="12" s="1"/>
  <c r="K14" i="13" a="1"/>
  <c r="K14" i="13" s="1"/>
  <c r="C26" i="12"/>
  <c r="C25" i="12"/>
  <c r="E19" i="12"/>
  <c r="E20" i="12" s="1"/>
  <c r="H14" i="12"/>
  <c r="H13" i="12"/>
  <c r="L9" i="12"/>
  <c r="J9" i="12"/>
  <c r="J8" i="12"/>
  <c r="I9" i="12"/>
  <c r="I8" i="12"/>
  <c r="G10" i="12"/>
  <c r="F11" i="12"/>
  <c r="G11" i="12"/>
  <c r="F12" i="12"/>
  <c r="G12" i="12"/>
  <c r="B3" i="12"/>
  <c r="K32" i="12" l="1"/>
  <c r="E13" i="27"/>
  <c r="E45" i="27" s="1"/>
  <c r="M6" i="13"/>
  <c r="M11" i="13" s="1"/>
  <c r="L20" i="12" s="1"/>
  <c r="L8" i="12"/>
  <c r="K13" i="12"/>
  <c r="K14" i="12"/>
  <c r="L26" i="12"/>
  <c r="C27" i="12"/>
  <c r="D27" i="12" s="1"/>
  <c r="E27" i="12" s="1"/>
  <c r="J12" i="12"/>
  <c r="J11" i="12"/>
  <c r="J10" i="12"/>
  <c r="L10" i="12"/>
  <c r="L11" i="12"/>
  <c r="I10" i="12"/>
  <c r="I11" i="12"/>
  <c r="L12" i="12"/>
  <c r="I12" i="12"/>
  <c r="J14" i="12" l="1"/>
  <c r="D25" i="12"/>
  <c r="J13" i="12"/>
  <c r="E25" i="12" s="1"/>
  <c r="L32" i="12" s="1"/>
  <c r="D26" i="12"/>
  <c r="L13" i="12"/>
  <c r="I13" i="12"/>
  <c r="I14" i="12"/>
  <c r="L14" i="12"/>
  <c r="L24" i="12" s="1"/>
  <c r="D29" i="12" l="1"/>
  <c r="E26" i="12"/>
  <c r="L33" i="12" s="1"/>
  <c r="E29" i="12" l="1"/>
  <c r="L25" i="12" s="1"/>
  <c r="L27" i="12" s="1"/>
  <c r="L21" i="12"/>
  <c r="K33" i="12" s="1"/>
  <c r="L34" i="12" s="1"/>
  <c r="D18" i="16" s="1"/>
  <c r="I21" i="16" s="1"/>
  <c r="J12" i="16" l="1"/>
  <c r="I12" i="16"/>
  <c r="D23" i="16"/>
  <c r="H12" i="16"/>
  <c r="G12" i="16"/>
  <c r="F12" i="16"/>
  <c r="E12" i="16"/>
  <c r="D36" i="11"/>
  <c r="B21" i="11"/>
  <c r="B2" i="11"/>
  <c r="K36" i="11" l="1"/>
  <c r="J36" i="11"/>
  <c r="I36" i="11"/>
  <c r="H36" i="11"/>
  <c r="G36" i="11"/>
  <c r="F36" i="11"/>
  <c r="E36" i="11"/>
  <c r="K35" i="11"/>
  <c r="J35" i="11"/>
  <c r="I35" i="11"/>
  <c r="H35" i="11"/>
  <c r="G35" i="11"/>
  <c r="F35" i="11"/>
  <c r="E35" i="11"/>
  <c r="D35" i="11"/>
  <c r="K34" i="11"/>
  <c r="J34" i="11"/>
  <c r="I34" i="11"/>
  <c r="H34" i="11"/>
  <c r="G34" i="11"/>
  <c r="F34" i="11"/>
  <c r="E34" i="11"/>
  <c r="D34" i="11"/>
  <c r="K32" i="11"/>
  <c r="J32" i="11"/>
  <c r="I32" i="11"/>
  <c r="H32" i="11"/>
  <c r="G32" i="11"/>
  <c r="F32" i="11"/>
  <c r="E32" i="11"/>
  <c r="D32" i="11"/>
  <c r="K31" i="11"/>
  <c r="J31" i="11"/>
  <c r="I31" i="11"/>
  <c r="H31" i="11"/>
  <c r="G31" i="11"/>
  <c r="F31" i="11"/>
  <c r="E31" i="11"/>
  <c r="D31" i="11"/>
  <c r="K30" i="11"/>
  <c r="J30" i="11"/>
  <c r="I30" i="11"/>
  <c r="H30" i="11"/>
  <c r="G30" i="11"/>
  <c r="F30" i="11"/>
  <c r="E30" i="11"/>
  <c r="D30" i="11"/>
  <c r="K29" i="11"/>
  <c r="J29" i="11"/>
  <c r="I29" i="11"/>
  <c r="H29" i="11"/>
  <c r="G29" i="11"/>
  <c r="F29" i="11"/>
  <c r="E29" i="11"/>
  <c r="D29" i="11"/>
  <c r="K27" i="11"/>
  <c r="J27" i="11"/>
  <c r="I27" i="11"/>
  <c r="H27" i="11"/>
  <c r="G27" i="11"/>
  <c r="F27" i="11"/>
  <c r="E27" i="11"/>
  <c r="K26" i="11"/>
  <c r="J26" i="11"/>
  <c r="I26" i="11"/>
  <c r="H26" i="11"/>
  <c r="G26" i="11"/>
  <c r="F26" i="11"/>
  <c r="E26" i="11"/>
  <c r="K25" i="11"/>
  <c r="J25" i="11"/>
  <c r="I25" i="11"/>
  <c r="H25" i="11"/>
  <c r="G25" i="11"/>
  <c r="F25" i="11"/>
  <c r="E25" i="11"/>
  <c r="K24" i="11"/>
  <c r="J24" i="11"/>
  <c r="I24" i="11"/>
  <c r="H24" i="11"/>
  <c r="G24" i="11"/>
  <c r="F24" i="11"/>
  <c r="E24" i="11"/>
  <c r="D27" i="11"/>
  <c r="D26" i="11"/>
  <c r="D25" i="11"/>
  <c r="D24" i="11"/>
  <c r="K23" i="11"/>
  <c r="J23" i="11"/>
  <c r="I23" i="11"/>
  <c r="H23" i="11"/>
  <c r="G23" i="11"/>
  <c r="F23" i="11"/>
  <c r="E23" i="11"/>
  <c r="D23" i="11"/>
  <c r="K19" i="11"/>
  <c r="K18" i="11"/>
  <c r="K17" i="11"/>
  <c r="K16" i="11"/>
  <c r="K15" i="11"/>
  <c r="K14" i="11"/>
  <c r="K13" i="11"/>
  <c r="K12" i="11"/>
  <c r="K11" i="11"/>
  <c r="K10" i="11"/>
  <c r="K9" i="11"/>
  <c r="K8" i="11"/>
  <c r="K7" i="11"/>
  <c r="J19" i="11"/>
  <c r="J18" i="11"/>
  <c r="J17" i="11"/>
  <c r="J16" i="11"/>
  <c r="J15" i="11"/>
  <c r="J14" i="11"/>
  <c r="J13" i="11"/>
  <c r="J12" i="11"/>
  <c r="J11" i="11"/>
  <c r="J10" i="11"/>
  <c r="J9" i="11"/>
  <c r="J8" i="11"/>
  <c r="J7" i="11"/>
  <c r="I19" i="11"/>
  <c r="I18" i="11"/>
  <c r="I17" i="11"/>
  <c r="I16" i="11"/>
  <c r="I15" i="11"/>
  <c r="I14" i="11"/>
  <c r="I13" i="11"/>
  <c r="I12" i="11"/>
  <c r="I11" i="11"/>
  <c r="I10" i="11"/>
  <c r="I9" i="11"/>
  <c r="I8" i="11"/>
  <c r="I7" i="11"/>
  <c r="H19" i="11"/>
  <c r="H18" i="11"/>
  <c r="H17" i="11"/>
  <c r="H16" i="11"/>
  <c r="H15" i="11"/>
  <c r="H14" i="11"/>
  <c r="H13" i="11"/>
  <c r="H12" i="11"/>
  <c r="H11" i="11"/>
  <c r="H10" i="11"/>
  <c r="H9" i="11"/>
  <c r="H8" i="11"/>
  <c r="H7" i="11"/>
  <c r="G19" i="11"/>
  <c r="G18" i="11"/>
  <c r="G17" i="11"/>
  <c r="G16" i="11"/>
  <c r="G15" i="11"/>
  <c r="G14" i="11"/>
  <c r="G13" i="11"/>
  <c r="G12" i="11"/>
  <c r="G11" i="11"/>
  <c r="G10" i="11"/>
  <c r="G9" i="11"/>
  <c r="G8" i="11"/>
  <c r="G7" i="11"/>
  <c r="F7" i="11"/>
  <c r="F19" i="11"/>
  <c r="F18" i="11"/>
  <c r="F17" i="11"/>
  <c r="F16" i="11"/>
  <c r="F15" i="11"/>
  <c r="F14" i="11"/>
  <c r="F13" i="11"/>
  <c r="F12" i="11"/>
  <c r="F11" i="11"/>
  <c r="F10" i="11"/>
  <c r="F9" i="11"/>
  <c r="F8" i="11"/>
  <c r="E19" i="11"/>
  <c r="E18" i="11"/>
  <c r="E17" i="11"/>
  <c r="E16" i="11"/>
  <c r="E15" i="11"/>
  <c r="E14" i="11"/>
  <c r="E13" i="11"/>
  <c r="E12" i="11"/>
  <c r="E11" i="11"/>
  <c r="E10" i="11"/>
  <c r="E9" i="11"/>
  <c r="E8" i="11"/>
  <c r="E7" i="11"/>
  <c r="D19" i="11"/>
  <c r="D18" i="11"/>
  <c r="D17" i="11"/>
  <c r="D16" i="11"/>
  <c r="D15" i="11"/>
  <c r="D14" i="11"/>
  <c r="D13" i="11"/>
  <c r="D12" i="11"/>
  <c r="D11" i="11"/>
  <c r="D10" i="11"/>
  <c r="D9" i="11"/>
  <c r="D8" i="11"/>
  <c r="D7" i="11"/>
  <c r="K6" i="11"/>
  <c r="J6" i="11"/>
  <c r="I6" i="11"/>
  <c r="H6" i="11"/>
  <c r="G6" i="11"/>
  <c r="F6" i="11"/>
  <c r="E6" i="11"/>
  <c r="D6" i="11"/>
  <c r="B3" i="10"/>
  <c r="D8" i="8"/>
  <c r="B5" i="8" l="1"/>
  <c r="L10" i="7"/>
  <c r="K10" i="7"/>
  <c r="D7" i="26" s="1"/>
  <c r="B74" i="7"/>
  <c r="B51" i="7"/>
  <c r="B6" i="7"/>
  <c r="B3" i="7"/>
  <c r="K80" i="7"/>
  <c r="J80" i="7"/>
  <c r="I80" i="7"/>
  <c r="H80" i="7"/>
  <c r="G80" i="7"/>
  <c r="F80" i="7"/>
  <c r="E80" i="7"/>
  <c r="D80" i="7"/>
  <c r="K78" i="7"/>
  <c r="J78" i="7"/>
  <c r="I78" i="7"/>
  <c r="H78" i="7"/>
  <c r="G78" i="7"/>
  <c r="F78" i="7"/>
  <c r="E78" i="7"/>
  <c r="D78" i="7"/>
  <c r="K76" i="7"/>
  <c r="J76" i="7"/>
  <c r="I76" i="7"/>
  <c r="H76" i="7"/>
  <c r="G76" i="7"/>
  <c r="F76" i="7"/>
  <c r="E76" i="7"/>
  <c r="D76" i="7"/>
  <c r="K75" i="6"/>
  <c r="K33" i="11" s="1"/>
  <c r="J75" i="6"/>
  <c r="J33" i="11" s="1"/>
  <c r="I75" i="6"/>
  <c r="I33" i="11" s="1"/>
  <c r="H75" i="6"/>
  <c r="H33" i="11" s="1"/>
  <c r="G75" i="6"/>
  <c r="G33" i="11" s="1"/>
  <c r="F75" i="6"/>
  <c r="E75" i="6"/>
  <c r="D75" i="6"/>
  <c r="D33" i="11" s="1"/>
  <c r="C75" i="6"/>
  <c r="B75" i="6"/>
  <c r="B78" i="6" s="1"/>
  <c r="D65" i="7"/>
  <c r="D66" i="7"/>
  <c r="D67" i="7"/>
  <c r="K67" i="7"/>
  <c r="J67" i="7"/>
  <c r="I67" i="7"/>
  <c r="H67" i="7"/>
  <c r="G67" i="7"/>
  <c r="F67" i="7"/>
  <c r="E67" i="7"/>
  <c r="K66" i="7"/>
  <c r="J66" i="7"/>
  <c r="I66" i="7"/>
  <c r="H66" i="7"/>
  <c r="G66" i="7"/>
  <c r="F66" i="7"/>
  <c r="E66" i="7"/>
  <c r="K65" i="7"/>
  <c r="J65" i="7"/>
  <c r="I65" i="7"/>
  <c r="H65" i="7"/>
  <c r="G65" i="7"/>
  <c r="F65" i="7"/>
  <c r="E65" i="7"/>
  <c r="A75" i="6"/>
  <c r="K61" i="7"/>
  <c r="J61" i="7"/>
  <c r="I61" i="7"/>
  <c r="H61" i="7"/>
  <c r="G61" i="7"/>
  <c r="F61" i="7"/>
  <c r="E61" i="7"/>
  <c r="D61" i="7"/>
  <c r="K60" i="7"/>
  <c r="J60" i="7"/>
  <c r="I60" i="7"/>
  <c r="H60" i="7"/>
  <c r="G60" i="7"/>
  <c r="F60" i="7"/>
  <c r="E60" i="7"/>
  <c r="D60" i="7"/>
  <c r="K59" i="7"/>
  <c r="J59" i="7"/>
  <c r="I59" i="7"/>
  <c r="H59" i="7"/>
  <c r="G59" i="7"/>
  <c r="F59" i="7"/>
  <c r="E59" i="7"/>
  <c r="D59" i="7"/>
  <c r="D53" i="7"/>
  <c r="K56" i="7"/>
  <c r="J56" i="7"/>
  <c r="I56" i="7"/>
  <c r="H56" i="7"/>
  <c r="G56" i="7"/>
  <c r="F56" i="7"/>
  <c r="E56" i="7"/>
  <c r="D56" i="7"/>
  <c r="K55" i="7"/>
  <c r="J55" i="7"/>
  <c r="I55" i="7"/>
  <c r="H55" i="7"/>
  <c r="G55" i="7"/>
  <c r="F55" i="7"/>
  <c r="E55" i="7"/>
  <c r="D55" i="7"/>
  <c r="K54" i="7"/>
  <c r="J54" i="7"/>
  <c r="I54" i="7"/>
  <c r="H54" i="7"/>
  <c r="G54" i="7"/>
  <c r="F54" i="7"/>
  <c r="E54" i="7"/>
  <c r="D54" i="7"/>
  <c r="K53" i="7"/>
  <c r="J53" i="7"/>
  <c r="I53" i="7"/>
  <c r="H53" i="7"/>
  <c r="G53" i="7"/>
  <c r="F53" i="7"/>
  <c r="E53" i="7"/>
  <c r="D41" i="7"/>
  <c r="K41" i="7"/>
  <c r="J41" i="7"/>
  <c r="I41" i="7"/>
  <c r="H41" i="7"/>
  <c r="G41" i="7"/>
  <c r="F41" i="7"/>
  <c r="E41" i="7"/>
  <c r="L35" i="7"/>
  <c r="K35" i="7"/>
  <c r="D15" i="26" s="1"/>
  <c r="J35" i="7"/>
  <c r="I35" i="7"/>
  <c r="H35" i="7"/>
  <c r="G35" i="7"/>
  <c r="F35" i="7"/>
  <c r="E35" i="7"/>
  <c r="D35" i="7"/>
  <c r="L29" i="7"/>
  <c r="K29" i="7"/>
  <c r="J29" i="7"/>
  <c r="I29" i="7"/>
  <c r="H29" i="7"/>
  <c r="G29" i="7"/>
  <c r="F29" i="7"/>
  <c r="E29" i="7"/>
  <c r="D29" i="7"/>
  <c r="L26" i="7"/>
  <c r="K26" i="7"/>
  <c r="D13" i="26" s="1"/>
  <c r="J26" i="7"/>
  <c r="I26" i="7"/>
  <c r="H26" i="7"/>
  <c r="G26" i="7"/>
  <c r="F26" i="7"/>
  <c r="E26" i="7"/>
  <c r="D26" i="7"/>
  <c r="L20" i="7"/>
  <c r="K20" i="7"/>
  <c r="J20" i="7"/>
  <c r="J25" i="15" s="1"/>
  <c r="J26" i="15" s="1"/>
  <c r="I20" i="7"/>
  <c r="I25" i="15" s="1"/>
  <c r="I26" i="15" s="1"/>
  <c r="H20" i="7"/>
  <c r="H25" i="15" s="1"/>
  <c r="H26" i="15" s="1"/>
  <c r="G20" i="7"/>
  <c r="G25" i="15" s="1"/>
  <c r="G26" i="15" s="1"/>
  <c r="F20" i="7"/>
  <c r="F25" i="15" s="1"/>
  <c r="F26" i="15" s="1"/>
  <c r="E20" i="7"/>
  <c r="E25" i="15" s="1"/>
  <c r="E26" i="15" s="1"/>
  <c r="D20" i="7"/>
  <c r="D25" i="15" s="1"/>
  <c r="D26" i="15" s="1"/>
  <c r="D28" i="15" s="1"/>
  <c r="K15" i="7"/>
  <c r="D9" i="26" s="1"/>
  <c r="J15" i="7"/>
  <c r="I15" i="7"/>
  <c r="H15" i="7"/>
  <c r="G15" i="7"/>
  <c r="F15" i="7"/>
  <c r="E15" i="7"/>
  <c r="D15" i="7"/>
  <c r="J10" i="7"/>
  <c r="I10" i="7"/>
  <c r="H10" i="7"/>
  <c r="G10" i="7"/>
  <c r="F10" i="7"/>
  <c r="E10" i="7"/>
  <c r="D10" i="7"/>
  <c r="L7" i="7"/>
  <c r="L16" i="7" s="1"/>
  <c r="K7" i="7"/>
  <c r="E11" i="27" s="1"/>
  <c r="J7" i="7"/>
  <c r="I7" i="7"/>
  <c r="H7" i="7"/>
  <c r="G7" i="7"/>
  <c r="F7" i="7"/>
  <c r="E7" i="7"/>
  <c r="D7" i="7"/>
  <c r="K4" i="7"/>
  <c r="J4" i="7"/>
  <c r="F11" i="22" s="1"/>
  <c r="F24" i="22" s="1"/>
  <c r="I4" i="7"/>
  <c r="E11" i="22" s="1"/>
  <c r="E24" i="22" s="1"/>
  <c r="H4" i="7"/>
  <c r="D11" i="22" s="1"/>
  <c r="D24" i="22" s="1"/>
  <c r="G4" i="7"/>
  <c r="F4" i="7"/>
  <c r="E4" i="7"/>
  <c r="E42" i="27" l="1"/>
  <c r="E46" i="27" s="1"/>
  <c r="D6" i="26"/>
  <c r="H21" i="26" s="1"/>
  <c r="K13" i="26"/>
  <c r="G11" i="22"/>
  <c r="G24" i="22" s="1"/>
  <c r="D4" i="26"/>
  <c r="E4" i="26" s="1"/>
  <c r="F4" i="26" s="1"/>
  <c r="G4" i="26" s="1"/>
  <c r="H4" i="26" s="1"/>
  <c r="D62" i="7"/>
  <c r="D63" i="7" s="1"/>
  <c r="K25" i="15"/>
  <c r="K26" i="15" s="1"/>
  <c r="K36" i="15" s="1"/>
  <c r="K42" i="15" s="1"/>
  <c r="D11" i="26"/>
  <c r="D27" i="26" s="1"/>
  <c r="D29" i="26" s="1"/>
  <c r="E28" i="22"/>
  <c r="E13" i="22"/>
  <c r="F13" i="22"/>
  <c r="F28" i="22"/>
  <c r="D13" i="22"/>
  <c r="D28" i="22"/>
  <c r="G28" i="22"/>
  <c r="G13" i="22"/>
  <c r="K56" i="21"/>
  <c r="K62" i="21" s="1"/>
  <c r="K78" i="21" s="1"/>
  <c r="K84" i="21" s="1"/>
  <c r="K56" i="23"/>
  <c r="K62" i="23" s="1"/>
  <c r="D64" i="21"/>
  <c r="D67" i="21" s="1"/>
  <c r="D69" i="21" s="1"/>
  <c r="D81" i="23"/>
  <c r="D83" i="23" s="1"/>
  <c r="E46" i="7"/>
  <c r="E64" i="21"/>
  <c r="E67" i="21" s="1"/>
  <c r="E69" i="21" s="1"/>
  <c r="E81" i="23"/>
  <c r="E83" i="23" s="1"/>
  <c r="F46" i="7"/>
  <c r="G46" i="7"/>
  <c r="G64" i="21"/>
  <c r="G67" i="21" s="1"/>
  <c r="G69" i="21" s="1"/>
  <c r="G81" i="23"/>
  <c r="G83" i="23" s="1"/>
  <c r="F64" i="21"/>
  <c r="F67" i="21" s="1"/>
  <c r="F86" i="21" s="1"/>
  <c r="F89" i="21" s="1"/>
  <c r="F91" i="21" s="1"/>
  <c r="F81" i="23"/>
  <c r="F83" i="23" s="1"/>
  <c r="H46" i="7"/>
  <c r="H64" i="21"/>
  <c r="H67" i="21" s="1"/>
  <c r="H69" i="21" s="1"/>
  <c r="H81" i="23"/>
  <c r="H83" i="23" s="1"/>
  <c r="I46" i="7"/>
  <c r="D56" i="21"/>
  <c r="D62" i="21" s="1"/>
  <c r="D78" i="21" s="1"/>
  <c r="D84" i="21" s="1"/>
  <c r="D56" i="23"/>
  <c r="D62" i="23" s="1"/>
  <c r="E56" i="21"/>
  <c r="E62" i="21" s="1"/>
  <c r="E78" i="21" s="1"/>
  <c r="E84" i="21" s="1"/>
  <c r="E56" i="23"/>
  <c r="E62" i="23" s="1"/>
  <c r="I64" i="21"/>
  <c r="I67" i="21" s="1"/>
  <c r="I86" i="21" s="1"/>
  <c r="I89" i="21" s="1"/>
  <c r="I91" i="21" s="1"/>
  <c r="I81" i="23"/>
  <c r="I83" i="23" s="1"/>
  <c r="J46" i="7"/>
  <c r="F56" i="21"/>
  <c r="F62" i="21" s="1"/>
  <c r="F78" i="21" s="1"/>
  <c r="F84" i="21" s="1"/>
  <c r="F56" i="23"/>
  <c r="F62" i="23" s="1"/>
  <c r="K46" i="7"/>
  <c r="D46" i="7"/>
  <c r="H56" i="21"/>
  <c r="H62" i="21" s="1"/>
  <c r="H78" i="21" s="1"/>
  <c r="H84" i="21" s="1"/>
  <c r="H56" i="23"/>
  <c r="H62" i="23" s="1"/>
  <c r="G56" i="21"/>
  <c r="G62" i="21" s="1"/>
  <c r="G78" i="21" s="1"/>
  <c r="G84" i="21" s="1"/>
  <c r="G56" i="23"/>
  <c r="G62" i="23" s="1"/>
  <c r="I56" i="21"/>
  <c r="I62" i="21" s="1"/>
  <c r="I78" i="21" s="1"/>
  <c r="I84" i="21" s="1"/>
  <c r="I56" i="23"/>
  <c r="I62" i="23" s="1"/>
  <c r="J64" i="21"/>
  <c r="J67" i="21" s="1"/>
  <c r="J69" i="21" s="1"/>
  <c r="J81" i="23"/>
  <c r="J83" i="23" s="1"/>
  <c r="K64" i="21"/>
  <c r="K67" i="21" s="1"/>
  <c r="K69" i="21" s="1"/>
  <c r="K81" i="23"/>
  <c r="K83" i="23" s="1"/>
  <c r="J56" i="21"/>
  <c r="J62" i="21" s="1"/>
  <c r="J78" i="21" s="1"/>
  <c r="J84" i="21" s="1"/>
  <c r="J56" i="23"/>
  <c r="J62" i="23" s="1"/>
  <c r="H62" i="7"/>
  <c r="H63" i="7" s="1"/>
  <c r="I62" i="7"/>
  <c r="I63" i="7" s="1"/>
  <c r="G62" i="7"/>
  <c r="G63" i="7" s="1"/>
  <c r="F28" i="15"/>
  <c r="F36" i="15"/>
  <c r="F42" i="15" s="1"/>
  <c r="H44" i="8"/>
  <c r="H42" i="8"/>
  <c r="E80" i="6"/>
  <c r="E33" i="11"/>
  <c r="I42" i="8"/>
  <c r="I44" i="8"/>
  <c r="D44" i="8"/>
  <c r="D42" i="8"/>
  <c r="D5" i="15"/>
  <c r="D33" i="15" s="1"/>
  <c r="D48" i="15" s="1"/>
  <c r="M7" i="10" a="1"/>
  <c r="C7" i="10" a="1"/>
  <c r="D6" i="8"/>
  <c r="D4" i="11" s="1"/>
  <c r="H7" i="10" a="1"/>
  <c r="H28" i="15"/>
  <c r="H36" i="15"/>
  <c r="H42" i="15" s="1"/>
  <c r="F62" i="7"/>
  <c r="F63" i="7" s="1"/>
  <c r="F33" i="11"/>
  <c r="J42" i="8"/>
  <c r="J44" i="8"/>
  <c r="H5" i="15"/>
  <c r="H33" i="15" s="1"/>
  <c r="H48" i="15" s="1"/>
  <c r="H6" i="8"/>
  <c r="H4" i="11" s="1"/>
  <c r="J5" i="15"/>
  <c r="J33" i="15" s="1"/>
  <c r="J48" i="15" s="1"/>
  <c r="J6" i="8"/>
  <c r="J4" i="11" s="1"/>
  <c r="K5" i="15"/>
  <c r="K33" i="15" s="1"/>
  <c r="K48" i="15" s="1"/>
  <c r="D4" i="16" s="1"/>
  <c r="E4" i="16" s="1"/>
  <c r="F4" i="16" s="1"/>
  <c r="G4" i="16" s="1"/>
  <c r="H4" i="16" s="1"/>
  <c r="I4" i="16" s="1"/>
  <c r="J4" i="16" s="1"/>
  <c r="K6" i="8"/>
  <c r="K4" i="11" s="1"/>
  <c r="D7" i="10" a="1"/>
  <c r="D32" i="8"/>
  <c r="D39" i="8" s="1"/>
  <c r="D31" i="8"/>
  <c r="D38" i="8" s="1"/>
  <c r="D30" i="8"/>
  <c r="D37" i="8" s="1"/>
  <c r="D33" i="8"/>
  <c r="D34" i="8"/>
  <c r="F44" i="8"/>
  <c r="F42" i="8"/>
  <c r="F34" i="8"/>
  <c r="F30" i="8"/>
  <c r="F37" i="8" s="1"/>
  <c r="F32" i="8"/>
  <c r="F39" i="8" s="1"/>
  <c r="F33" i="8"/>
  <c r="F31" i="8"/>
  <c r="F38" i="8" s="1"/>
  <c r="G34" i="8"/>
  <c r="G32" i="8"/>
  <c r="G39" i="8" s="1"/>
  <c r="G30" i="8"/>
  <c r="G37" i="8" s="1"/>
  <c r="G33" i="8"/>
  <c r="G31" i="8"/>
  <c r="G38" i="8" s="1"/>
  <c r="H32" i="8"/>
  <c r="H39" i="8" s="1"/>
  <c r="H30" i="8"/>
  <c r="H37" i="8" s="1"/>
  <c r="H33" i="8"/>
  <c r="H31" i="8"/>
  <c r="H38" i="8" s="1"/>
  <c r="H34" i="8"/>
  <c r="E5" i="15"/>
  <c r="E33" i="15" s="1"/>
  <c r="E48" i="15" s="1"/>
  <c r="E6" i="8"/>
  <c r="E4" i="11" s="1"/>
  <c r="I32" i="8"/>
  <c r="I39" i="8" s="1"/>
  <c r="I30" i="8"/>
  <c r="I37" i="8" s="1"/>
  <c r="I33" i="8"/>
  <c r="I34" i="8"/>
  <c r="I31" i="8"/>
  <c r="I38" i="8" s="1"/>
  <c r="I36" i="15"/>
  <c r="I42" i="15" s="1"/>
  <c r="I28" i="15"/>
  <c r="K44" i="8"/>
  <c r="K42" i="8"/>
  <c r="E62" i="7"/>
  <c r="E63" i="7" s="1"/>
  <c r="E36" i="15"/>
  <c r="E42" i="15" s="1"/>
  <c r="E28" i="15"/>
  <c r="G36" i="15"/>
  <c r="G42" i="15" s="1"/>
  <c r="G28" i="15"/>
  <c r="F5" i="15"/>
  <c r="F33" i="15" s="1"/>
  <c r="F48" i="15" s="1"/>
  <c r="F6" i="8"/>
  <c r="F4" i="11" s="1"/>
  <c r="J30" i="8"/>
  <c r="J37" i="8" s="1"/>
  <c r="J31" i="8"/>
  <c r="J38" i="8" s="1"/>
  <c r="J33" i="8"/>
  <c r="J34" i="8"/>
  <c r="J32" i="8"/>
  <c r="J39" i="8" s="1"/>
  <c r="J36" i="15"/>
  <c r="J42" i="15" s="1"/>
  <c r="J28" i="15"/>
  <c r="J62" i="7"/>
  <c r="J63" i="7" s="1"/>
  <c r="I5" i="15"/>
  <c r="I33" i="15" s="1"/>
  <c r="I48" i="15" s="1"/>
  <c r="I6" i="8"/>
  <c r="I4" i="11" s="1"/>
  <c r="E44" i="8"/>
  <c r="E42" i="8"/>
  <c r="E30" i="8"/>
  <c r="E34" i="8"/>
  <c r="E32" i="8"/>
  <c r="E33" i="8"/>
  <c r="E31" i="8"/>
  <c r="G44" i="8"/>
  <c r="G42" i="8"/>
  <c r="G5" i="15"/>
  <c r="G33" i="15" s="1"/>
  <c r="G48" i="15" s="1"/>
  <c r="G6" i="8"/>
  <c r="G4" i="11" s="1"/>
  <c r="K30" i="8"/>
  <c r="K37" i="8" s="1"/>
  <c r="K33" i="8"/>
  <c r="K31" i="8"/>
  <c r="K38" i="8" s="1"/>
  <c r="K32" i="8"/>
  <c r="K39" i="8" s="1"/>
  <c r="K34" i="8"/>
  <c r="K62" i="7"/>
  <c r="K63" i="7" s="1"/>
  <c r="E16" i="7"/>
  <c r="E20" i="8" s="1"/>
  <c r="D68" i="7"/>
  <c r="F82" i="7"/>
  <c r="D27" i="7"/>
  <c r="J57" i="7"/>
  <c r="E27" i="7"/>
  <c r="K8" i="7"/>
  <c r="D21" i="7"/>
  <c r="D21" i="8" s="1"/>
  <c r="J30" i="7"/>
  <c r="K57" i="7"/>
  <c r="G82" i="7"/>
  <c r="E21" i="7"/>
  <c r="E21" i="8" s="1"/>
  <c r="E11" i="7"/>
  <c r="D16" i="7"/>
  <c r="D20" i="8" s="1"/>
  <c r="E30" i="7"/>
  <c r="E36" i="7"/>
  <c r="K30" i="7"/>
  <c r="F21" i="7"/>
  <c r="F21" i="8" s="1"/>
  <c r="L30" i="7"/>
  <c r="J16" i="7"/>
  <c r="J20" i="8" s="1"/>
  <c r="L21" i="7"/>
  <c r="I30" i="7"/>
  <c r="D30" i="7"/>
  <c r="E57" i="7"/>
  <c r="H21" i="7"/>
  <c r="H21" i="8" s="1"/>
  <c r="K12" i="7"/>
  <c r="K17" i="7" s="1"/>
  <c r="F68" i="7"/>
  <c r="G68" i="7"/>
  <c r="L8" i="7"/>
  <c r="L11" i="7"/>
  <c r="F30" i="7"/>
  <c r="D12" i="7"/>
  <c r="D17" i="7" s="1"/>
  <c r="B110" i="6" s="1"/>
  <c r="G30" i="7"/>
  <c r="G16" i="7"/>
  <c r="G20" i="8" s="1"/>
  <c r="J8" i="7"/>
  <c r="K16" i="7"/>
  <c r="K20" i="8" s="1"/>
  <c r="H30" i="7"/>
  <c r="F11" i="7"/>
  <c r="I82" i="7"/>
  <c r="D57" i="7"/>
  <c r="E12" i="7"/>
  <c r="E17" i="7" s="1"/>
  <c r="C110" i="6" s="1"/>
  <c r="F57" i="7"/>
  <c r="H11" i="7"/>
  <c r="H57" i="7"/>
  <c r="I68" i="7"/>
  <c r="J82" i="7"/>
  <c r="I11" i="7"/>
  <c r="D36" i="7"/>
  <c r="I57" i="7"/>
  <c r="E68" i="7"/>
  <c r="J68" i="7"/>
  <c r="K82" i="7"/>
  <c r="D11" i="7"/>
  <c r="I36" i="7"/>
  <c r="J11" i="7"/>
  <c r="K68" i="7"/>
  <c r="D82" i="7"/>
  <c r="H82" i="7"/>
  <c r="K11" i="7"/>
  <c r="J27" i="7"/>
  <c r="E82" i="7"/>
  <c r="J21" i="7"/>
  <c r="J21" i="8" s="1"/>
  <c r="K27" i="7"/>
  <c r="H68" i="7"/>
  <c r="E8" i="7"/>
  <c r="E8" i="8" s="1"/>
  <c r="G57" i="7"/>
  <c r="I16" i="7"/>
  <c r="I20" i="8" s="1"/>
  <c r="K21" i="7"/>
  <c r="K21" i="8" s="1"/>
  <c r="L27" i="7"/>
  <c r="K36" i="7"/>
  <c r="H16" i="7"/>
  <c r="H20" i="8" s="1"/>
  <c r="L36" i="7"/>
  <c r="F12" i="7"/>
  <c r="G12" i="7"/>
  <c r="I12" i="7"/>
  <c r="F16" i="7"/>
  <c r="F20" i="8" s="1"/>
  <c r="F27" i="7"/>
  <c r="H27" i="7"/>
  <c r="G8" i="7"/>
  <c r="G8" i="8" s="1"/>
  <c r="L12" i="7"/>
  <c r="I21" i="7"/>
  <c r="I21" i="8" s="1"/>
  <c r="I27" i="7"/>
  <c r="G36" i="7"/>
  <c r="H12" i="7"/>
  <c r="J12" i="7"/>
  <c r="G27" i="7"/>
  <c r="F8" i="7"/>
  <c r="F8" i="8" s="1"/>
  <c r="H8" i="7"/>
  <c r="F36" i="7"/>
  <c r="H36" i="7"/>
  <c r="G11" i="7"/>
  <c r="G21" i="7"/>
  <c r="G21" i="8" s="1"/>
  <c r="I8" i="7"/>
  <c r="J36" i="7"/>
  <c r="H22" i="26" l="1"/>
  <c r="D22" i="26"/>
  <c r="D8" i="26"/>
  <c r="D10" i="26" s="1"/>
  <c r="F21" i="26"/>
  <c r="E22" i="26"/>
  <c r="E6" i="26"/>
  <c r="G21" i="26"/>
  <c r="G22" i="26"/>
  <c r="E21" i="26"/>
  <c r="D21" i="26"/>
  <c r="F22" i="26"/>
  <c r="D28" i="26"/>
  <c r="K28" i="15"/>
  <c r="F23" i="26"/>
  <c r="F11" i="26" s="1"/>
  <c r="F27" i="26" s="1"/>
  <c r="F29" i="26" s="1"/>
  <c r="D23" i="26"/>
  <c r="E23" i="26"/>
  <c r="E11" i="26" s="1"/>
  <c r="E27" i="26" s="1"/>
  <c r="E29" i="26" s="1"/>
  <c r="H23" i="26"/>
  <c r="H11" i="26" s="1"/>
  <c r="H27" i="26" s="1"/>
  <c r="H29" i="26" s="1"/>
  <c r="G23" i="26"/>
  <c r="G11" i="26" s="1"/>
  <c r="G27" i="26" s="1"/>
  <c r="G29" i="26" s="1"/>
  <c r="I69" i="21"/>
  <c r="D12" i="26"/>
  <c r="K10" i="26"/>
  <c r="K12" i="8"/>
  <c r="H12" i="8"/>
  <c r="G86" i="21"/>
  <c r="G89" i="21" s="1"/>
  <c r="G91" i="21" s="1"/>
  <c r="J86" i="21"/>
  <c r="J89" i="21" s="1"/>
  <c r="J91" i="21" s="1"/>
  <c r="F69" i="21"/>
  <c r="I12" i="8"/>
  <c r="E12" i="8"/>
  <c r="K8" i="8"/>
  <c r="G14" i="22"/>
  <c r="H8" i="8"/>
  <c r="D14" i="22"/>
  <c r="H86" i="21"/>
  <c r="H89" i="21" s="1"/>
  <c r="H91" i="21" s="1"/>
  <c r="F12" i="8"/>
  <c r="D86" i="21"/>
  <c r="K110" i="6"/>
  <c r="G31" i="22" s="1"/>
  <c r="I110" i="6"/>
  <c r="E31" i="22" s="1"/>
  <c r="G27" i="22"/>
  <c r="J8" i="8"/>
  <c r="F14" i="22"/>
  <c r="I8" i="8"/>
  <c r="E14" i="22"/>
  <c r="J68" i="23"/>
  <c r="J86" i="23"/>
  <c r="D68" i="23"/>
  <c r="D86" i="23"/>
  <c r="G12" i="8"/>
  <c r="J12" i="8"/>
  <c r="F86" i="23"/>
  <c r="F68" i="23"/>
  <c r="I86" i="23"/>
  <c r="I68" i="23"/>
  <c r="K86" i="21"/>
  <c r="K89" i="21" s="1"/>
  <c r="K91" i="21" s="1"/>
  <c r="E86" i="21"/>
  <c r="E89" i="21" s="1"/>
  <c r="E91" i="21" s="1"/>
  <c r="G68" i="23"/>
  <c r="G86" i="23"/>
  <c r="H86" i="23"/>
  <c r="H68" i="23"/>
  <c r="E86" i="23"/>
  <c r="E68" i="23"/>
  <c r="K86" i="23"/>
  <c r="K68" i="23"/>
  <c r="H40" i="8"/>
  <c r="D70" i="7"/>
  <c r="D43" i="8" s="1"/>
  <c r="F40" i="8"/>
  <c r="D40" i="8"/>
  <c r="I40" i="8"/>
  <c r="G40" i="8"/>
  <c r="E39" i="8"/>
  <c r="N32" i="8"/>
  <c r="M32" i="8"/>
  <c r="K40" i="8"/>
  <c r="M30" i="8"/>
  <c r="E37" i="8"/>
  <c r="N30" i="8"/>
  <c r="M7" i="10"/>
  <c r="M15" i="10"/>
  <c r="M16" i="10" s="1"/>
  <c r="M17" i="10" s="1"/>
  <c r="M18" i="10" s="1"/>
  <c r="M19" i="10" s="1"/>
  <c r="D18" i="7"/>
  <c r="D15" i="8" s="1"/>
  <c r="D7" i="10"/>
  <c r="D17" i="10" s="1"/>
  <c r="E11" i="10"/>
  <c r="E10" i="10"/>
  <c r="E9" i="10"/>
  <c r="E13" i="10"/>
  <c r="E12" i="10"/>
  <c r="E14" i="10"/>
  <c r="C7" i="10"/>
  <c r="C15" i="10"/>
  <c r="C16" i="10" s="1"/>
  <c r="C17" i="10" s="1"/>
  <c r="C18" i="10" s="1"/>
  <c r="C19" i="10" s="1"/>
  <c r="M44" i="8"/>
  <c r="N44" i="8"/>
  <c r="H7" i="10"/>
  <c r="H15" i="10"/>
  <c r="H16" i="10" s="1"/>
  <c r="H17" i="10" s="1"/>
  <c r="H18" i="10" s="1"/>
  <c r="H19" i="10" s="1"/>
  <c r="N21" i="8"/>
  <c r="M21" i="8"/>
  <c r="M42" i="8"/>
  <c r="N42" i="8"/>
  <c r="N20" i="8"/>
  <c r="M20" i="8"/>
  <c r="N33" i="8"/>
  <c r="M33" i="8"/>
  <c r="J40" i="8"/>
  <c r="E23" i="7"/>
  <c r="E9" i="8"/>
  <c r="N34" i="8"/>
  <c r="M34" i="8"/>
  <c r="N31" i="8"/>
  <c r="M31" i="8"/>
  <c r="E38" i="8"/>
  <c r="H70" i="7"/>
  <c r="E70" i="7"/>
  <c r="G70" i="7"/>
  <c r="G43" i="8" s="1"/>
  <c r="F70" i="7"/>
  <c r="F43" i="8" s="1"/>
  <c r="D13" i="7"/>
  <c r="D14" i="8" s="1"/>
  <c r="K13" i="7"/>
  <c r="K14" i="8" s="1"/>
  <c r="E18" i="7"/>
  <c r="E15" i="8" s="1"/>
  <c r="D23" i="7"/>
  <c r="K70" i="7"/>
  <c r="J70" i="7"/>
  <c r="E13" i="7"/>
  <c r="E14" i="8" s="1"/>
  <c r="I70" i="7"/>
  <c r="K18" i="7"/>
  <c r="K23" i="7"/>
  <c r="H13" i="7"/>
  <c r="H17" i="7"/>
  <c r="L17" i="7"/>
  <c r="J110" i="6" s="1"/>
  <c r="F31" i="22" s="1"/>
  <c r="L13" i="7"/>
  <c r="I17" i="7"/>
  <c r="I13" i="7"/>
  <c r="F13" i="7"/>
  <c r="F14" i="8" s="1"/>
  <c r="F17" i="7"/>
  <c r="G17" i="7"/>
  <c r="G13" i="7"/>
  <c r="J13" i="7"/>
  <c r="J17" i="7"/>
  <c r="E7" i="26" l="1"/>
  <c r="E8" i="26" s="1"/>
  <c r="E28" i="26"/>
  <c r="E9" i="26"/>
  <c r="F6" i="26"/>
  <c r="F28" i="26" s="1"/>
  <c r="K27" i="26"/>
  <c r="E34" i="26" s="1"/>
  <c r="E38" i="26" s="1"/>
  <c r="K26" i="26"/>
  <c r="E33" i="26" s="1"/>
  <c r="F33" i="26" s="1"/>
  <c r="D14" i="26"/>
  <c r="D16" i="26" s="1"/>
  <c r="D26" i="26" s="1"/>
  <c r="D30" i="26" s="1"/>
  <c r="D16" i="10"/>
  <c r="E17" i="10" s="1"/>
  <c r="M12" i="8"/>
  <c r="N8" i="8"/>
  <c r="N12" i="8"/>
  <c r="D15" i="10"/>
  <c r="E15" i="10" s="1"/>
  <c r="G9" i="8"/>
  <c r="E110" i="6"/>
  <c r="F9" i="8"/>
  <c r="D110" i="6"/>
  <c r="I14" i="8"/>
  <c r="F15" i="22"/>
  <c r="D89" i="21"/>
  <c r="D91" i="21" s="1"/>
  <c r="F110" i="6"/>
  <c r="D27" i="22"/>
  <c r="H14" i="8"/>
  <c r="E15" i="22"/>
  <c r="H110" i="6"/>
  <c r="D31" i="22" s="1"/>
  <c r="F27" i="22"/>
  <c r="M8" i="8"/>
  <c r="G110" i="6"/>
  <c r="E27" i="22"/>
  <c r="J14" i="8"/>
  <c r="G15" i="22"/>
  <c r="K15" i="8"/>
  <c r="G16" i="22"/>
  <c r="G14" i="8"/>
  <c r="D15" i="22"/>
  <c r="I80" i="23"/>
  <c r="I74" i="23"/>
  <c r="F80" i="23"/>
  <c r="F74" i="23"/>
  <c r="E80" i="23"/>
  <c r="E74" i="23"/>
  <c r="H80" i="23"/>
  <c r="H74" i="23"/>
  <c r="K80" i="23"/>
  <c r="K74" i="23"/>
  <c r="D80" i="23"/>
  <c r="D74" i="23"/>
  <c r="H9" i="8"/>
  <c r="G80" i="23"/>
  <c r="G74" i="23"/>
  <c r="J80" i="23"/>
  <c r="J74" i="23"/>
  <c r="J9" i="8"/>
  <c r="D19" i="10"/>
  <c r="D72" i="7"/>
  <c r="D18" i="10"/>
  <c r="E18" i="10" s="1"/>
  <c r="E8" i="10"/>
  <c r="G72" i="7"/>
  <c r="I72" i="7"/>
  <c r="I43" i="8"/>
  <c r="K38" i="15"/>
  <c r="K40" i="15" s="1"/>
  <c r="D6" i="16"/>
  <c r="K24" i="8"/>
  <c r="K28" i="8"/>
  <c r="E72" i="7"/>
  <c r="E43" i="8"/>
  <c r="K9" i="8"/>
  <c r="K72" i="7"/>
  <c r="K43" i="8"/>
  <c r="I7" i="10" a="1"/>
  <c r="E38" i="15"/>
  <c r="E40" i="15" s="1"/>
  <c r="E28" i="8"/>
  <c r="E10" i="8"/>
  <c r="E24" i="8"/>
  <c r="J72" i="7"/>
  <c r="J43" i="8"/>
  <c r="D32" i="7"/>
  <c r="D38" i="15"/>
  <c r="D40" i="15" s="1"/>
  <c r="D29" i="15" s="1"/>
  <c r="D31" i="15" s="1"/>
  <c r="D28" i="8"/>
  <c r="D24" i="8"/>
  <c r="M38" i="8"/>
  <c r="N38" i="8"/>
  <c r="E40" i="8"/>
  <c r="H72" i="7"/>
  <c r="H43" i="8"/>
  <c r="E32" i="7"/>
  <c r="N37" i="8"/>
  <c r="M37" i="8"/>
  <c r="E24" i="7"/>
  <c r="E16" i="8" s="1"/>
  <c r="I9" i="8"/>
  <c r="F72" i="7"/>
  <c r="N39" i="8"/>
  <c r="M39" i="8"/>
  <c r="D24" i="7"/>
  <c r="D16" i="8" s="1"/>
  <c r="I18" i="7"/>
  <c r="I23" i="7"/>
  <c r="F18" i="7"/>
  <c r="F15" i="8" s="1"/>
  <c r="F23" i="7"/>
  <c r="L23" i="7"/>
  <c r="L18" i="7"/>
  <c r="J18" i="7"/>
  <c r="J23" i="7"/>
  <c r="K10" i="8" s="1"/>
  <c r="K24" i="7"/>
  <c r="K32" i="7"/>
  <c r="H23" i="7"/>
  <c r="H18" i="7"/>
  <c r="G23" i="7"/>
  <c r="G18" i="7"/>
  <c r="G15" i="8" s="1"/>
  <c r="E10" i="26" l="1"/>
  <c r="E12" i="26" s="1"/>
  <c r="F9" i="26"/>
  <c r="F7" i="26"/>
  <c r="F8" i="26" s="1"/>
  <c r="G6" i="26"/>
  <c r="G28" i="26" s="1"/>
  <c r="G33" i="26"/>
  <c r="H33" i="26" s="1"/>
  <c r="K28" i="26"/>
  <c r="M14" i="8"/>
  <c r="E16" i="10"/>
  <c r="K16" i="8"/>
  <c r="G17" i="22"/>
  <c r="I15" i="8"/>
  <c r="E16" i="22"/>
  <c r="N14" i="8"/>
  <c r="J15" i="8"/>
  <c r="F16" i="22"/>
  <c r="H15" i="8"/>
  <c r="D16" i="22"/>
  <c r="D38" i="7"/>
  <c r="D39" i="7" s="1"/>
  <c r="D18" i="8" s="1"/>
  <c r="D69" i="23"/>
  <c r="D71" i="23" s="1"/>
  <c r="E38" i="7"/>
  <c r="E57" i="21" s="1"/>
  <c r="E59" i="21" s="1"/>
  <c r="E69" i="23"/>
  <c r="E71" i="23" s="1"/>
  <c r="K38" i="7"/>
  <c r="K57" i="21" s="1"/>
  <c r="K59" i="21" s="1"/>
  <c r="K69" i="23"/>
  <c r="K71" i="23" s="1"/>
  <c r="E19" i="10"/>
  <c r="N9" i="8"/>
  <c r="F38" i="15"/>
  <c r="F40" i="15" s="1"/>
  <c r="F28" i="8"/>
  <c r="F10" i="8"/>
  <c r="F24" i="8"/>
  <c r="G38" i="15"/>
  <c r="G40" i="15" s="1"/>
  <c r="G28" i="8"/>
  <c r="G24" i="8"/>
  <c r="G10" i="8"/>
  <c r="M43" i="8"/>
  <c r="N43" i="8"/>
  <c r="I38" i="15"/>
  <c r="I40" i="15" s="1"/>
  <c r="I28" i="8"/>
  <c r="I24" i="8"/>
  <c r="I10" i="8"/>
  <c r="J38" i="15"/>
  <c r="J40" i="15" s="1"/>
  <c r="J28" i="8"/>
  <c r="J10" i="8"/>
  <c r="J24" i="8"/>
  <c r="M40" i="8"/>
  <c r="N40" i="8"/>
  <c r="K29" i="15"/>
  <c r="K31" i="15" s="1"/>
  <c r="K51" i="15" s="1"/>
  <c r="K44" i="15"/>
  <c r="K50" i="15" s="1"/>
  <c r="M9" i="8"/>
  <c r="E6" i="16"/>
  <c r="D8" i="16"/>
  <c r="I7" i="10"/>
  <c r="I19" i="10" s="1"/>
  <c r="J13" i="10"/>
  <c r="J12" i="10"/>
  <c r="J11" i="10"/>
  <c r="J10" i="10"/>
  <c r="J9" i="10"/>
  <c r="J14" i="10"/>
  <c r="H38" i="15"/>
  <c r="H40" i="15" s="1"/>
  <c r="H28" i="8"/>
  <c r="H24" i="8"/>
  <c r="H10" i="8"/>
  <c r="E29" i="15"/>
  <c r="E31" i="15" s="1"/>
  <c r="E51" i="15" s="1"/>
  <c r="E44" i="15"/>
  <c r="E50" i="15" s="1"/>
  <c r="D33" i="7"/>
  <c r="D17" i="8" s="1"/>
  <c r="D22" i="8" s="1"/>
  <c r="E33" i="7"/>
  <c r="E17" i="8" s="1"/>
  <c r="J24" i="7"/>
  <c r="J32" i="7"/>
  <c r="L24" i="7"/>
  <c r="L32" i="7"/>
  <c r="L38" i="7" s="1"/>
  <c r="G24" i="7"/>
  <c r="G16" i="8" s="1"/>
  <c r="G32" i="7"/>
  <c r="F24" i="7"/>
  <c r="F16" i="8" s="1"/>
  <c r="F32" i="7"/>
  <c r="H32" i="7"/>
  <c r="H24" i="7"/>
  <c r="K33" i="7"/>
  <c r="K17" i="8" s="1"/>
  <c r="K22" i="8" s="1"/>
  <c r="I32" i="7"/>
  <c r="I24" i="7"/>
  <c r="G9" i="26" l="1"/>
  <c r="G7" i="26"/>
  <c r="G8" i="26" s="1"/>
  <c r="H6" i="26"/>
  <c r="H28" i="26" s="1"/>
  <c r="F10" i="26"/>
  <c r="F12" i="26" s="1"/>
  <c r="M15" i="8"/>
  <c r="E37" i="26"/>
  <c r="E13" i="26" s="1"/>
  <c r="K26" i="8"/>
  <c r="K63" i="21"/>
  <c r="K79" i="21" s="1"/>
  <c r="N15" i="8"/>
  <c r="E39" i="7"/>
  <c r="E18" i="8" s="1"/>
  <c r="E43" i="7"/>
  <c r="E47" i="7" s="1"/>
  <c r="E63" i="21"/>
  <c r="E65" i="21" s="1"/>
  <c r="E75" i="21" s="1"/>
  <c r="E26" i="8"/>
  <c r="E11" i="8"/>
  <c r="D57" i="21"/>
  <c r="D59" i="21" s="1"/>
  <c r="J16" i="8"/>
  <c r="F17" i="22"/>
  <c r="D26" i="8"/>
  <c r="D43" i="7"/>
  <c r="H16" i="8"/>
  <c r="D17" i="22"/>
  <c r="I16" i="8"/>
  <c r="E17" i="22"/>
  <c r="K52" i="15"/>
  <c r="H38" i="7"/>
  <c r="H57" i="21" s="1"/>
  <c r="H59" i="21" s="1"/>
  <c r="H69" i="23"/>
  <c r="H71" i="23" s="1"/>
  <c r="F38" i="7"/>
  <c r="F57" i="21" s="1"/>
  <c r="F63" i="21" s="1"/>
  <c r="F69" i="23"/>
  <c r="F71" i="23" s="1"/>
  <c r="I38" i="7"/>
  <c r="I57" i="21" s="1"/>
  <c r="I63" i="21" s="1"/>
  <c r="I69" i="23"/>
  <c r="I71" i="23" s="1"/>
  <c r="G38" i="7"/>
  <c r="G57" i="21" s="1"/>
  <c r="G59" i="21" s="1"/>
  <c r="G69" i="23"/>
  <c r="G71" i="23" s="1"/>
  <c r="J38" i="7"/>
  <c r="J26" i="8" s="1"/>
  <c r="J69" i="23"/>
  <c r="J71" i="23" s="1"/>
  <c r="M24" i="8"/>
  <c r="E52" i="15"/>
  <c r="N24" i="8"/>
  <c r="M10" i="8"/>
  <c r="M28" i="8"/>
  <c r="J29" i="15"/>
  <c r="J31" i="15" s="1"/>
  <c r="J51" i="15" s="1"/>
  <c r="J44" i="15"/>
  <c r="J50" i="15" s="1"/>
  <c r="F6" i="16"/>
  <c r="E8" i="16"/>
  <c r="G29" i="15"/>
  <c r="G31" i="15" s="1"/>
  <c r="G51" i="15" s="1"/>
  <c r="G44" i="15"/>
  <c r="G50" i="15" s="1"/>
  <c r="I17" i="10"/>
  <c r="J8" i="10"/>
  <c r="E22" i="8"/>
  <c r="I15" i="10"/>
  <c r="N10" i="8"/>
  <c r="I29" i="15"/>
  <c r="I31" i="15" s="1"/>
  <c r="I51" i="15" s="1"/>
  <c r="I44" i="15"/>
  <c r="I50" i="15" s="1"/>
  <c r="N28" i="8"/>
  <c r="I18" i="10"/>
  <c r="I16" i="10"/>
  <c r="H29" i="15"/>
  <c r="H31" i="15" s="1"/>
  <c r="H51" i="15" s="1"/>
  <c r="H44" i="15"/>
  <c r="F29" i="15"/>
  <c r="F31" i="15" s="1"/>
  <c r="F51" i="15" s="1"/>
  <c r="F44" i="15"/>
  <c r="F50" i="15" s="1"/>
  <c r="H33" i="7"/>
  <c r="H17" i="8" s="1"/>
  <c r="H22" i="8" s="1"/>
  <c r="G33" i="7"/>
  <c r="G17" i="8" s="1"/>
  <c r="G22" i="8" s="1"/>
  <c r="J33" i="7"/>
  <c r="J17" i="8" s="1"/>
  <c r="J22" i="8" s="1"/>
  <c r="F33" i="7"/>
  <c r="F17" i="8" s="1"/>
  <c r="F22" i="8" s="1"/>
  <c r="I33" i="7"/>
  <c r="I17" i="8" s="1"/>
  <c r="I22" i="8" s="1"/>
  <c r="L39" i="7"/>
  <c r="L33" i="7"/>
  <c r="K43" i="7"/>
  <c r="K39" i="7"/>
  <c r="I52" i="15" l="1"/>
  <c r="G10" i="26"/>
  <c r="G12" i="26" s="1"/>
  <c r="H9" i="26"/>
  <c r="H7" i="26"/>
  <c r="H8" i="26" s="1"/>
  <c r="E79" i="21"/>
  <c r="E85" i="21" s="1"/>
  <c r="E87" i="21" s="1"/>
  <c r="E93" i="21" s="1"/>
  <c r="E14" i="26"/>
  <c r="N16" i="8"/>
  <c r="E44" i="7"/>
  <c r="K65" i="21"/>
  <c r="K75" i="21" s="1"/>
  <c r="F37" i="26"/>
  <c r="D47" i="7"/>
  <c r="D49" i="7" s="1"/>
  <c r="H63" i="21"/>
  <c r="H65" i="21" s="1"/>
  <c r="H75" i="21" s="1"/>
  <c r="F59" i="21"/>
  <c r="G52" i="15"/>
  <c r="I59" i="21"/>
  <c r="D63" i="21"/>
  <c r="D79" i="21" s="1"/>
  <c r="F52" i="15"/>
  <c r="I26" i="8"/>
  <c r="F26" i="8"/>
  <c r="F11" i="8"/>
  <c r="H26" i="8"/>
  <c r="M16" i="8"/>
  <c r="K18" i="8"/>
  <c r="G18" i="22"/>
  <c r="G19" i="22"/>
  <c r="G26" i="22"/>
  <c r="J57" i="21"/>
  <c r="J63" i="21" s="1"/>
  <c r="K11" i="8"/>
  <c r="H11" i="8"/>
  <c r="G63" i="21"/>
  <c r="G65" i="21" s="1"/>
  <c r="G75" i="21" s="1"/>
  <c r="G26" i="8"/>
  <c r="G11" i="8"/>
  <c r="I11" i="8"/>
  <c r="J11" i="8"/>
  <c r="I79" i="21"/>
  <c r="I65" i="21"/>
  <c r="I75" i="21" s="1"/>
  <c r="K85" i="21"/>
  <c r="K87" i="21" s="1"/>
  <c r="K93" i="21" s="1"/>
  <c r="K81" i="21"/>
  <c r="F79" i="21"/>
  <c r="F65" i="21"/>
  <c r="F75" i="21" s="1"/>
  <c r="J52" i="15"/>
  <c r="J17" i="10"/>
  <c r="G6" i="16"/>
  <c r="F8" i="16"/>
  <c r="N17" i="8"/>
  <c r="H50" i="15"/>
  <c r="H52" i="15" s="1"/>
  <c r="K46" i="15"/>
  <c r="K45" i="15"/>
  <c r="D9" i="16" s="1"/>
  <c r="J18" i="10"/>
  <c r="J16" i="10"/>
  <c r="J15" i="10"/>
  <c r="M17" i="8"/>
  <c r="N22" i="8"/>
  <c r="M22" i="8"/>
  <c r="J19" i="10"/>
  <c r="H39" i="7"/>
  <c r="H43" i="7"/>
  <c r="F43" i="7"/>
  <c r="F39" i="7"/>
  <c r="F18" i="8" s="1"/>
  <c r="E49" i="7"/>
  <c r="K47" i="7"/>
  <c r="G21" i="22" s="1"/>
  <c r="J39" i="7"/>
  <c r="J43" i="7"/>
  <c r="I43" i="7"/>
  <c r="I39" i="7"/>
  <c r="G39" i="7"/>
  <c r="G18" i="8" s="1"/>
  <c r="G43" i="7"/>
  <c r="H10" i="26" l="1"/>
  <c r="H12" i="26" s="1"/>
  <c r="E81" i="21"/>
  <c r="E15" i="26"/>
  <c r="J59" i="21"/>
  <c r="D65" i="21"/>
  <c r="D75" i="21" s="1"/>
  <c r="G37" i="26"/>
  <c r="H79" i="21"/>
  <c r="H81" i="21" s="1"/>
  <c r="N26" i="8"/>
  <c r="D19" i="22"/>
  <c r="D26" i="22"/>
  <c r="M26" i="8"/>
  <c r="H18" i="8"/>
  <c r="D18" i="22"/>
  <c r="E19" i="22"/>
  <c r="E26" i="22"/>
  <c r="G79" i="21"/>
  <c r="G85" i="21" s="1"/>
  <c r="G87" i="21" s="1"/>
  <c r="G93" i="21" s="1"/>
  <c r="F26" i="22"/>
  <c r="F19" i="22"/>
  <c r="J18" i="8"/>
  <c r="F18" i="22"/>
  <c r="M11" i="8"/>
  <c r="I18" i="8"/>
  <c r="E18" i="22"/>
  <c r="N11" i="8"/>
  <c r="D25" i="8"/>
  <c r="D27" i="8" s="1"/>
  <c r="D63" i="23"/>
  <c r="D65" i="23" s="1"/>
  <c r="D87" i="23" s="1"/>
  <c r="D88" i="23" s="1"/>
  <c r="E25" i="8"/>
  <c r="E27" i="8" s="1"/>
  <c r="E63" i="23"/>
  <c r="E65" i="23" s="1"/>
  <c r="E87" i="23" s="1"/>
  <c r="E88" i="23" s="1"/>
  <c r="F81" i="21"/>
  <c r="F85" i="21"/>
  <c r="F87" i="21" s="1"/>
  <c r="F93" i="21" s="1"/>
  <c r="D85" i="21"/>
  <c r="D87" i="21" s="1"/>
  <c r="D93" i="21" s="1"/>
  <c r="D81" i="21"/>
  <c r="J79" i="21"/>
  <c r="J65" i="21"/>
  <c r="J75" i="21" s="1"/>
  <c r="I85" i="21"/>
  <c r="I87" i="21" s="1"/>
  <c r="I93" i="21" s="1"/>
  <c r="I81" i="21"/>
  <c r="N7" i="10" a="1"/>
  <c r="K54" i="15"/>
  <c r="K53" i="15"/>
  <c r="H6" i="16"/>
  <c r="G8" i="16"/>
  <c r="E9" i="16"/>
  <c r="D10" i="16"/>
  <c r="J44" i="7"/>
  <c r="F20" i="22" s="1"/>
  <c r="J47" i="7"/>
  <c r="F21" i="22" s="1"/>
  <c r="I47" i="7"/>
  <c r="E21" i="22" s="1"/>
  <c r="I44" i="7"/>
  <c r="E20" i="22" s="1"/>
  <c r="K49" i="7"/>
  <c r="K44" i="7"/>
  <c r="G20" i="22" s="1"/>
  <c r="G44" i="7"/>
  <c r="G47" i="7"/>
  <c r="F44" i="7"/>
  <c r="F47" i="7"/>
  <c r="H47" i="7"/>
  <c r="D21" i="22" s="1"/>
  <c r="H44" i="7"/>
  <c r="D20" i="22" s="1"/>
  <c r="E16" i="26" l="1"/>
  <c r="E26" i="26" s="1"/>
  <c r="H37" i="26"/>
  <c r="D45" i="26" s="1"/>
  <c r="H85" i="21"/>
  <c r="H87" i="21" s="1"/>
  <c r="H93" i="21" s="1"/>
  <c r="N18" i="8"/>
  <c r="M18" i="8"/>
  <c r="G81" i="21"/>
  <c r="K25" i="8"/>
  <c r="K27" i="8" s="1"/>
  <c r="K63" i="23"/>
  <c r="K65" i="23" s="1"/>
  <c r="K87" i="23" s="1"/>
  <c r="K88" i="23" s="1"/>
  <c r="J81" i="21"/>
  <c r="J85" i="21"/>
  <c r="J87" i="21" s="1"/>
  <c r="J93" i="21" s="1"/>
  <c r="H8" i="16"/>
  <c r="I6" i="16"/>
  <c r="N7" i="10"/>
  <c r="N17" i="10" s="1"/>
  <c r="O10" i="10"/>
  <c r="O9" i="10"/>
  <c r="O11" i="10"/>
  <c r="O13" i="10"/>
  <c r="O14" i="10"/>
  <c r="O12" i="10"/>
  <c r="F9" i="16"/>
  <c r="E10" i="16"/>
  <c r="E14" i="16" s="1"/>
  <c r="I49" i="7"/>
  <c r="H49" i="7"/>
  <c r="F49" i="7"/>
  <c r="G49" i="7"/>
  <c r="J49" i="7"/>
  <c r="C6" i="3"/>
  <c r="D6" i="3"/>
  <c r="E6" i="3"/>
  <c r="F6" i="3"/>
  <c r="G6" i="3"/>
  <c r="H6" i="3"/>
  <c r="I6" i="3"/>
  <c r="J6" i="3"/>
  <c r="K6" i="3"/>
  <c r="B6" i="3"/>
  <c r="C5" i="1"/>
  <c r="D5" i="1"/>
  <c r="E5" i="1"/>
  <c r="F5" i="1"/>
  <c r="G5" i="1"/>
  <c r="H5" i="1"/>
  <c r="I5" i="1"/>
  <c r="J5" i="1"/>
  <c r="K5" i="1"/>
  <c r="B5" i="1"/>
  <c r="B6" i="6"/>
  <c r="C17" i="2"/>
  <c r="D17" i="2"/>
  <c r="E17" i="2"/>
  <c r="F17" i="2"/>
  <c r="G17" i="2"/>
  <c r="H17" i="2"/>
  <c r="I17" i="2"/>
  <c r="J17" i="2"/>
  <c r="K17" i="2"/>
  <c r="C18" i="2"/>
  <c r="D18" i="2"/>
  <c r="E18" i="2"/>
  <c r="F18" i="2"/>
  <c r="G18" i="2"/>
  <c r="H18" i="2"/>
  <c r="I18" i="2"/>
  <c r="J18" i="2"/>
  <c r="K18" i="2"/>
  <c r="B17" i="2"/>
  <c r="C4" i="2"/>
  <c r="D4" i="2"/>
  <c r="E4" i="2"/>
  <c r="E5" i="2"/>
  <c r="F4" i="2"/>
  <c r="G4" i="2"/>
  <c r="H4" i="2"/>
  <c r="I4" i="2"/>
  <c r="I5" i="2"/>
  <c r="J4" i="2"/>
  <c r="J5" i="2"/>
  <c r="K4" i="2"/>
  <c r="C5" i="2"/>
  <c r="D5" i="2"/>
  <c r="F5" i="2"/>
  <c r="G5" i="2"/>
  <c r="H5" i="2"/>
  <c r="K5" i="2"/>
  <c r="C6" i="2"/>
  <c r="D6" i="2"/>
  <c r="E6" i="2"/>
  <c r="F6" i="2"/>
  <c r="G6" i="2"/>
  <c r="H6" i="2"/>
  <c r="I6" i="2"/>
  <c r="J6" i="2"/>
  <c r="K6" i="2"/>
  <c r="C7" i="2"/>
  <c r="D7" i="2"/>
  <c r="E7" i="2"/>
  <c r="F7" i="2"/>
  <c r="G7" i="2"/>
  <c r="H7" i="2"/>
  <c r="I7" i="2"/>
  <c r="J7" i="2"/>
  <c r="K7" i="2"/>
  <c r="C8" i="2"/>
  <c r="D8" i="2"/>
  <c r="E8" i="2"/>
  <c r="F8" i="2"/>
  <c r="G8" i="2"/>
  <c r="H8" i="2"/>
  <c r="I8" i="2"/>
  <c r="J8" i="2"/>
  <c r="K8" i="2"/>
  <c r="C10" i="2"/>
  <c r="D10" i="2"/>
  <c r="E10" i="2"/>
  <c r="F10" i="2"/>
  <c r="G10" i="2"/>
  <c r="H10" i="2"/>
  <c r="I10" i="2"/>
  <c r="J10" i="2"/>
  <c r="K10" i="2"/>
  <c r="C11" i="2"/>
  <c r="D11" i="2"/>
  <c r="E11" i="2"/>
  <c r="F11" i="2"/>
  <c r="G11" i="2"/>
  <c r="H11" i="2"/>
  <c r="I11" i="2"/>
  <c r="J11" i="2"/>
  <c r="K11" i="2"/>
  <c r="C12" i="2"/>
  <c r="D12" i="2"/>
  <c r="E12" i="2"/>
  <c r="F12" i="2"/>
  <c r="G12" i="2"/>
  <c r="H12" i="2"/>
  <c r="I12" i="2"/>
  <c r="J12" i="2"/>
  <c r="K12" i="2"/>
  <c r="C13" i="2"/>
  <c r="D13" i="2"/>
  <c r="E13" i="2"/>
  <c r="F13" i="2"/>
  <c r="G13" i="2"/>
  <c r="H13" i="2"/>
  <c r="I13" i="2"/>
  <c r="J13" i="2"/>
  <c r="K13" i="2"/>
  <c r="C14" i="2"/>
  <c r="D14" i="2"/>
  <c r="E14" i="2"/>
  <c r="F14" i="2"/>
  <c r="G14" i="2"/>
  <c r="H14" i="2"/>
  <c r="I14" i="2"/>
  <c r="J14" i="2"/>
  <c r="K14" i="2"/>
  <c r="B14" i="2"/>
  <c r="B5" i="2"/>
  <c r="B4" i="2"/>
  <c r="C4" i="4"/>
  <c r="D4" i="4"/>
  <c r="E4" i="4"/>
  <c r="F4" i="4"/>
  <c r="G4" i="4"/>
  <c r="H4" i="4"/>
  <c r="I4" i="4"/>
  <c r="J4" i="4"/>
  <c r="K4" i="4"/>
  <c r="C5" i="4"/>
  <c r="D5" i="4"/>
  <c r="E5" i="4"/>
  <c r="F5" i="4"/>
  <c r="G5" i="4"/>
  <c r="H5" i="4"/>
  <c r="I5" i="4"/>
  <c r="J5" i="4"/>
  <c r="K5" i="4"/>
  <c r="C6" i="4"/>
  <c r="D6" i="4"/>
  <c r="E6" i="4"/>
  <c r="F6" i="4"/>
  <c r="G6" i="4"/>
  <c r="H6" i="4"/>
  <c r="I6" i="4"/>
  <c r="J6" i="4"/>
  <c r="K6" i="4"/>
  <c r="C7" i="4"/>
  <c r="D7" i="4"/>
  <c r="E7" i="4"/>
  <c r="F7" i="4"/>
  <c r="G7" i="4"/>
  <c r="H7" i="4"/>
  <c r="I7" i="4"/>
  <c r="J7" i="4"/>
  <c r="K7" i="4"/>
  <c r="C4" i="3"/>
  <c r="D4" i="3"/>
  <c r="E4" i="3"/>
  <c r="F4" i="3"/>
  <c r="G4" i="3"/>
  <c r="H4" i="3"/>
  <c r="I4" i="3"/>
  <c r="J4" i="3"/>
  <c r="K4" i="3"/>
  <c r="C5" i="3"/>
  <c r="D5" i="3"/>
  <c r="E5" i="3"/>
  <c r="F5" i="3"/>
  <c r="G5" i="3"/>
  <c r="H5" i="3"/>
  <c r="I5" i="3"/>
  <c r="J5" i="3"/>
  <c r="K5" i="3"/>
  <c r="C7" i="3"/>
  <c r="D7" i="3"/>
  <c r="E7" i="3"/>
  <c r="F7" i="3"/>
  <c r="G7" i="3"/>
  <c r="H7" i="3"/>
  <c r="I7" i="3"/>
  <c r="J7" i="3"/>
  <c r="K7" i="3"/>
  <c r="C8" i="3"/>
  <c r="D8" i="3"/>
  <c r="E8" i="3"/>
  <c r="F8" i="3"/>
  <c r="G8" i="3"/>
  <c r="H8" i="3"/>
  <c r="I8" i="3"/>
  <c r="J8" i="3"/>
  <c r="K8" i="3"/>
  <c r="C9" i="3"/>
  <c r="D9" i="3"/>
  <c r="E9" i="3"/>
  <c r="F9" i="3"/>
  <c r="G9" i="3"/>
  <c r="H9" i="3"/>
  <c r="I9" i="3"/>
  <c r="J9" i="3"/>
  <c r="K9" i="3"/>
  <c r="C10" i="3"/>
  <c r="D10" i="3"/>
  <c r="E10" i="3"/>
  <c r="F10" i="3"/>
  <c r="G10" i="3"/>
  <c r="H10" i="3"/>
  <c r="I10" i="3"/>
  <c r="J10" i="3"/>
  <c r="K10" i="3"/>
  <c r="C11" i="3"/>
  <c r="D11" i="3"/>
  <c r="E11" i="3"/>
  <c r="F11" i="3"/>
  <c r="G11" i="3"/>
  <c r="H11" i="3"/>
  <c r="I11" i="3"/>
  <c r="J11" i="3"/>
  <c r="K11" i="3"/>
  <c r="C12" i="3"/>
  <c r="D12" i="3"/>
  <c r="E12" i="3"/>
  <c r="F12" i="3"/>
  <c r="G12" i="3"/>
  <c r="H12" i="3"/>
  <c r="I12" i="3"/>
  <c r="J12" i="3"/>
  <c r="K12" i="3"/>
  <c r="B5" i="3"/>
  <c r="C18" i="1"/>
  <c r="D18" i="1"/>
  <c r="E18" i="1"/>
  <c r="F18" i="1"/>
  <c r="G18" i="1"/>
  <c r="H18" i="1"/>
  <c r="I18" i="1"/>
  <c r="J18" i="1"/>
  <c r="K18" i="1"/>
  <c r="B18" i="1"/>
  <c r="C4" i="1"/>
  <c r="D4" i="1"/>
  <c r="E4" i="1"/>
  <c r="F4" i="1"/>
  <c r="G4" i="1"/>
  <c r="H4" i="1"/>
  <c r="I4" i="1"/>
  <c r="J4" i="1"/>
  <c r="K4" i="1"/>
  <c r="C7" i="1"/>
  <c r="D7" i="1"/>
  <c r="E7" i="1"/>
  <c r="F7" i="1"/>
  <c r="G7" i="1"/>
  <c r="H7" i="1"/>
  <c r="I7" i="1"/>
  <c r="J7" i="1"/>
  <c r="K7" i="1"/>
  <c r="C8" i="1"/>
  <c r="D8" i="1"/>
  <c r="E8" i="1"/>
  <c r="F8" i="1"/>
  <c r="G8" i="1"/>
  <c r="H8" i="1"/>
  <c r="I8" i="1"/>
  <c r="J8" i="1"/>
  <c r="K8" i="1"/>
  <c r="C9" i="1"/>
  <c r="D9" i="1"/>
  <c r="E9" i="1"/>
  <c r="F9" i="1"/>
  <c r="G9" i="1"/>
  <c r="H9" i="1"/>
  <c r="I9" i="1"/>
  <c r="J9" i="1"/>
  <c r="K9" i="1"/>
  <c r="C10" i="1"/>
  <c r="D10" i="1"/>
  <c r="E10" i="1"/>
  <c r="F10" i="1"/>
  <c r="G10" i="1"/>
  <c r="H10" i="1"/>
  <c r="I10" i="1"/>
  <c r="J10" i="1"/>
  <c r="K10" i="1"/>
  <c r="C11" i="1"/>
  <c r="D11" i="1"/>
  <c r="E11" i="1"/>
  <c r="F11" i="1"/>
  <c r="G11" i="1"/>
  <c r="H11" i="1"/>
  <c r="I11" i="1"/>
  <c r="J11" i="1"/>
  <c r="K11" i="1"/>
  <c r="C12" i="1"/>
  <c r="C13" i="1" s="1"/>
  <c r="D12" i="1"/>
  <c r="E12" i="1"/>
  <c r="F12" i="1"/>
  <c r="F13" i="1" s="1"/>
  <c r="G12" i="1"/>
  <c r="G13" i="1" s="1"/>
  <c r="H12" i="1"/>
  <c r="H13" i="1" s="1"/>
  <c r="I12" i="1"/>
  <c r="J12" i="1"/>
  <c r="J13" i="1" s="1"/>
  <c r="K12" i="1"/>
  <c r="C15" i="1"/>
  <c r="D15" i="1"/>
  <c r="E15" i="1"/>
  <c r="F15" i="1"/>
  <c r="G15" i="1"/>
  <c r="H15" i="1"/>
  <c r="I15" i="1"/>
  <c r="J15" i="1"/>
  <c r="K15" i="1"/>
  <c r="B15" i="1"/>
  <c r="B7" i="1"/>
  <c r="B4" i="1"/>
  <c r="A1" i="1"/>
  <c r="A1" i="3" s="1"/>
  <c r="E1" i="6"/>
  <c r="H1" i="1" s="1"/>
  <c r="C3" i="4"/>
  <c r="D3" i="4"/>
  <c r="E3" i="4"/>
  <c r="F3" i="4"/>
  <c r="G3" i="4"/>
  <c r="H3" i="4"/>
  <c r="I3" i="4"/>
  <c r="J3" i="4"/>
  <c r="K3" i="4"/>
  <c r="C3" i="2"/>
  <c r="D3" i="2"/>
  <c r="E3" i="2"/>
  <c r="F3" i="2"/>
  <c r="G3" i="2"/>
  <c r="H3" i="2"/>
  <c r="I3" i="2"/>
  <c r="J3" i="2"/>
  <c r="K3" i="2"/>
  <c r="C3" i="3"/>
  <c r="D3" i="3"/>
  <c r="E3" i="3"/>
  <c r="F3" i="3"/>
  <c r="G3" i="3"/>
  <c r="H3" i="3"/>
  <c r="I3" i="3"/>
  <c r="J3" i="3"/>
  <c r="K3" i="3"/>
  <c r="C3" i="1"/>
  <c r="D3" i="1"/>
  <c r="E3" i="1"/>
  <c r="F3" i="1"/>
  <c r="G3" i="1"/>
  <c r="H3" i="1"/>
  <c r="I3" i="1"/>
  <c r="J3" i="1"/>
  <c r="K3" i="1"/>
  <c r="B7" i="4"/>
  <c r="B6" i="4"/>
  <c r="B5" i="4"/>
  <c r="B4" i="4"/>
  <c r="B3" i="4"/>
  <c r="B18" i="2"/>
  <c r="B13" i="2"/>
  <c r="B12" i="2"/>
  <c r="B11" i="2"/>
  <c r="B10" i="2"/>
  <c r="B8" i="2"/>
  <c r="B7" i="2"/>
  <c r="B6" i="2"/>
  <c r="B3" i="2"/>
  <c r="B12" i="3"/>
  <c r="B11" i="3"/>
  <c r="B10" i="3"/>
  <c r="B9" i="3"/>
  <c r="B8" i="3"/>
  <c r="B7" i="3"/>
  <c r="B4" i="3"/>
  <c r="B3" i="3"/>
  <c r="L15" i="1"/>
  <c r="B12" i="1"/>
  <c r="B13" i="1" s="1"/>
  <c r="B11" i="1"/>
  <c r="B10" i="1"/>
  <c r="B9" i="1"/>
  <c r="B8" i="1"/>
  <c r="B3" i="1"/>
  <c r="E30" i="26" l="1"/>
  <c r="E42" i="26" s="1"/>
  <c r="F14" i="3"/>
  <c r="G14" i="3"/>
  <c r="L48" i="22"/>
  <c r="L49" i="22" s="1"/>
  <c r="L53" i="22" s="1"/>
  <c r="K6" i="26"/>
  <c r="H14" i="3"/>
  <c r="G25" i="8"/>
  <c r="G27" i="8" s="1"/>
  <c r="G63" i="23"/>
  <c r="G65" i="23" s="1"/>
  <c r="G87" i="23" s="1"/>
  <c r="G88" i="23" s="1"/>
  <c r="N18" i="10"/>
  <c r="O18" i="10" s="1"/>
  <c r="F25" i="8"/>
  <c r="F27" i="8" s="1"/>
  <c r="F63" i="23"/>
  <c r="F65" i="23" s="1"/>
  <c r="F87" i="23" s="1"/>
  <c r="F88" i="23" s="1"/>
  <c r="N16" i="10"/>
  <c r="O17" i="10" s="1"/>
  <c r="E23" i="2"/>
  <c r="J14" i="3"/>
  <c r="H25" i="8"/>
  <c r="H27" i="8" s="1"/>
  <c r="H63" i="23"/>
  <c r="H65" i="23" s="1"/>
  <c r="H87" i="23" s="1"/>
  <c r="H88" i="23" s="1"/>
  <c r="O8" i="10"/>
  <c r="N19" i="10"/>
  <c r="K16" i="2"/>
  <c r="H16" i="2"/>
  <c r="I25" i="8"/>
  <c r="I27" i="8" s="1"/>
  <c r="I63" i="23"/>
  <c r="I65" i="23" s="1"/>
  <c r="I87" i="23" s="1"/>
  <c r="I88" i="23" s="1"/>
  <c r="J25" i="8"/>
  <c r="J27" i="8" s="1"/>
  <c r="J63" i="23"/>
  <c r="J65" i="23" s="1"/>
  <c r="J87" i="23" s="1"/>
  <c r="J88" i="23" s="1"/>
  <c r="N15" i="10"/>
  <c r="O15" i="10" s="1"/>
  <c r="C16" i="2"/>
  <c r="E1" i="3"/>
  <c r="I23" i="2"/>
  <c r="J14" i="1"/>
  <c r="C14" i="3"/>
  <c r="I16" i="2"/>
  <c r="I14" i="3"/>
  <c r="K21" i="2"/>
  <c r="D36" i="16"/>
  <c r="M13" i="19"/>
  <c r="E14" i="3"/>
  <c r="E1" i="2"/>
  <c r="L10" i="1"/>
  <c r="G23" i="2"/>
  <c r="B16" i="2"/>
  <c r="H23" i="2"/>
  <c r="L12" i="1"/>
  <c r="L13" i="1" s="1"/>
  <c r="L14" i="1" s="1"/>
  <c r="L25" i="1" s="1"/>
  <c r="K20" i="2"/>
  <c r="F16" i="2"/>
  <c r="F20" i="2"/>
  <c r="D20" i="2"/>
  <c r="L6" i="1"/>
  <c r="I13" i="1"/>
  <c r="I14" i="1" s="1"/>
  <c r="D14" i="3"/>
  <c r="D23" i="2"/>
  <c r="B6" i="1"/>
  <c r="B19" i="1" s="1"/>
  <c r="G6" i="1"/>
  <c r="G19" i="1" s="1"/>
  <c r="G9" i="16"/>
  <c r="F10" i="16"/>
  <c r="F14" i="16" s="1"/>
  <c r="K6" i="1"/>
  <c r="K19" i="1" s="1"/>
  <c r="L5" i="1"/>
  <c r="D16" i="2"/>
  <c r="K23" i="2"/>
  <c r="L11" i="1"/>
  <c r="L7" i="1"/>
  <c r="J23" i="2"/>
  <c r="F23" i="2"/>
  <c r="E16" i="2"/>
  <c r="I23" i="1"/>
  <c r="C21" i="2"/>
  <c r="I8" i="16"/>
  <c r="J6" i="16"/>
  <c r="J8" i="16" s="1"/>
  <c r="J10" i="16" s="1"/>
  <c r="D22" i="16" s="1"/>
  <c r="D25" i="16" s="1"/>
  <c r="D30" i="16" s="1"/>
  <c r="B14" i="3"/>
  <c r="B21" i="2"/>
  <c r="C23" i="2"/>
  <c r="G14" i="1"/>
  <c r="A1" i="2"/>
  <c r="A1" i="4" s="1"/>
  <c r="G21" i="2"/>
  <c r="H23" i="1"/>
  <c r="F21" i="2"/>
  <c r="C20" i="2"/>
  <c r="C6" i="1"/>
  <c r="C19" i="1" s="1"/>
  <c r="E21" i="2"/>
  <c r="D24" i="2"/>
  <c r="G20" i="2"/>
  <c r="J6" i="1"/>
  <c r="J19" i="1" s="1"/>
  <c r="F14" i="1"/>
  <c r="C14" i="1"/>
  <c r="D21" i="2"/>
  <c r="E24" i="2"/>
  <c r="K24" i="2"/>
  <c r="D6" i="1"/>
  <c r="D19" i="1" s="1"/>
  <c r="E6" i="1"/>
  <c r="E19" i="1" s="1"/>
  <c r="C24" i="2"/>
  <c r="K13" i="1"/>
  <c r="K14" i="1" s="1"/>
  <c r="J23" i="1"/>
  <c r="E20" i="2"/>
  <c r="H21" i="2"/>
  <c r="B23" i="2"/>
  <c r="H14" i="1"/>
  <c r="J16" i="2"/>
  <c r="G16" i="2"/>
  <c r="D13" i="1"/>
  <c r="E13" i="1" s="1"/>
  <c r="E14" i="1" s="1"/>
  <c r="I21" i="2"/>
  <c r="L8" i="1"/>
  <c r="N8" i="1" s="1"/>
  <c r="J24" i="2"/>
  <c r="J20" i="2"/>
  <c r="J21" i="2"/>
  <c r="B20" i="2"/>
  <c r="K14" i="3"/>
  <c r="I24" i="2"/>
  <c r="L9" i="1"/>
  <c r="M9" i="1" s="1"/>
  <c r="H24" i="2"/>
  <c r="G24" i="2"/>
  <c r="B14" i="1"/>
  <c r="L4" i="1"/>
  <c r="L23" i="1" s="1"/>
  <c r="I6" i="1"/>
  <c r="I19" i="1" s="1"/>
  <c r="F24" i="2"/>
  <c r="I20" i="2"/>
  <c r="H20" i="2"/>
  <c r="K23" i="1"/>
  <c r="H6" i="1"/>
  <c r="H19" i="1" s="1"/>
  <c r="F6" i="1"/>
  <c r="F19" i="1" s="1"/>
  <c r="E1" i="4"/>
  <c r="K7" i="26" l="1"/>
  <c r="K9" i="26" s="1"/>
  <c r="E10" i="27"/>
  <c r="E49" i="27" s="1"/>
  <c r="F34" i="26"/>
  <c r="O19" i="10"/>
  <c r="M11" i="1"/>
  <c r="O16" i="10"/>
  <c r="N25" i="8"/>
  <c r="M25" i="8"/>
  <c r="L25" i="19"/>
  <c r="M25" i="19" s="1"/>
  <c r="M20" i="19"/>
  <c r="L23" i="19"/>
  <c r="M23" i="19" s="1"/>
  <c r="L26" i="19"/>
  <c r="M26" i="19" s="1"/>
  <c r="L24" i="19"/>
  <c r="M24" i="19" s="1"/>
  <c r="L19" i="1"/>
  <c r="L24" i="1" s="1"/>
  <c r="N11" i="1"/>
  <c r="M8" i="1"/>
  <c r="J25" i="1"/>
  <c r="K24" i="1"/>
  <c r="J14" i="16"/>
  <c r="H9" i="16"/>
  <c r="G10" i="16"/>
  <c r="G14" i="16" s="1"/>
  <c r="M27" i="8"/>
  <c r="N27" i="8"/>
  <c r="I25" i="1"/>
  <c r="D14" i="1"/>
  <c r="H25" i="1" s="1"/>
  <c r="I24" i="1"/>
  <c r="J24" i="1"/>
  <c r="K25" i="1"/>
  <c r="M25" i="1" s="1"/>
  <c r="M14" i="1" s="1"/>
  <c r="H24" i="1"/>
  <c r="N9" i="1"/>
  <c r="M23" i="1"/>
  <c r="M4" i="1" s="1"/>
  <c r="N23" i="1"/>
  <c r="N4" i="1" s="1"/>
  <c r="E51" i="27" l="1"/>
  <c r="E56" i="27" s="1"/>
  <c r="E55" i="27"/>
  <c r="K11" i="26"/>
  <c r="K31" i="26"/>
  <c r="K32" i="26" s="1"/>
  <c r="K34" i="26" s="1"/>
  <c r="D51" i="26" s="1"/>
  <c r="F38" i="26"/>
  <c r="F13" i="26" s="1"/>
  <c r="F14" i="26" s="1"/>
  <c r="F15" i="26" s="1"/>
  <c r="F16" i="26" s="1"/>
  <c r="F26" i="26" s="1"/>
  <c r="F30" i="26" s="1"/>
  <c r="F42" i="26" s="1"/>
  <c r="G34" i="26" s="1"/>
  <c r="M24" i="1"/>
  <c r="M6" i="1" s="1"/>
  <c r="M10" i="1" s="1"/>
  <c r="M12" i="1" s="1"/>
  <c r="M13" i="1" s="1"/>
  <c r="M15" i="1" s="1"/>
  <c r="I9" i="16"/>
  <c r="I10" i="16" s="1"/>
  <c r="I14" i="16" s="1"/>
  <c r="H10" i="16"/>
  <c r="H14" i="16" s="1"/>
  <c r="N24" i="1"/>
  <c r="N6" i="1" s="1"/>
  <c r="N5" i="1" s="1"/>
  <c r="N25" i="1"/>
  <c r="N14" i="1" s="1"/>
  <c r="E57" i="27" l="1"/>
  <c r="D29" i="16"/>
  <c r="D31" i="16" s="1"/>
  <c r="D35" i="16" s="1"/>
  <c r="D37" i="16" s="1"/>
  <c r="D48" i="26"/>
  <c r="G38" i="26"/>
  <c r="G13" i="26" s="1"/>
  <c r="G14" i="26" s="1"/>
  <c r="G15" i="26" s="1"/>
  <c r="G16" i="26" s="1"/>
  <c r="G26" i="26" s="1"/>
  <c r="G30" i="26" s="1"/>
  <c r="G42" i="26" s="1"/>
  <c r="H34" i="26" s="1"/>
  <c r="H38" i="26" s="1"/>
  <c r="M5" i="1"/>
  <c r="N10" i="1"/>
  <c r="N12" i="1" s="1"/>
  <c r="N13" i="1" s="1"/>
  <c r="N15" i="1" s="1"/>
  <c r="D46" i="26" l="1"/>
  <c r="H13" i="26"/>
  <c r="H14" i="26" s="1"/>
  <c r="H15" i="26" s="1"/>
  <c r="H16" i="26" s="1"/>
  <c r="H26" i="26" s="1"/>
  <c r="H30" i="26" s="1"/>
  <c r="H42" i="26" s="1"/>
  <c r="D40" i="16"/>
  <c r="F21" i="16"/>
  <c r="D49" i="26" l="1"/>
  <c r="D50" i="26" s="1"/>
  <c r="H51" i="26" s="1"/>
  <c r="P30" i="17"/>
  <c r="D52" i="26" l="1"/>
  <c r="D59" i="26" s="1"/>
  <c r="C54" i="2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<sst xmlns="http://schemas.openxmlformats.org/spreadsheetml/2006/main" count="811" uniqueCount="579">
  <si>
    <t>COMPANY NAME</t>
  </si>
  <si>
    <t>SCREENER.IN</t>
  </si>
  <si>
    <t>Narration</t>
  </si>
  <si>
    <t>Trailing</t>
  </si>
  <si>
    <t>Best Case</t>
  </si>
  <si>
    <t>Worst Case</t>
  </si>
  <si>
    <t>Sales</t>
  </si>
  <si>
    <t>Expenses</t>
  </si>
  <si>
    <t>Operating Profit</t>
  </si>
  <si>
    <t>Other Income</t>
  </si>
  <si>
    <t>Depreciation</t>
  </si>
  <si>
    <t>Interest</t>
  </si>
  <si>
    <t>Profit before tax</t>
  </si>
  <si>
    <t>Tax</t>
  </si>
  <si>
    <t>Net profit</t>
  </si>
  <si>
    <t>RATIOS:</t>
  </si>
  <si>
    <t>Price to earning</t>
  </si>
  <si>
    <t>Dividend Payout</t>
  </si>
  <si>
    <t>OPM</t>
  </si>
  <si>
    <t>TRENDS:</t>
  </si>
  <si>
    <t>BEST</t>
  </si>
  <si>
    <t>WORST</t>
  </si>
  <si>
    <t>Sales Growth</t>
  </si>
  <si>
    <t>Price to Earning</t>
  </si>
  <si>
    <t>Equity Share Capital</t>
  </si>
  <si>
    <t>Reserves</t>
  </si>
  <si>
    <t>Total</t>
  </si>
  <si>
    <t>Net Block</t>
  </si>
  <si>
    <t>Capital Work in Progress</t>
  </si>
  <si>
    <t>Investments</t>
  </si>
  <si>
    <t>Working Capital</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</si>
  <si>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</si>
  <si>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</si>
  <si>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</si>
  <si>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</si>
  <si>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</si>
  <si>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</si>
  <si>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</si>
  <si>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</si>
  <si>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</si>
  <si>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</si>
  <si>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</si>
  <si>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</si>
  <si>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</si>
  <si>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Debtors</t>
  </si>
  <si>
    <t>Inventory</t>
  </si>
  <si>
    <t>Debtor Days</t>
  </si>
  <si>
    <t>Inventory Turnover</t>
  </si>
  <si>
    <t>You can customize this workbook as you want.</t>
  </si>
  <si>
    <t>Please don't edit the "Data Sheet" only.</t>
  </si>
  <si>
    <t>After customization, you can upload this back on Screener.</t>
  </si>
  <si>
    <t>Upload on:</t>
  </si>
  <si>
    <t>Download your customized workbooks now onwards.</t>
  </si>
  <si>
    <t>Now whenever you will "Export to excel" from Screener, it will export your customized file.</t>
  </si>
  <si>
    <t>TESTING:</t>
  </si>
  <si>
    <t>This is a testing feature currently.</t>
  </si>
  <si>
    <t>How to use it?</t>
  </si>
  <si>
    <t>EPS</t>
  </si>
  <si>
    <t>Price</t>
  </si>
  <si>
    <t>Return on Equity</t>
  </si>
  <si>
    <t>Return on Capital Emp</t>
  </si>
  <si>
    <t>LATEST VERSION</t>
  </si>
  <si>
    <t>CURRENT VERSION</t>
  </si>
  <si>
    <t>TATA CONSULTANCY SERVICES LTD</t>
  </si>
  <si>
    <t>META</t>
  </si>
  <si>
    <t>10 YEARS</t>
  </si>
  <si>
    <t>7 YEARS</t>
  </si>
  <si>
    <t>5 YEARS</t>
  </si>
  <si>
    <t>3 YEARS</t>
  </si>
  <si>
    <t>RECENT</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</si>
  <si>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</si>
  <si>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</si>
  <si>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</si>
  <si>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</si>
  <si>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</si>
  <si>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</si>
  <si>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</si>
  <si>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</si>
  <si>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</si>
  <si>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</si>
  <si>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</si>
  <si>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</si>
  <si>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</si>
  <si>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</si>
  <si>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</si>
  <si>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</si>
  <si>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</si>
  <si>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</si>
  <si>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</si>
  <si>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</si>
  <si>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You can add custom formating, add conditional formating, add your own formulas… do ANYTHING.</t>
  </si>
  <si>
    <t xml:space="preserve"> https://www.screener.in/excel/</t>
  </si>
  <si>
    <r>
      <t xml:space="preserve">You can report any formula errors on the worksheet at: </t>
    </r>
    <r>
      <rPr>
        <b/>
        <sz val="11"/>
        <color theme="1"/>
        <rFont val="Calibri"/>
        <family val="2"/>
        <scheme val="minor"/>
      </rPr>
      <t>support@screener.in</t>
    </r>
  </si>
  <si>
    <t>Years</t>
  </si>
  <si>
    <t>LTM</t>
  </si>
  <si>
    <t>#</t>
  </si>
  <si>
    <t xml:space="preserve">Sales Growth </t>
  </si>
  <si>
    <t>-</t>
  </si>
  <si>
    <t>COGS</t>
  </si>
  <si>
    <t>COGS % Sales</t>
  </si>
  <si>
    <t>Gross Profit</t>
  </si>
  <si>
    <t>Gross  Margins</t>
  </si>
  <si>
    <t>Seling &amp; Genral Expances</t>
  </si>
  <si>
    <t>S&amp;Gexp % Sales</t>
  </si>
  <si>
    <t>EBITDA</t>
  </si>
  <si>
    <t>EBITDA Margins</t>
  </si>
  <si>
    <t>Depreciation % Sales</t>
  </si>
  <si>
    <t>EBIT</t>
  </si>
  <si>
    <t>EBIT Margin</t>
  </si>
  <si>
    <t>Interest % Sales</t>
  </si>
  <si>
    <t>Other Income % Sales</t>
  </si>
  <si>
    <t>EBT</t>
  </si>
  <si>
    <t>EBT Margin</t>
  </si>
  <si>
    <t>TAX</t>
  </si>
  <si>
    <t>Tax % sales</t>
  </si>
  <si>
    <t>Net Profit</t>
  </si>
  <si>
    <t>Net Margin</t>
  </si>
  <si>
    <t>No of Shares</t>
  </si>
  <si>
    <t>EPS Growth</t>
  </si>
  <si>
    <t>Divident Per Share</t>
  </si>
  <si>
    <t>Divident Pay Out Ratio</t>
  </si>
  <si>
    <t>Retaind Ernings</t>
  </si>
  <si>
    <t>Total Liabilities.</t>
  </si>
  <si>
    <t>Fixed Assets &amp;Net Block</t>
  </si>
  <si>
    <t xml:space="preserve"> Total Non Current Assets</t>
  </si>
  <si>
    <t>Total Current Assets</t>
  </si>
  <si>
    <t>Total Assets</t>
  </si>
  <si>
    <t>Check</t>
  </si>
  <si>
    <t>SalesGrowth</t>
  </si>
  <si>
    <t>EBITDA Growth</t>
  </si>
  <si>
    <t>EBIT Growth</t>
  </si>
  <si>
    <t>Net Profit Growth</t>
  </si>
  <si>
    <t>Dividend Growth</t>
  </si>
  <si>
    <t>Gross Margin</t>
  </si>
  <si>
    <t>EBITDA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</si>
  <si>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</si>
  <si>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</si>
  <si>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</si>
  <si>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</si>
  <si>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</si>
  <si>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</si>
  <si>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</si>
  <si>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</si>
  <si>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</si>
  <si>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</si>
  <si>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</si>
  <si>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Fixed Asset Turnover</t>
  </si>
  <si>
    <t>Capital Turnover Ratio</t>
  </si>
  <si>
    <t>Payable Days</t>
  </si>
  <si>
    <t>Inventory Days</t>
  </si>
  <si>
    <t>Cash Conversion Cycle</t>
  </si>
  <si>
    <t>CFO/Sales</t>
  </si>
  <si>
    <t>CFO/Total Assets</t>
  </si>
  <si>
    <t>CFO/Total Debt</t>
  </si>
  <si>
    <t>Trand Lein</t>
  </si>
  <si>
    <t>Median</t>
  </si>
  <si>
    <t>Average</t>
  </si>
  <si>
    <t>Year Whight</t>
  </si>
  <si>
    <t>Purticlars</t>
  </si>
  <si>
    <t>Total Liabilities</t>
  </si>
  <si>
    <t>All Figures Are in INR unless Stated Otherwaise</t>
  </si>
  <si>
    <t>Peer Companies</t>
  </si>
  <si>
    <t>Company Name</t>
  </si>
  <si>
    <t>Country</t>
  </si>
  <si>
    <t>TotalDebt</t>
  </si>
  <si>
    <t>Total Equity</t>
  </si>
  <si>
    <t>Tax Rate1</t>
  </si>
  <si>
    <t>Debt/</t>
  </si>
  <si>
    <t>Equity</t>
  </si>
  <si>
    <t>Capital</t>
  </si>
  <si>
    <t>Levered</t>
  </si>
  <si>
    <t>Beta2</t>
  </si>
  <si>
    <t>Unlevered</t>
  </si>
  <si>
    <t>Beta3</t>
  </si>
  <si>
    <t>TCS</t>
  </si>
  <si>
    <t>India</t>
  </si>
  <si>
    <t>Infosys</t>
  </si>
  <si>
    <t>Wipro</t>
  </si>
  <si>
    <t>HCL Teche</t>
  </si>
  <si>
    <t>Cost Of Debt</t>
  </si>
  <si>
    <t>Pre-Tax Cost of Debt</t>
  </si>
  <si>
    <t>Tax Rate</t>
  </si>
  <si>
    <t>Post-Tax Cost Of Debt</t>
  </si>
  <si>
    <t>Capital Structre</t>
  </si>
  <si>
    <t>Cuurent</t>
  </si>
  <si>
    <t>Target</t>
  </si>
  <si>
    <t>Total Debt</t>
  </si>
  <si>
    <t>Market Capitalizetion</t>
  </si>
  <si>
    <t>Total Capital</t>
  </si>
  <si>
    <t>Debt/Equity</t>
  </si>
  <si>
    <t>Cost Of Equity</t>
  </si>
  <si>
    <t>Risk Free Rate</t>
  </si>
  <si>
    <t>Equity Risk Premium</t>
  </si>
  <si>
    <r>
      <t>Levered Bate</t>
    </r>
    <r>
      <rPr>
        <vertAlign val="superscript"/>
        <sz val="11"/>
        <color theme="1"/>
        <rFont val="Calibri"/>
        <family val="2"/>
        <scheme val="minor"/>
      </rPr>
      <t>4</t>
    </r>
  </si>
  <si>
    <t>Cost of Equity</t>
  </si>
  <si>
    <t>Levered Bate</t>
  </si>
  <si>
    <t>Comps median levered Bate</t>
  </si>
  <si>
    <t>Targeted Debt/Equity</t>
  </si>
  <si>
    <t>Weighte Average Cost Of Capital</t>
  </si>
  <si>
    <t>Total Cost</t>
  </si>
  <si>
    <t>Total Weught</t>
  </si>
  <si>
    <t>Debt</t>
  </si>
  <si>
    <t>WACC</t>
  </si>
  <si>
    <t>Note:</t>
  </si>
  <si>
    <t>1.Tax Rate Considered as maeginal Tax Rate for the Companey</t>
  </si>
  <si>
    <t>2.Levered beto is bosed on 5 year monthly data</t>
  </si>
  <si>
    <t>3.Unlevered Beta = Levered Bate /(1+(1-Tax Rate )*Debt/Equty)</t>
  </si>
  <si>
    <t>4.Levered Beta  -Unlevered Beta *(1+(1-Tax Rate(*Debt/Equty)</t>
  </si>
  <si>
    <t xml:space="preserve">Date </t>
  </si>
  <si>
    <t xml:space="preserve">Open </t>
  </si>
  <si>
    <t xml:space="preserve">High </t>
  </si>
  <si>
    <t xml:space="preserve">Low </t>
  </si>
  <si>
    <t xml:space="preserve">Close </t>
  </si>
  <si>
    <t xml:space="preserve">Shares Traded </t>
  </si>
  <si>
    <t>Turnover (₹ Cr)</t>
  </si>
  <si>
    <t xml:space="preserve">Adjest </t>
  </si>
  <si>
    <t>Return</t>
  </si>
  <si>
    <t>TCS Weekly Returns</t>
  </si>
  <si>
    <t>NIFY-50 Weekly Returns</t>
  </si>
  <si>
    <t xml:space="preserve">% Change </t>
  </si>
  <si>
    <t xml:space="preserve">Change </t>
  </si>
  <si>
    <t xml:space="preserve">Prev. Close </t>
  </si>
  <si>
    <t>Beta1</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</si>
  <si>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</si>
  <si>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</si>
  <si>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</si>
  <si>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</si>
  <si>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</si>
  <si>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</si>
  <si>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</si>
  <si>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</si>
  <si>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</si>
  <si>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</si>
  <si>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</si>
  <si>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</si>
  <si>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</si>
  <si>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</si>
  <si>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</si>
  <si>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</si>
  <si>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</si>
  <si>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</si>
  <si>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</si>
  <si>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</si>
  <si>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</si>
  <si>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</si>
  <si>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</si>
  <si>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</si>
  <si>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Beta Drifting</t>
  </si>
  <si>
    <t>Levered Raw Beta</t>
  </si>
  <si>
    <t>Raw Beta Weight</t>
  </si>
  <si>
    <t xml:space="preserve">Market Beta </t>
  </si>
  <si>
    <t>Market Beta Weight</t>
  </si>
  <si>
    <t>Adjusted Beta</t>
  </si>
  <si>
    <t>Year</t>
  </si>
  <si>
    <t>Annual</t>
  </si>
  <si>
    <t>Return on Markets</t>
  </si>
  <si>
    <t>Average Return</t>
  </si>
  <si>
    <t>Dividend Yield</t>
  </si>
  <si>
    <r>
      <t xml:space="preserve">1.39% </t>
    </r>
    <r>
      <rPr>
        <vertAlign val="superscript"/>
        <sz val="11"/>
        <color theme="1"/>
        <rFont val="Calibri"/>
        <family val="2"/>
      </rPr>
      <t>1</t>
    </r>
  </si>
  <si>
    <t>Total Market Returns</t>
  </si>
  <si>
    <t>Calculationof ROIC</t>
  </si>
  <si>
    <t>Current Assets</t>
  </si>
  <si>
    <t>Current Liabilities</t>
  </si>
  <si>
    <t>Total Current Liabilires</t>
  </si>
  <si>
    <t>Net Working Capital</t>
  </si>
  <si>
    <t>Non Current Assets</t>
  </si>
  <si>
    <t>Accumulated Depreciation</t>
  </si>
  <si>
    <t>Net Non Current Assets</t>
  </si>
  <si>
    <t>Invested Capital</t>
  </si>
  <si>
    <t>EBIT(1-Tax)</t>
  </si>
  <si>
    <t>Calculation Of Reinvestment Rate</t>
  </si>
  <si>
    <t>Net Capex</t>
  </si>
  <si>
    <t>Change in Working Capital</t>
  </si>
  <si>
    <t xml:space="preserve">Marginal Tax Ret </t>
  </si>
  <si>
    <t>Reinvestment</t>
  </si>
  <si>
    <t>Fixed assets purchased</t>
  </si>
  <si>
    <t>Fixed assets sold</t>
  </si>
  <si>
    <t>Reinvestment Rate</t>
  </si>
  <si>
    <t>ROIC</t>
  </si>
  <si>
    <t>4-Years Average Rate</t>
  </si>
  <si>
    <t>4-Years Median Rate</t>
  </si>
  <si>
    <t>Calculation of Growth Rate</t>
  </si>
  <si>
    <t>Intrinsic Growth</t>
  </si>
  <si>
    <t>Investments purchased</t>
  </si>
  <si>
    <t>Investments sold</t>
  </si>
  <si>
    <t>Calucletion Of Pv FCFF</t>
  </si>
  <si>
    <t>Free Cash Flow to Frim</t>
  </si>
  <si>
    <t>Mid Year Convenction</t>
  </si>
  <si>
    <t>Discounting Factor</t>
  </si>
  <si>
    <t>Pv Of FCFF</t>
  </si>
  <si>
    <t>EBIT(1-TAX Rate)</t>
  </si>
  <si>
    <t>Expected Growth</t>
  </si>
  <si>
    <t>Terminal Growth</t>
  </si>
  <si>
    <t>Calculation of Terminal Value</t>
  </si>
  <si>
    <t>FCFF(1+n)</t>
  </si>
  <si>
    <t>Terminal Value</t>
  </si>
  <si>
    <t>Calucletion of Equity Value Per Share</t>
  </si>
  <si>
    <t>Pv of FCFF</t>
  </si>
  <si>
    <t>Pv Of Terminal value</t>
  </si>
  <si>
    <t>Value of Operating Assets</t>
  </si>
  <si>
    <t>Add: Cash</t>
  </si>
  <si>
    <t>Less:Debt</t>
  </si>
  <si>
    <t>Value Of Equity</t>
  </si>
  <si>
    <t>Number of Shers</t>
  </si>
  <si>
    <t>Erquity Value Per Share</t>
  </si>
  <si>
    <t>Share pres</t>
  </si>
  <si>
    <t>Discount/Primem</t>
  </si>
  <si>
    <t>Less: Reinvestment</t>
  </si>
  <si>
    <t>Amount In Crores</t>
  </si>
  <si>
    <t>Comparable Company Valuation</t>
  </si>
  <si>
    <t>Copmanys</t>
  </si>
  <si>
    <t>Ticker</t>
  </si>
  <si>
    <t>Shre Price</t>
  </si>
  <si>
    <t>Shres Oust Standing</t>
  </si>
  <si>
    <t>Equity Value</t>
  </si>
  <si>
    <t>Net Debt</t>
  </si>
  <si>
    <t>Enterpries value</t>
  </si>
  <si>
    <t>HCL Technologies</t>
  </si>
  <si>
    <t>Tech Mahindra</t>
  </si>
  <si>
    <t>Market Data</t>
  </si>
  <si>
    <t>Revenu</t>
  </si>
  <si>
    <t>Net income</t>
  </si>
  <si>
    <t>Financail</t>
  </si>
  <si>
    <t>EV/Revenu</t>
  </si>
  <si>
    <t>P/E</t>
  </si>
  <si>
    <t>Valuveation</t>
  </si>
  <si>
    <t>EV/EBITDA</t>
  </si>
  <si>
    <t>High</t>
  </si>
  <si>
    <t>75th Percentile</t>
  </si>
  <si>
    <t>25 Percentile</t>
  </si>
  <si>
    <t>Low</t>
  </si>
  <si>
    <t>Implied Enterprise Value</t>
  </si>
  <si>
    <t>Implied Market Value</t>
  </si>
  <si>
    <t>Shares Outstanding</t>
  </si>
  <si>
    <t>Implied Value per Share</t>
  </si>
  <si>
    <t>Tcs Comparable Valuation</t>
  </si>
  <si>
    <t>Sensitivity Analysis</t>
  </si>
  <si>
    <t>Comps</t>
  </si>
  <si>
    <t>Open low</t>
  </si>
  <si>
    <t>Open High</t>
  </si>
  <si>
    <t>high</t>
  </si>
  <si>
    <t>DCF Bare</t>
  </si>
  <si>
    <t>DCFBase</t>
  </si>
  <si>
    <t>DCFBull</t>
  </si>
  <si>
    <t>52W H/L</t>
  </si>
  <si>
    <t>FootbollFiled Analysis - Valuation Summary(Rs)</t>
  </si>
  <si>
    <t>Date</t>
  </si>
  <si>
    <t>Adj Closing</t>
  </si>
  <si>
    <t>Retuns</t>
  </si>
  <si>
    <t>Stanrded Retuns</t>
  </si>
  <si>
    <t>Replication</t>
  </si>
  <si>
    <t>Simulated Returns</t>
  </si>
  <si>
    <t>Caluclation of   Value at Risk (Historical)</t>
  </si>
  <si>
    <t>Historical Approach</t>
  </si>
  <si>
    <t>Mean</t>
  </si>
  <si>
    <t>Std Diveation</t>
  </si>
  <si>
    <t>Min</t>
  </si>
  <si>
    <t>Max</t>
  </si>
  <si>
    <t>CMP</t>
  </si>
  <si>
    <t>Monte Carlo Simulation</t>
  </si>
  <si>
    <t>Percentile</t>
  </si>
  <si>
    <t>Confidance</t>
  </si>
  <si>
    <t>VRM%</t>
  </si>
  <si>
    <t>Stock Price</t>
  </si>
  <si>
    <t>VAR(INR</t>
  </si>
  <si>
    <t>Average Total Assets</t>
  </si>
  <si>
    <t>Equity Muliplier ( C )</t>
  </si>
  <si>
    <t>Return on Equity (A*B*C)</t>
  </si>
  <si>
    <t>Return on Asset</t>
  </si>
  <si>
    <t>Dupoint Analysis-Return On Equity&amp;Return On Assets</t>
  </si>
  <si>
    <t>Return on Eruity</t>
  </si>
  <si>
    <t>ROE-Dupoint Equation</t>
  </si>
  <si>
    <t>Average Equity Shareholer Capital</t>
  </si>
  <si>
    <t>Net Profit Margin(A)</t>
  </si>
  <si>
    <t>Average Turnover Ratio(B)</t>
  </si>
  <si>
    <t>Return on Assets</t>
  </si>
  <si>
    <t>ROA-Dupoint Equation</t>
  </si>
  <si>
    <t>BSE | (532540)</t>
  </si>
  <si>
    <t>52 Weeks(High-3538.0&amp;Low-2206.4</t>
  </si>
  <si>
    <t>About the company</t>
  </si>
  <si>
    <t>Financial Summary</t>
  </si>
  <si>
    <t>Recent Updates :</t>
  </si>
  <si>
    <t>Dupoint Summary</t>
  </si>
  <si>
    <t>Altman's Z Score analysis</t>
  </si>
  <si>
    <t>Altman's Z Score-Calucletion</t>
  </si>
  <si>
    <t>Working Capital/Total Assets</t>
  </si>
  <si>
    <t>Total assets</t>
  </si>
  <si>
    <t>Retade Ernings</t>
  </si>
  <si>
    <t>Retade Ernings/Total Assets</t>
  </si>
  <si>
    <t>EBIT/Total Assets</t>
  </si>
  <si>
    <t>Working Capital /Total Assets (A)</t>
  </si>
  <si>
    <t>Retade Ernings/Total Assets (B)</t>
  </si>
  <si>
    <t>Average Turnover Ratio(C)</t>
  </si>
  <si>
    <t>Market Cap /Long term Libuilities</t>
  </si>
  <si>
    <t>Markrt Cap</t>
  </si>
  <si>
    <t>Long term Libuilities</t>
  </si>
  <si>
    <t>Markrt Cap/Long Term Libuilites</t>
  </si>
  <si>
    <t>Sales/Total Assets</t>
  </si>
  <si>
    <t xml:space="preserve">Altman's Z Score </t>
  </si>
  <si>
    <t>Finanl Score</t>
  </si>
  <si>
    <t>Financail Staibulety</t>
  </si>
  <si>
    <t>Tcs-One Page Profile</t>
  </si>
  <si>
    <t>Key Financial Matrics</t>
  </si>
  <si>
    <t>Total Sales</t>
  </si>
  <si>
    <t>EBITDA Margin (%)</t>
  </si>
  <si>
    <t>EBIT Margin (%)</t>
  </si>
  <si>
    <t>Net Profit Margin(%)</t>
  </si>
  <si>
    <t>Earning Per Share in (Cr.rs)</t>
  </si>
  <si>
    <t>EPS Growth (y-oy)</t>
  </si>
  <si>
    <t>DPS Growth (y-oy)</t>
  </si>
  <si>
    <t>Sales Growth (y-oy)</t>
  </si>
  <si>
    <t>Gross Profit Margin (%)</t>
  </si>
  <si>
    <t>Key Financial ratios</t>
  </si>
  <si>
    <t>EV/Sales</t>
  </si>
  <si>
    <t>Price to Book Valu</t>
  </si>
  <si>
    <t>Return on CapitalEmployed</t>
  </si>
  <si>
    <t>MCP</t>
  </si>
  <si>
    <t>Cash</t>
  </si>
  <si>
    <t>Enterpresas Value</t>
  </si>
  <si>
    <t>Book Value</t>
  </si>
  <si>
    <t>P/B</t>
  </si>
  <si>
    <t>CaptalEmployed</t>
  </si>
  <si>
    <t>Share %</t>
  </si>
  <si>
    <t>Shares Holding</t>
  </si>
  <si>
    <t>Tata Sons Private Limited</t>
  </si>
  <si>
    <t>SBI Mutual Fund</t>
  </si>
  <si>
    <t>UTI Mutual Fund</t>
  </si>
  <si>
    <t>HDFC Mutual Fund</t>
  </si>
  <si>
    <t>Top 10 Share Holder</t>
  </si>
  <si>
    <t>Share Pres</t>
  </si>
  <si>
    <t>Current Mareket valu</t>
  </si>
  <si>
    <t>K. Krithivasan</t>
  </si>
  <si>
    <t>Samir Seksaria</t>
  </si>
  <si>
    <t>Milind Lakkad</t>
  </si>
  <si>
    <t xml:space="preserve">Managireal Ramunuration </t>
  </si>
  <si>
    <t>Disgnation</t>
  </si>
  <si>
    <t>Salary Per Month</t>
  </si>
  <si>
    <t>CEO</t>
  </si>
  <si>
    <t>CFO</t>
  </si>
  <si>
    <t>CHRO</t>
  </si>
  <si>
    <t>Remuniration (INR.Crs)</t>
  </si>
  <si>
    <t>Recent Update</t>
  </si>
  <si>
    <t>5yers - Shre Price</t>
  </si>
  <si>
    <t>VALUE</t>
  </si>
  <si>
    <t>Valume</t>
  </si>
  <si>
    <t>Top Shareholder</t>
  </si>
  <si>
    <t>Share Price (₹)</t>
  </si>
  <si>
    <t>Market Value (₹ Cr.)</t>
  </si>
  <si>
    <t>Tata Sons Pvt. Ltd.</t>
  </si>
  <si>
    <t>Current TCS Price</t>
  </si>
  <si>
    <t>LIC of India</t>
  </si>
  <si>
    <t>ICICI Prudential MF</t>
  </si>
  <si>
    <t>NPS Trust</t>
  </si>
  <si>
    <t>Share Holing Pettren</t>
  </si>
  <si>
    <t xml:space="preserve">Nippon Life India </t>
  </si>
  <si>
    <t xml:space="preserve">National Pension </t>
  </si>
  <si>
    <t xml:space="preserve">ICICI Prudential Mutual </t>
  </si>
  <si>
    <t xml:space="preserve"> LIC</t>
  </si>
  <si>
    <t>V ME</t>
  </si>
  <si>
    <t>VTI</t>
  </si>
  <si>
    <t xml:space="preserve">Share Price on </t>
  </si>
  <si>
    <t>Less: Cash</t>
  </si>
  <si>
    <t xml:space="preserve">Add : Total Debt </t>
  </si>
  <si>
    <t>Add:monatary Intrast</t>
  </si>
  <si>
    <t>Enteprise Value</t>
  </si>
  <si>
    <t>Capital Sturcture</t>
  </si>
  <si>
    <t>Ashok Pai</t>
  </si>
  <si>
    <t>Siva Ganesan</t>
  </si>
  <si>
    <t>V. Rajanna</t>
  </si>
  <si>
    <t>Head – Global Consulting</t>
  </si>
  <si>
    <t>Head – AI &amp; Data Business Unit</t>
  </si>
  <si>
    <t>President – Technology</t>
  </si>
  <si>
    <t>Krishnan Ramanujam</t>
  </si>
  <si>
    <t>President -CBG</t>
  </si>
  <si>
    <t>6.15.</t>
  </si>
  <si>
    <r>
      <t>Beta</t>
    </r>
    <r>
      <rPr>
        <b/>
        <vertAlign val="superscript"/>
        <sz val="11"/>
        <color theme="0"/>
        <rFont val="Calibri"/>
        <family val="2"/>
        <scheme val="minor"/>
      </rPr>
      <t>2</t>
    </r>
  </si>
  <si>
    <r>
      <t>Beta</t>
    </r>
    <r>
      <rPr>
        <b/>
        <vertAlign val="superscript"/>
        <sz val="11"/>
        <color theme="0"/>
        <rFont val="Calibri"/>
        <family val="2"/>
        <scheme val="minor"/>
      </rPr>
      <t>3</t>
    </r>
  </si>
  <si>
    <t xml:space="preserve">Caluclation of Income Statement </t>
  </si>
  <si>
    <t xml:space="preserve">Gross profit </t>
  </si>
  <si>
    <t>G&amp;A Expenses</t>
  </si>
  <si>
    <t>Interest(-)</t>
  </si>
  <si>
    <t xml:space="preserve">Tax </t>
  </si>
  <si>
    <t xml:space="preserve">Net Profit </t>
  </si>
  <si>
    <t>KPI's</t>
  </si>
  <si>
    <t>Sales Growth %</t>
  </si>
  <si>
    <t>Cogs%</t>
  </si>
  <si>
    <t>G&amp;A EXP%</t>
  </si>
  <si>
    <t>Deprciation %</t>
  </si>
  <si>
    <t>Company Data</t>
  </si>
  <si>
    <t>Share price</t>
  </si>
  <si>
    <t xml:space="preserve">Shares outstanding </t>
  </si>
  <si>
    <t>Market Cap</t>
  </si>
  <si>
    <t>Existing net debt</t>
  </si>
  <si>
    <t>Enterprise value</t>
  </si>
  <si>
    <t>Current EBITDA</t>
  </si>
  <si>
    <t>EV/EBITDA multiple</t>
  </si>
  <si>
    <t>Tax rate</t>
  </si>
  <si>
    <t>Working Cap as % of sales</t>
  </si>
  <si>
    <t>Debt Facilities</t>
  </si>
  <si>
    <t>Term A</t>
  </si>
  <si>
    <t>Term B</t>
  </si>
  <si>
    <t>Term A repayment (yearly)</t>
  </si>
  <si>
    <t>Maximum amount of debt</t>
  </si>
  <si>
    <t>Total debt</t>
  </si>
  <si>
    <t>Acquisition premium</t>
  </si>
  <si>
    <t>Equity value with premium</t>
  </si>
  <si>
    <t>Enterprise value at acquisition</t>
  </si>
  <si>
    <t>Equity needed</t>
  </si>
  <si>
    <t>Lenders Covenants</t>
  </si>
  <si>
    <t>No dividends distributed until 5 years</t>
  </si>
  <si>
    <t>Term A required payment of 400m per year</t>
  </si>
  <si>
    <t>EBITDA multiple</t>
  </si>
  <si>
    <t>Intrast Reat</t>
  </si>
  <si>
    <t>Cash Flow Calculation</t>
  </si>
  <si>
    <t>Net Income</t>
  </si>
  <si>
    <t>Add-back D&amp;A</t>
  </si>
  <si>
    <t>CAPEX</t>
  </si>
  <si>
    <t>Cash available for reimbursement</t>
  </si>
  <si>
    <t>Debt structure</t>
  </si>
  <si>
    <t>Term A outstanding</t>
  </si>
  <si>
    <t>Term B outstanding</t>
  </si>
  <si>
    <t>Interest amount:</t>
  </si>
  <si>
    <t>Repayments:</t>
  </si>
  <si>
    <t>Outstanding at the end of 20x6</t>
  </si>
  <si>
    <t>Implied Enterprise value at exit</t>
  </si>
  <si>
    <t>Net Debt at exit</t>
  </si>
  <si>
    <t>Implied value at exit</t>
  </si>
  <si>
    <t>Investors Cash Flows</t>
  </si>
  <si>
    <t>IRR Equity</t>
  </si>
  <si>
    <t>Cash-on-cash ratio</t>
  </si>
  <si>
    <t>KEY ASSUMPTIONS</t>
  </si>
  <si>
    <t>Financial Inputs</t>
  </si>
  <si>
    <t xml:space="preserve">Current Share Price </t>
  </si>
  <si>
    <t>Tax Rate (%)</t>
  </si>
  <si>
    <t>Cost of Debt (%)</t>
  </si>
  <si>
    <t>Transaction Assumptions</t>
  </si>
  <si>
    <t>Target Premium (%)</t>
  </si>
  <si>
    <t>Cash Consideration (%)</t>
  </si>
  <si>
    <t>Stock Consideration (%)</t>
  </si>
  <si>
    <t>Debt Consideration (%)</t>
  </si>
  <si>
    <t>TRANSACTION &amp; PROFORMA CALCULATIONS</t>
  </si>
  <si>
    <t>A. Purchase Price &amp; Financing</t>
  </si>
  <si>
    <t xml:space="preserve">Purchase Price per Share </t>
  </si>
  <si>
    <t xml:space="preserve">Total Equity Value (Purchase Price) </t>
  </si>
  <si>
    <t xml:space="preserve">Cash Required </t>
  </si>
  <si>
    <t xml:space="preserve">Stock Required </t>
  </si>
  <si>
    <t xml:space="preserve">Debt Required </t>
  </si>
  <si>
    <t>Total Consideration (Check)</t>
  </si>
  <si>
    <t>B. Coforhe Net Income</t>
  </si>
  <si>
    <t>Target Net Income</t>
  </si>
  <si>
    <t>Synergies (After-Tax)</t>
  </si>
  <si>
    <t>New Interest Expense (After-Tax)</t>
  </si>
  <si>
    <t>C. Coforge Shares Outstanding (millions)</t>
  </si>
  <si>
    <t>New Shares Issued</t>
  </si>
  <si>
    <t>ACCRETION/DILUTION ANALYSIS</t>
  </si>
  <si>
    <t>Accretion / (Dilution) %</t>
  </si>
  <si>
    <t xml:space="preserve"> TCS&amp;Birlasoftltd-M&amp;A</t>
  </si>
  <si>
    <t>TCS (Buyer)</t>
  </si>
  <si>
    <t xml:space="preserve">Shares Outstanding </t>
  </si>
  <si>
    <t xml:space="preserve">Net Income </t>
  </si>
  <si>
    <t>Brilasoft(Seller)</t>
  </si>
  <si>
    <t xml:space="preserve">TCS EPS (Standalone) </t>
  </si>
  <si>
    <t xml:space="preserve">Birlasoft EPS </t>
  </si>
  <si>
    <t>Tcs Shares Outstanding</t>
  </si>
  <si>
    <t>BirlaSoft Shares Outstanding</t>
  </si>
  <si>
    <t>BirlaSoft Net Income</t>
  </si>
  <si>
    <t>TCS Net Income</t>
  </si>
  <si>
    <t xml:space="preserve">Pre-Tax Synergies </t>
  </si>
  <si>
    <t xml:space="preserve">Transaction Fees </t>
  </si>
  <si>
    <t>TCS-LBO</t>
  </si>
  <si>
    <t>Particulars</t>
  </si>
  <si>
    <t>Value</t>
  </si>
  <si>
    <t>Current Market Price</t>
  </si>
  <si>
    <t>Intrinsic Value (DCF)</t>
  </si>
  <si>
    <t>Potential Upside</t>
  </si>
  <si>
    <t>DCF Valuation</t>
  </si>
  <si>
    <t>Undervalued</t>
  </si>
  <si>
    <t>Recommendation</t>
  </si>
  <si>
    <t>BUY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</si>
</sst>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8" formatCode="&quot;₹&quot;\ #,##0.00;[Red]&quot;₹&quot;\ \-#,##0.00"/>
    <numFmt numFmtId="43" formatCode="_ * #,##0.00_ ;_ * \-#,##0.00_ ;_ * &quot;-&quot;??_ ;_ @_ "/>
    <numFmt numFmtId="164" formatCode="_(* #,##0.00_);_(* \(#,##0.00\);_(* &quot;-&quot;??_);_(@_)"/>
    <numFmt numFmtId="165" formatCode="[$-409]mmm\-yy;@"/>
    <numFmt numFmtId="166" formatCode="&quot;₹&quot;\ #,##0;&quot;₹&quot;\ \(#,##0\)"/>
    <numFmt numFmtId="167" formatCode="0.0%"/>
    <numFmt numFmtId="168" formatCode="&quot;₹&quot;\ #,##0.00%;&quot;₹&quot;\ \(#,##0.00%\)"/>
    <numFmt numFmtId="169" formatCode="&quot;₹&quot;\ #,##0.00"/>
    <numFmt numFmtId="170" formatCode="&quot;₹&quot;\ #,##0.00;&quot;₹&quot;\ \(#,##0.00\)"/>
    <numFmt numFmtId="171" formatCode="0.00&quot;X&quot;"/>
    <numFmt numFmtId="172" formatCode="mmm/yy&quot;A&quot;"/>
    <numFmt numFmtId="173" formatCode="mmm/yy&quot;F&quot;"/>
    <numFmt numFmtId="174" formatCode="mmm/yy&quot;E&quot;"/>
    <numFmt numFmtId="175" formatCode="0.00&quot;x&quot;"/>
    <numFmt numFmtId="176" formatCode="#,##0.0"/>
    <numFmt numFmtId="177" formatCode="0.0000"/>
    <numFmt numFmtId="178" formatCode="&quot;FY&quot;\-yyyy"/>
  </numFmts>
  <fonts count="36"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color theme="0"/>
      <name val="Calibri"/>
      <family val="2"/>
    </font>
    <font>
      <i/>
      <sz val="11"/>
      <color theme="0" tint="-0.34998626667073579"/>
      <name val="Calibri"/>
      <family val="2"/>
      <scheme val="minor"/>
    </font>
    <font>
      <b/>
      <sz val="11"/>
      <color theme="1"/>
      <name val="Calibri"/>
      <family val="2"/>
    </font>
    <font>
      <i/>
      <sz val="11"/>
      <color theme="1"/>
      <name val="Calibri"/>
      <family val="2"/>
      <scheme val="minor"/>
    </font>
    <font>
      <vertAlign val="superscript"/>
      <sz val="11"/>
      <color theme="1"/>
      <name val="Calibri"/>
      <family val="2"/>
      <scheme val="minor"/>
    </font>
    <font>
      <sz val="11"/>
      <color rgb="FF0275D8"/>
      <name val="Calibri"/>
      <family val="2"/>
      <scheme val="minor"/>
    </font>
    <font>
      <i/>
      <sz val="11"/>
      <color theme="0" tint="-0.249977111117893"/>
      <name val="Calibri"/>
      <family val="2"/>
      <scheme val="minor"/>
    </font>
    <font>
      <sz val="11"/>
      <name val="Calibri"/>
      <family val="2"/>
    </font>
    <font>
      <vertAlign val="superscript"/>
      <sz val="11"/>
      <color theme="1"/>
      <name val="Calibri"/>
      <family val="2"/>
    </font>
    <font>
      <sz val="11"/>
      <color rgb="FF22222F"/>
      <name val="Arial"/>
      <family val="2"/>
    </font>
    <font>
      <b/>
      <sz val="11"/>
      <color rgb="FF0275D8"/>
      <name val="Calibri"/>
      <family val="2"/>
      <scheme val="minor"/>
    </font>
    <font>
      <sz val="20"/>
      <color rgb="FF002060"/>
      <name val="Calibri"/>
      <family val="2"/>
      <scheme val="minor"/>
    </font>
    <font>
      <b/>
      <sz val="16"/>
      <color theme="0"/>
      <name val="Calibri"/>
      <family val="2"/>
      <scheme val="minor"/>
    </font>
    <font>
      <b/>
      <sz val="20"/>
      <color rgb="FF002060"/>
      <name val="Calibri"/>
      <family val="2"/>
      <scheme val="minor"/>
    </font>
    <font>
      <b/>
      <sz val="11"/>
      <name val="Calibri"/>
      <family val="2"/>
      <scheme val="minor"/>
    </font>
    <font>
      <b/>
      <u/>
      <sz val="11"/>
      <color theme="0"/>
      <name val="Calibri"/>
      <family val="2"/>
      <scheme val="minor"/>
    </font>
    <font>
      <b/>
      <vertAlign val="superscript"/>
      <sz val="11"/>
      <color theme="0"/>
      <name val="Calibri"/>
      <family val="2"/>
      <scheme val="minor"/>
    </font>
    <font>
      <b/>
      <sz val="9"/>
      <color theme="1"/>
      <name val="Arial Nova"/>
      <family val="2"/>
    </font>
    <font>
      <sz val="9"/>
      <color theme="1"/>
      <name val="Arial Nova"/>
      <family val="2"/>
    </font>
    <font>
      <b/>
      <sz val="9"/>
      <color theme="0"/>
      <name val="Arial Nova"/>
      <family val="2"/>
    </font>
    <font>
      <i/>
      <sz val="9"/>
      <color theme="1"/>
      <name val="Arial Nova"/>
      <family val="2"/>
    </font>
    <font>
      <b/>
      <sz val="18"/>
      <color theme="0"/>
      <name val="Arial Nova"/>
      <family val="2"/>
    </font>
    <font>
      <b/>
      <sz val="14"/>
      <color theme="0"/>
      <name val="Arial Nova"/>
      <family val="2"/>
    </font>
    <font>
      <b/>
      <sz val="12"/>
      <color theme="1"/>
      <name val="Arial Nova"/>
      <family val="2"/>
    </font>
    <font>
      <sz val="11"/>
      <color theme="1"/>
      <name val="Arial"/>
      <family val="2"/>
    </font>
    <font>
      <sz val="12"/>
      <color theme="1"/>
      <name val="Arial Nova"/>
      <family val="2"/>
    </font>
  </fonts>
  <fills count="19">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8" tint="-0.499984740745262"/>
        <bgColor indexed="64"/>
      </patternFill>
    </fill>
    <fill>
      <patternFill patternType="solid">
        <fgColor theme="2" tint="-9.9978637043366805E-2"/>
        <bgColor indexed="64"/>
      </patternFill>
    </fill>
    <fill>
      <patternFill patternType="solid">
        <fgColor theme="7" tint="-0.49998474074526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FF"/>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theme="0"/>
        <bgColor indexed="64"/>
      </patternFill>
    </fill>
  </fills>
  <borders count="37">
    <border>
      <left/>
      <right/>
      <top/>
      <bottom/>
      <diagonal/>
    </border>
    <border>
      <left/>
      <right/>
      <top style="dotted">
        <color rgb="FF002060"/>
      </top>
      <bottom style="dotted">
        <color rgb="FF002060"/>
      </bottom>
      <diagonal/>
    </border>
    <border>
      <left/>
      <right/>
      <top style="medium">
        <color rgb="FF002060"/>
      </top>
      <bottom style="thick">
        <color rgb="FF002060"/>
      </bottom>
      <diagonal/>
    </border>
    <border>
      <left/>
      <right/>
      <top/>
      <bottom style="dotted">
        <color rgb="FF002060"/>
      </bottom>
      <diagonal/>
    </border>
    <border>
      <left/>
      <right/>
      <top style="dotted">
        <color rgb="FF002060"/>
      </top>
      <bottom/>
      <diagonal/>
    </border>
    <border>
      <left/>
      <right/>
      <top/>
      <bottom style="medium">
        <color theme="8" tint="-0.499984740745262"/>
      </bottom>
      <diagonal/>
    </border>
    <border>
      <left/>
      <right/>
      <top/>
      <bottom style="medium">
        <color rgb="FF002060"/>
      </bottom>
      <diagonal/>
    </border>
    <border>
      <left/>
      <right/>
      <top style="medium">
        <color rgb="FF002060"/>
      </top>
      <bottom/>
      <diagonal/>
    </border>
    <border>
      <left/>
      <right/>
      <top/>
      <bottom style="thick">
        <color rgb="FF002060"/>
      </bottom>
      <diagonal/>
    </border>
    <border>
      <left/>
      <right/>
      <top style="medium">
        <color rgb="FF002060"/>
      </top>
      <bottom style="medium">
        <color rgb="FF002060"/>
      </bottom>
      <diagonal/>
    </border>
    <border>
      <left/>
      <right/>
      <top/>
      <bottom style="medium">
        <color auto="1"/>
      </bottom>
      <diagonal/>
    </border>
    <border>
      <left/>
      <right/>
      <top style="medium">
        <color indexed="64"/>
      </top>
      <bottom style="thin">
        <color indexed="64"/>
      </bottom>
      <diagonal/>
    </border>
    <border>
      <left/>
      <right/>
      <top style="thin">
        <color rgb="FF002060"/>
      </top>
      <bottom/>
      <diagonal/>
    </border>
    <border>
      <left/>
      <right/>
      <top style="thin">
        <color rgb="FF002060"/>
      </top>
      <bottom style="thin">
        <color rgb="FF002060"/>
      </bottom>
      <diagonal/>
    </border>
    <border>
      <left/>
      <right/>
      <top style="dashed">
        <color rgb="FF002060"/>
      </top>
      <bottom style="medium">
        <color rgb="FF002060"/>
      </bottom>
      <diagonal/>
    </border>
    <border>
      <left/>
      <right/>
      <top style="dashed">
        <color rgb="FF002060"/>
      </top>
      <bottom style="dashed">
        <color rgb="FF002060"/>
      </bottom>
      <diagonal/>
    </border>
    <border>
      <left/>
      <right/>
      <top style="dotted">
        <color rgb="FF002060"/>
      </top>
      <bottom style="medium">
        <color rgb="FF002060"/>
      </bottom>
      <diagonal/>
    </border>
    <border>
      <left/>
      <right/>
      <top style="hair">
        <color rgb="FF002060"/>
      </top>
      <bottom style="hair">
        <color rgb="FF002060"/>
      </bottom>
      <diagonal/>
    </border>
    <border>
      <left/>
      <right/>
      <top style="hair">
        <color rgb="FF002060"/>
      </top>
      <bottom style="medium">
        <color rgb="FF002060"/>
      </bottom>
      <diagonal/>
    </border>
    <border>
      <left/>
      <right/>
      <top style="thin">
        <color rgb="FF002060"/>
      </top>
      <bottom style="thick">
        <color rgb="FF002060"/>
      </bottom>
      <diagonal/>
    </border>
    <border>
      <left/>
      <right/>
      <top style="thin">
        <color rgb="FF002060"/>
      </top>
      <bottom style="medium">
        <color rgb="FF002060"/>
      </bottom>
      <diagonal/>
    </border>
    <border>
      <left/>
      <right/>
      <top/>
      <bottom style="medium">
        <color theme="0"/>
      </bottom>
      <diagonal/>
    </border>
    <border>
      <left/>
      <right/>
      <top/>
      <bottom style="thick">
        <color theme="0"/>
      </bottom>
      <diagonal/>
    </border>
    <border>
      <left/>
      <right/>
      <top style="dashed">
        <color rgb="FF002060"/>
      </top>
      <bottom style="thick">
        <color rgb="FF002060"/>
      </bottom>
      <diagonal/>
    </border>
    <border>
      <left style="medium">
        <color rgb="FF002060"/>
      </left>
      <right/>
      <top style="medium">
        <color rgb="FF002060"/>
      </top>
      <bottom/>
      <diagonal/>
    </border>
    <border>
      <left style="medium">
        <color rgb="FF002060"/>
      </left>
      <right/>
      <top/>
      <bottom/>
      <diagonal/>
    </border>
    <border>
      <left/>
      <right/>
      <top/>
      <bottom style="dashed">
        <color rgb="FF002060"/>
      </bottom>
      <diagonal/>
    </border>
    <border>
      <left/>
      <right/>
      <top style="medium">
        <color rgb="FF002060"/>
      </top>
      <bottom style="dotted">
        <color rgb="FF002060"/>
      </bottom>
      <diagonal/>
    </border>
    <border>
      <left/>
      <right/>
      <top style="thick">
        <color theme="0"/>
      </top>
      <bottom/>
      <diagonal/>
    </border>
    <border>
      <left/>
      <right/>
      <top style="thick">
        <color theme="0"/>
      </top>
      <bottom style="thick">
        <color theme="0"/>
      </bottom>
      <diagonal/>
    </border>
    <border>
      <left/>
      <right/>
      <top/>
      <bottom style="thick">
        <color theme="1"/>
      </bottom>
      <diagonal/>
    </border>
    <border>
      <left style="thick">
        <color rgb="FF002060"/>
      </left>
      <right/>
      <top/>
      <bottom/>
      <diagonal/>
    </border>
    <border>
      <left/>
      <right/>
      <top/>
      <bottom style="thin">
        <color auto="1"/>
      </bottom>
      <diagonal/>
    </border>
    <border>
      <left/>
      <right/>
      <top style="thin">
        <color rgb="FF002060"/>
      </top>
      <bottom style="dotted">
        <color rgb="FF002060"/>
      </bottom>
      <diagonal/>
    </border>
    <border>
      <left/>
      <right/>
      <top style="dotted">
        <color rgb="FF002060"/>
      </top>
      <bottom style="thick">
        <color rgb="FF002060"/>
      </bottom>
      <diagonal/>
    </border>
    <border>
      <left style="dashed">
        <color rgb="FF002060"/>
      </left>
      <right style="dashed">
        <color rgb="FF002060"/>
      </right>
      <top style="dashed">
        <color rgb="FF002060"/>
      </top>
      <bottom style="dashed">
        <color rgb="FF002060"/>
      </bottom>
      <diagonal/>
    </border>
    <border>
      <left style="dashed">
        <color auto="1"/>
      </left>
      <right style="dashed">
        <color auto="1"/>
      </right>
      <top style="dashed">
        <color auto="1"/>
      </top>
      <bottom style="dashed">
        <color auto="1"/>
      </bottom>
      <diagonal/>
    </border>
  </borders>
  <cellStyleXfs count="7">
    <xf numFmtId="0" fontId="0" fillId="0" borderId="0"/>
    <xf numFmtId="43"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9" fontId="3" fillId="0" borderId="0" applyFont="0" applyFill="0" applyBorder="0" applyAlignment="0" applyProtection="0"/>
  </cellStyleXfs>
  <cellXfs count="298">
    <xf numFmtId="0" fontId="0" fillId="0" borderId="0" xfId="0"/>
    <xf numFmtId="43" fontId="1" fillId="0" borderId="0" xfId="1" applyFont="1" applyBorder="1"/>
    <xf numFmtId="0" fontId="1" fillId="0" borderId="0" xfId="0" applyFont="1"/>
    <xf numFmtId="0" fontId="8" fillId="0" borderId="0" xfId="0" applyFont="1"/>
    <xf numFmtId="43" fontId="0" fillId="0" borderId="0" xfId="1" applyFont="1" applyBorder="1"/>
    <xf numFmtId="10" fontId="0" fillId="0" borderId="0" xfId="0" applyNumberFormat="1"/>
    <xf numFmtId="43" fontId="3" fillId="0" borderId="0" xfId="1" applyFont="1" applyBorder="1"/>
    <xf numFmtId="9" fontId="3" fillId="0" borderId="0" xfId="1" applyNumberFormat="1" applyFont="1" applyBorder="1"/>
    <xf numFmtId="43" fontId="2" fillId="2" borderId="0" xfId="3" applyNumberFormat="1" applyFont="1" applyBorder="1"/>
    <xf numFmtId="43" fontId="2" fillId="3" borderId="0" xfId="4" applyNumberFormat="1" applyFont="1" applyBorder="1"/>
    <xf numFmtId="9" fontId="1" fillId="0" borderId="0" xfId="6" applyFont="1" applyBorder="1"/>
    <xf numFmtId="0" fontId="2" fillId="5" borderId="0" xfId="0" applyFont="1" applyFill="1"/>
    <xf numFmtId="165" fontId="2" fillId="5" borderId="0" xfId="0" applyNumberFormat="1" applyFont="1" applyFill="1" applyAlignment="1">
      <alignment horizontal="center"/>
    </xf>
    <xf numFmtId="0" fontId="2" fillId="5" borderId="0" xfId="0" applyFont="1" applyFill="1" applyAlignment="1">
      <alignment horizontal="center"/>
    </xf>
    <xf numFmtId="43" fontId="0" fillId="0" borderId="0" xfId="1" applyFont="1" applyBorder="1" applyAlignment="1">
      <alignment horizontal="center"/>
    </xf>
    <xf numFmtId="43" fontId="1" fillId="0" borderId="0" xfId="1" applyFont="1" applyBorder="1" applyAlignment="1">
      <alignment horizontal="center"/>
    </xf>
    <xf numFmtId="10" fontId="1" fillId="0" borderId="0" xfId="0" applyNumberFormat="1" applyFont="1"/>
    <xf numFmtId="165" fontId="2" fillId="5" borderId="0" xfId="1" applyNumberFormat="1" applyFont="1" applyFill="1" applyBorder="1"/>
    <xf numFmtId="165" fontId="9" fillId="0" borderId="0" xfId="1" applyNumberFormat="1" applyFont="1" applyFill="1" applyBorder="1"/>
    <xf numFmtId="0" fontId="7" fillId="0" borderId="0" xfId="0" applyFont="1"/>
    <xf numFmtId="0" fontId="0" fillId="0" borderId="0" xfId="0" applyAlignment="1">
      <alignment horizontal="left"/>
    </xf>
    <xf numFmtId="0" fontId="6" fillId="0" borderId="0" xfId="2" applyFont="1" applyBorder="1" applyAlignment="1" applyProtection="1">
      <alignment horizontal="left"/>
    </xf>
    <xf numFmtId="0" fontId="6" fillId="0" borderId="0" xfId="2" applyFont="1" applyBorder="1" applyAlignment="1" applyProtection="1"/>
    <xf numFmtId="0" fontId="9" fillId="0" borderId="0" xfId="0" applyFont="1"/>
    <xf numFmtId="164" fontId="0" fillId="0" borderId="0" xfId="1" applyNumberFormat="1" applyFont="1" applyBorder="1"/>
    <xf numFmtId="0" fontId="10" fillId="0" borderId="0" xfId="0" applyFont="1"/>
    <xf numFmtId="0" fontId="2" fillId="0" borderId="0" xfId="0" applyFont="1"/>
    <xf numFmtId="17" fontId="2" fillId="0" borderId="0" xfId="0" applyNumberFormat="1" applyFont="1"/>
    <xf numFmtId="0" fontId="2" fillId="7" borderId="0" xfId="0" applyFont="1" applyFill="1"/>
    <xf numFmtId="0" fontId="0" fillId="8" borderId="0" xfId="0" applyFill="1"/>
    <xf numFmtId="166" fontId="0" fillId="0" borderId="0" xfId="0" applyNumberFormat="1"/>
    <xf numFmtId="167" fontId="0" fillId="0" borderId="0" xfId="6" applyNumberFormat="1" applyFont="1"/>
    <xf numFmtId="10" fontId="0" fillId="0" borderId="0" xfId="6" applyNumberFormat="1" applyFont="1"/>
    <xf numFmtId="0" fontId="11" fillId="0" borderId="0" xfId="0" applyFont="1"/>
    <xf numFmtId="10" fontId="11" fillId="0" borderId="0" xfId="6" applyNumberFormat="1" applyFont="1"/>
    <xf numFmtId="168" fontId="11" fillId="0" borderId="0" xfId="6" applyNumberFormat="1" applyFont="1"/>
    <xf numFmtId="169" fontId="0" fillId="0" borderId="0" xfId="0" applyNumberFormat="1"/>
    <xf numFmtId="0" fontId="1" fillId="8" borderId="0" xfId="0" applyFont="1" applyFill="1"/>
    <xf numFmtId="166" fontId="1" fillId="0" borderId="0" xfId="0" applyNumberFormat="1" applyFont="1"/>
    <xf numFmtId="170" fontId="0" fillId="0" borderId="0" xfId="0" applyNumberFormat="1"/>
    <xf numFmtId="0" fontId="1" fillId="0" borderId="1" xfId="0" applyFont="1" applyBorder="1"/>
    <xf numFmtId="166" fontId="1" fillId="0" borderId="1" xfId="0" applyNumberFormat="1" applyFont="1" applyBorder="1"/>
    <xf numFmtId="0" fontId="1" fillId="0" borderId="2" xfId="0" applyFont="1" applyBorder="1"/>
    <xf numFmtId="166" fontId="1" fillId="0" borderId="2" xfId="0" applyNumberFormat="1" applyFont="1" applyBorder="1"/>
    <xf numFmtId="0" fontId="0" fillId="0" borderId="2" xfId="0" applyBorder="1"/>
    <xf numFmtId="170" fontId="1" fillId="0" borderId="2" xfId="0" applyNumberFormat="1" applyFont="1" applyBorder="1"/>
    <xf numFmtId="43" fontId="1" fillId="0" borderId="2" xfId="1" applyFont="1" applyFill="1" applyBorder="1"/>
    <xf numFmtId="169" fontId="1" fillId="0" borderId="2" xfId="0" applyNumberFormat="1" applyFont="1" applyBorder="1"/>
    <xf numFmtId="0" fontId="2" fillId="9" borderId="0" xfId="0" applyFont="1" applyFill="1" applyAlignment="1">
      <alignment horizontal="center"/>
    </xf>
    <xf numFmtId="17" fontId="2" fillId="9" borderId="0" xfId="0" applyNumberFormat="1" applyFont="1" applyFill="1" applyAlignment="1">
      <alignment horizontal="center"/>
    </xf>
    <xf numFmtId="171" fontId="0" fillId="0" borderId="0" xfId="0" applyNumberFormat="1"/>
    <xf numFmtId="17" fontId="2" fillId="7" borderId="0" xfId="0" applyNumberFormat="1" applyFont="1" applyFill="1" applyAlignment="1">
      <alignment horizontal="center"/>
    </xf>
    <xf numFmtId="0" fontId="2" fillId="0" borderId="0" xfId="0" applyFont="1" applyAlignment="1">
      <alignment horizontal="center"/>
    </xf>
    <xf numFmtId="0" fontId="0" fillId="0" borderId="1" xfId="0" applyBorder="1"/>
    <xf numFmtId="10" fontId="0" fillId="0" borderId="1" xfId="6" applyNumberFormat="1" applyFont="1" applyBorder="1"/>
    <xf numFmtId="0" fontId="0" fillId="0" borderId="3" xfId="0" applyBorder="1"/>
    <xf numFmtId="10" fontId="0" fillId="0" borderId="3" xfId="6" applyNumberFormat="1" applyFont="1" applyBorder="1"/>
    <xf numFmtId="0" fontId="0" fillId="0" borderId="4" xfId="0" applyBorder="1"/>
    <xf numFmtId="172" fontId="0" fillId="0" borderId="0" xfId="0" applyNumberFormat="1"/>
    <xf numFmtId="4" fontId="0" fillId="0" borderId="0" xfId="0" applyNumberFormat="1"/>
    <xf numFmtId="0" fontId="0" fillId="10" borderId="0" xfId="0" applyFill="1" applyAlignment="1">
      <alignment horizontal="left"/>
    </xf>
    <xf numFmtId="173" fontId="0" fillId="10" borderId="0" xfId="0" applyNumberFormat="1" applyFill="1"/>
    <xf numFmtId="0" fontId="0" fillId="10" borderId="0" xfId="0" applyFill="1"/>
    <xf numFmtId="10" fontId="0" fillId="10" borderId="0" xfId="6" applyNumberFormat="1" applyFont="1" applyFill="1"/>
    <xf numFmtId="0" fontId="0" fillId="11" borderId="0" xfId="0" applyFill="1"/>
    <xf numFmtId="173" fontId="0" fillId="11" borderId="0" xfId="0" applyNumberFormat="1" applyFill="1"/>
    <xf numFmtId="10" fontId="0" fillId="11" borderId="0" xfId="6" applyNumberFormat="1" applyFont="1" applyFill="1"/>
    <xf numFmtId="0" fontId="2" fillId="0" borderId="0" xfId="0" applyFont="1" applyAlignment="1">
      <alignment horizontal="left"/>
    </xf>
    <xf numFmtId="0" fontId="2" fillId="9" borderId="0" xfId="0" applyFont="1" applyFill="1" applyAlignment="1">
      <alignment horizontal="left"/>
    </xf>
    <xf numFmtId="0" fontId="0" fillId="11" borderId="0" xfId="0" applyFill="1" applyAlignment="1">
      <alignment horizontal="left"/>
    </xf>
    <xf numFmtId="10" fontId="1" fillId="0" borderId="0" xfId="6" applyNumberFormat="1" applyFont="1"/>
    <xf numFmtId="0" fontId="1" fillId="0" borderId="5" xfId="0" applyFont="1" applyBorder="1"/>
    <xf numFmtId="17" fontId="1" fillId="0" borderId="5" xfId="0" applyNumberFormat="1" applyFont="1" applyBorder="1"/>
    <xf numFmtId="0" fontId="0" fillId="0" borderId="6" xfId="0" applyBorder="1"/>
    <xf numFmtId="9" fontId="0" fillId="0" borderId="0" xfId="0" applyNumberFormat="1"/>
    <xf numFmtId="9" fontId="15" fillId="0" borderId="0" xfId="0" applyNumberFormat="1" applyFont="1"/>
    <xf numFmtId="2" fontId="15" fillId="0" borderId="0" xfId="0" applyNumberFormat="1" applyFont="1"/>
    <xf numFmtId="0" fontId="0" fillId="0" borderId="7" xfId="0" applyBorder="1"/>
    <xf numFmtId="0" fontId="0" fillId="0" borderId="8" xfId="0" applyBorder="1"/>
    <xf numFmtId="0" fontId="1" fillId="0" borderId="7" xfId="0" applyFont="1" applyBorder="1"/>
    <xf numFmtId="0" fontId="1" fillId="0" borderId="8" xfId="0" applyFont="1" applyBorder="1"/>
    <xf numFmtId="9" fontId="0" fillId="0" borderId="7" xfId="0" applyNumberFormat="1" applyBorder="1"/>
    <xf numFmtId="9" fontId="0" fillId="0" borderId="8" xfId="0" applyNumberFormat="1" applyBorder="1"/>
    <xf numFmtId="10" fontId="15" fillId="0" borderId="0" xfId="0" applyNumberFormat="1" applyFont="1"/>
    <xf numFmtId="4" fontId="0" fillId="0" borderId="0" xfId="0" applyNumberFormat="1" applyAlignment="1">
      <alignment horizontal="left"/>
    </xf>
    <xf numFmtId="0" fontId="0" fillId="0" borderId="9" xfId="0" applyBorder="1"/>
    <xf numFmtId="10" fontId="1" fillId="12" borderId="7" xfId="0" applyNumberFormat="1" applyFont="1" applyFill="1" applyBorder="1"/>
    <xf numFmtId="4" fontId="1" fillId="10" borderId="7" xfId="0" applyNumberFormat="1" applyFont="1" applyFill="1" applyBorder="1" applyAlignment="1">
      <alignment horizontal="left"/>
    </xf>
    <xf numFmtId="10" fontId="1" fillId="10" borderId="7" xfId="6" applyNumberFormat="1" applyFont="1" applyFill="1" applyBorder="1"/>
    <xf numFmtId="10" fontId="0" fillId="10" borderId="0" xfId="0" applyNumberFormat="1" applyFill="1"/>
    <xf numFmtId="0" fontId="1" fillId="0" borderId="6" xfId="0" applyFont="1" applyBorder="1"/>
    <xf numFmtId="0" fontId="0" fillId="0" borderId="10" xfId="0" applyBorder="1"/>
    <xf numFmtId="10" fontId="1" fillId="10" borderId="7" xfId="0" applyNumberFormat="1" applyFont="1" applyFill="1" applyBorder="1"/>
    <xf numFmtId="0" fontId="1" fillId="0" borderId="9" xfId="0" applyFont="1" applyBorder="1"/>
    <xf numFmtId="10" fontId="1" fillId="10" borderId="7" xfId="6" applyNumberFormat="1" applyFont="1" applyFill="1" applyBorder="1" applyAlignment="1"/>
    <xf numFmtId="0" fontId="16" fillId="0" borderId="0" xfId="0" applyFont="1"/>
    <xf numFmtId="0" fontId="0" fillId="0" borderId="0" xfId="0" applyAlignment="1">
      <alignment horizontal="left" vertical="top"/>
    </xf>
    <xf numFmtId="2" fontId="1" fillId="10" borderId="7" xfId="0" applyNumberFormat="1" applyFont="1" applyFill="1" applyBorder="1"/>
    <xf numFmtId="15" fontId="0" fillId="0" borderId="0" xfId="0" applyNumberFormat="1"/>
    <xf numFmtId="17" fontId="0" fillId="0" borderId="0" xfId="0" applyNumberFormat="1"/>
    <xf numFmtId="0" fontId="13" fillId="0" borderId="11" xfId="0" applyFont="1" applyBorder="1" applyAlignment="1">
      <alignment horizontal="center"/>
    </xf>
    <xf numFmtId="0" fontId="13" fillId="0" borderId="11" xfId="0" applyFont="1" applyBorder="1" applyAlignment="1">
      <alignment horizontal="centerContinuous"/>
    </xf>
    <xf numFmtId="2" fontId="0" fillId="0" borderId="0" xfId="0" applyNumberFormat="1"/>
    <xf numFmtId="0" fontId="17" fillId="10" borderId="12" xfId="0" applyFont="1" applyFill="1" applyBorder="1"/>
    <xf numFmtId="0" fontId="0" fillId="10" borderId="12" xfId="0" applyFill="1" applyBorder="1"/>
    <xf numFmtId="2" fontId="0" fillId="10" borderId="12" xfId="0" applyNumberFormat="1" applyFill="1" applyBorder="1"/>
    <xf numFmtId="2" fontId="0" fillId="0" borderId="0" xfId="6" applyNumberFormat="1" applyFont="1"/>
    <xf numFmtId="0" fontId="12" fillId="0" borderId="0" xfId="0" applyFont="1" applyAlignment="1">
      <alignment horizontal="left"/>
    </xf>
    <xf numFmtId="0" fontId="12" fillId="0" borderId="0" xfId="0" applyFont="1" applyAlignment="1">
      <alignment horizontal="right"/>
    </xf>
    <xf numFmtId="10" fontId="0" fillId="0" borderId="0" xfId="6" applyNumberFormat="1" applyFont="1" applyAlignment="1">
      <alignment horizontal="right"/>
    </xf>
    <xf numFmtId="10" fontId="0" fillId="0" borderId="0" xfId="0" applyNumberFormat="1" applyAlignment="1">
      <alignment horizontal="right"/>
    </xf>
    <xf numFmtId="0" fontId="12" fillId="13" borderId="0" xfId="0" applyFont="1" applyFill="1"/>
    <xf numFmtId="10" fontId="12" fillId="13" borderId="0" xfId="0" applyNumberFormat="1" applyFont="1" applyFill="1"/>
    <xf numFmtId="0" fontId="2" fillId="6" borderId="0" xfId="0" applyFont="1" applyFill="1" applyAlignment="1">
      <alignment horizontal="center"/>
    </xf>
    <xf numFmtId="0" fontId="2" fillId="6" borderId="0" xfId="0" applyFont="1" applyFill="1"/>
    <xf numFmtId="17" fontId="2" fillId="6" borderId="0" xfId="0" applyNumberFormat="1" applyFont="1" applyFill="1"/>
    <xf numFmtId="0" fontId="0" fillId="0" borderId="13" xfId="0" applyBorder="1"/>
    <xf numFmtId="0" fontId="1" fillId="0" borderId="13" xfId="0" applyFont="1" applyBorder="1"/>
    <xf numFmtId="4" fontId="1" fillId="0" borderId="2" xfId="0" applyNumberFormat="1" applyFont="1" applyBorder="1"/>
    <xf numFmtId="43" fontId="0" fillId="0" borderId="0" xfId="0" applyNumberFormat="1"/>
    <xf numFmtId="4" fontId="0" fillId="0" borderId="2" xfId="0" applyNumberFormat="1" applyBorder="1"/>
    <xf numFmtId="0" fontId="19" fillId="14" borderId="0" xfId="0" applyFont="1" applyFill="1" applyAlignment="1">
      <alignment horizontal="left" vertical="center"/>
    </xf>
    <xf numFmtId="3" fontId="19" fillId="14" borderId="0" xfId="0" applyNumberFormat="1" applyFont="1" applyFill="1" applyAlignment="1">
      <alignment horizontal="right" vertical="center" wrapText="1"/>
    </xf>
    <xf numFmtId="3" fontId="0" fillId="0" borderId="0" xfId="0" applyNumberFormat="1"/>
    <xf numFmtId="10" fontId="0" fillId="0" borderId="2" xfId="6" applyNumberFormat="1" applyFont="1" applyBorder="1"/>
    <xf numFmtId="0" fontId="1" fillId="11" borderId="0" xfId="0" applyFont="1" applyFill="1"/>
    <xf numFmtId="10" fontId="1" fillId="11" borderId="0" xfId="0" applyNumberFormat="1" applyFont="1" applyFill="1"/>
    <xf numFmtId="10" fontId="1" fillId="0" borderId="2" xfId="0" applyNumberFormat="1" applyFont="1" applyBorder="1"/>
    <xf numFmtId="43" fontId="3" fillId="0" borderId="15" xfId="1" applyFont="1" applyBorder="1"/>
    <xf numFmtId="0" fontId="0" fillId="0" borderId="15" xfId="0" applyBorder="1"/>
    <xf numFmtId="4" fontId="0" fillId="0" borderId="15" xfId="0" applyNumberFormat="1" applyBorder="1"/>
    <xf numFmtId="43" fontId="3" fillId="0" borderId="14" xfId="1" applyFont="1" applyBorder="1"/>
    <xf numFmtId="0" fontId="0" fillId="0" borderId="14" xfId="0" applyBorder="1"/>
    <xf numFmtId="4" fontId="0" fillId="0" borderId="14" xfId="0" applyNumberFormat="1" applyBorder="1"/>
    <xf numFmtId="43" fontId="0" fillId="0" borderId="16" xfId="0" applyNumberFormat="1" applyBorder="1"/>
    <xf numFmtId="0" fontId="0" fillId="0" borderId="16" xfId="0" applyBorder="1"/>
    <xf numFmtId="4" fontId="0" fillId="0" borderId="16" xfId="0" applyNumberFormat="1" applyBorder="1"/>
    <xf numFmtId="43" fontId="0" fillId="0" borderId="1" xfId="0" applyNumberFormat="1" applyBorder="1"/>
    <xf numFmtId="4" fontId="0" fillId="0" borderId="1" xfId="0" applyNumberFormat="1" applyBorder="1"/>
    <xf numFmtId="0" fontId="0" fillId="0" borderId="17" xfId="0" applyBorder="1"/>
    <xf numFmtId="4" fontId="0" fillId="0" borderId="17" xfId="0" applyNumberFormat="1" applyBorder="1"/>
    <xf numFmtId="9" fontId="15" fillId="0" borderId="17" xfId="0" applyNumberFormat="1" applyFont="1" applyBorder="1"/>
    <xf numFmtId="10" fontId="0" fillId="0" borderId="17" xfId="0" applyNumberFormat="1" applyBorder="1"/>
    <xf numFmtId="0" fontId="0" fillId="0" borderId="18" xfId="0" applyBorder="1"/>
    <xf numFmtId="10" fontId="0" fillId="0" borderId="18" xfId="0" applyNumberFormat="1" applyBorder="1"/>
    <xf numFmtId="0" fontId="1" fillId="10" borderId="0" xfId="0" applyFont="1" applyFill="1"/>
    <xf numFmtId="10" fontId="1" fillId="10" borderId="0" xfId="6" applyNumberFormat="1" applyFont="1" applyFill="1"/>
    <xf numFmtId="10" fontId="1" fillId="10" borderId="0" xfId="0" applyNumberFormat="1" applyFont="1" applyFill="1"/>
    <xf numFmtId="2" fontId="1" fillId="0" borderId="2" xfId="0" applyNumberFormat="1" applyFont="1" applyBorder="1"/>
    <xf numFmtId="0" fontId="1" fillId="0" borderId="19" xfId="0" applyFont="1" applyBorder="1"/>
    <xf numFmtId="169" fontId="1" fillId="0" borderId="19" xfId="0" applyNumberFormat="1" applyFont="1" applyBorder="1"/>
    <xf numFmtId="169" fontId="1" fillId="0" borderId="0" xfId="0" applyNumberFormat="1" applyFont="1"/>
    <xf numFmtId="0" fontId="1" fillId="0" borderId="20" xfId="0" applyFont="1" applyBorder="1"/>
    <xf numFmtId="2" fontId="1" fillId="0" borderId="20" xfId="0" applyNumberFormat="1" applyFont="1" applyBorder="1"/>
    <xf numFmtId="175" fontId="0" fillId="0" borderId="0" xfId="0" applyNumberFormat="1"/>
    <xf numFmtId="172" fontId="2" fillId="6" borderId="0" xfId="0" applyNumberFormat="1" applyFont="1" applyFill="1"/>
    <xf numFmtId="174" fontId="2" fillId="6" borderId="0" xfId="0" applyNumberFormat="1" applyFont="1" applyFill="1"/>
    <xf numFmtId="9" fontId="15" fillId="0" borderId="15" xfId="0" applyNumberFormat="1" applyFont="1" applyBorder="1"/>
    <xf numFmtId="10" fontId="0" fillId="0" borderId="15" xfId="0" applyNumberFormat="1" applyBorder="1"/>
    <xf numFmtId="10" fontId="0" fillId="0" borderId="15" xfId="6" applyNumberFormat="1" applyFont="1" applyBorder="1"/>
    <xf numFmtId="2" fontId="0" fillId="0" borderId="15" xfId="0" applyNumberFormat="1" applyBorder="1"/>
    <xf numFmtId="0" fontId="13" fillId="0" borderId="0" xfId="0" applyFont="1"/>
    <xf numFmtId="0" fontId="20" fillId="0" borderId="0" xfId="0" applyFont="1"/>
    <xf numFmtId="0" fontId="5" fillId="6" borderId="0" xfId="0" applyFont="1" applyFill="1"/>
    <xf numFmtId="0" fontId="1" fillId="0" borderId="23" xfId="0" applyFont="1" applyBorder="1"/>
    <xf numFmtId="171" fontId="0" fillId="0" borderId="15" xfId="0" applyNumberFormat="1" applyBorder="1"/>
    <xf numFmtId="2" fontId="0" fillId="0" borderId="14" xfId="0" applyNumberFormat="1" applyBorder="1"/>
    <xf numFmtId="171" fontId="0" fillId="0" borderId="14" xfId="0" applyNumberFormat="1" applyBorder="1"/>
    <xf numFmtId="0" fontId="0" fillId="10" borderId="15" xfId="0" applyFill="1" applyBorder="1"/>
    <xf numFmtId="171" fontId="0" fillId="10" borderId="15" xfId="0" applyNumberFormat="1" applyFill="1" applyBorder="1"/>
    <xf numFmtId="171" fontId="1" fillId="10" borderId="15" xfId="0" applyNumberFormat="1" applyFont="1" applyFill="1" applyBorder="1"/>
    <xf numFmtId="0" fontId="0" fillId="10" borderId="23" xfId="0" applyFill="1" applyBorder="1"/>
    <xf numFmtId="171" fontId="0" fillId="10" borderId="23" xfId="0" applyNumberFormat="1" applyFill="1" applyBorder="1"/>
    <xf numFmtId="169" fontId="1" fillId="0" borderId="24" xfId="0" applyNumberFormat="1" applyFont="1" applyBorder="1"/>
    <xf numFmtId="10" fontId="1" fillId="0" borderId="7" xfId="0" applyNumberFormat="1" applyFont="1" applyBorder="1"/>
    <xf numFmtId="10" fontId="1" fillId="0" borderId="25" xfId="0" applyNumberFormat="1" applyFont="1" applyBorder="1"/>
    <xf numFmtId="4" fontId="0" fillId="10" borderId="0" xfId="0" applyNumberFormat="1" applyFill="1"/>
    <xf numFmtId="0" fontId="10" fillId="6" borderId="0" xfId="0" applyFont="1" applyFill="1" applyAlignment="1">
      <alignment horizontal="right"/>
    </xf>
    <xf numFmtId="2" fontId="10" fillId="6" borderId="0" xfId="6" applyNumberFormat="1" applyFont="1" applyFill="1"/>
    <xf numFmtId="0" fontId="10" fillId="6" borderId="0" xfId="0" applyFont="1" applyFill="1"/>
    <xf numFmtId="9" fontId="0" fillId="0" borderId="17" xfId="0" applyNumberFormat="1" applyBorder="1"/>
    <xf numFmtId="167" fontId="0" fillId="0" borderId="17" xfId="0" applyNumberFormat="1" applyBorder="1"/>
    <xf numFmtId="43" fontId="0" fillId="0" borderId="17" xfId="0" applyNumberFormat="1" applyBorder="1"/>
    <xf numFmtId="43" fontId="0" fillId="0" borderId="15" xfId="0" applyNumberFormat="1" applyBorder="1"/>
    <xf numFmtId="0" fontId="0" fillId="0" borderId="26" xfId="0" applyBorder="1"/>
    <xf numFmtId="0" fontId="0" fillId="0" borderId="27" xfId="0" applyBorder="1"/>
    <xf numFmtId="17" fontId="1" fillId="0" borderId="0" xfId="0" applyNumberFormat="1" applyFont="1"/>
    <xf numFmtId="176" fontId="0" fillId="0" borderId="0" xfId="0" applyNumberFormat="1"/>
    <xf numFmtId="177" fontId="1" fillId="0" borderId="23" xfId="0" applyNumberFormat="1" applyFont="1" applyBorder="1"/>
    <xf numFmtId="2" fontId="1" fillId="0" borderId="23" xfId="0" applyNumberFormat="1" applyFont="1" applyBorder="1"/>
    <xf numFmtId="10" fontId="2" fillId="0" borderId="0" xfId="6" applyNumberFormat="1" applyFont="1" applyFill="1"/>
    <xf numFmtId="0" fontId="5" fillId="0" borderId="0" xfId="0" applyFont="1"/>
    <xf numFmtId="17" fontId="24" fillId="0" borderId="0" xfId="0" applyNumberFormat="1" applyFont="1" applyAlignment="1">
      <alignment horizontal="center"/>
    </xf>
    <xf numFmtId="0" fontId="9" fillId="0" borderId="0" xfId="0" applyFont="1" applyAlignment="1">
      <alignment horizontal="left"/>
    </xf>
    <xf numFmtId="176" fontId="0" fillId="0" borderId="0" xfId="0" applyNumberFormat="1" applyAlignment="1">
      <alignment horizontal="right"/>
    </xf>
    <xf numFmtId="0" fontId="0" fillId="0" borderId="30" xfId="0" applyBorder="1"/>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10" fontId="0" fillId="0" borderId="0" xfId="0" applyNumberFormat="1" applyAlignment="1">
      <alignment horizontal="right" vertical="center" wrapText="1"/>
    </xf>
    <xf numFmtId="3" fontId="0" fillId="0" borderId="0" xfId="0" applyNumberFormat="1" applyAlignment="1">
      <alignment horizontal="right" vertical="center" wrapText="1"/>
    </xf>
    <xf numFmtId="43" fontId="1" fillId="0" borderId="0" xfId="0" applyNumberFormat="1" applyFont="1"/>
    <xf numFmtId="0" fontId="0" fillId="6" borderId="0" xfId="0" applyFill="1"/>
    <xf numFmtId="0" fontId="2" fillId="6" borderId="28" xfId="0" applyFont="1" applyFill="1" applyBorder="1"/>
    <xf numFmtId="0" fontId="2" fillId="6" borderId="29" xfId="0" applyFont="1" applyFill="1" applyBorder="1"/>
    <xf numFmtId="0" fontId="1" fillId="6" borderId="0" xfId="0" applyFont="1" applyFill="1"/>
    <xf numFmtId="0" fontId="2" fillId="15" borderId="0" xfId="0" applyFont="1" applyFill="1"/>
    <xf numFmtId="0" fontId="5" fillId="15" borderId="0" xfId="0" applyFont="1" applyFill="1"/>
    <xf numFmtId="10" fontId="2" fillId="15" borderId="0" xfId="6" applyNumberFormat="1" applyFont="1" applyFill="1"/>
    <xf numFmtId="0" fontId="2" fillId="16" borderId="0" xfId="0" applyFont="1" applyFill="1"/>
    <xf numFmtId="0" fontId="5" fillId="16" borderId="0" xfId="0" applyFont="1" applyFill="1"/>
    <xf numFmtId="10" fontId="2" fillId="16" borderId="0" xfId="6" applyNumberFormat="1" applyFont="1" applyFill="1"/>
    <xf numFmtId="171" fontId="2" fillId="16" borderId="0" xfId="6" applyNumberFormat="1" applyFont="1" applyFill="1"/>
    <xf numFmtId="171" fontId="5" fillId="16" borderId="0" xfId="0" applyNumberFormat="1" applyFont="1" applyFill="1"/>
    <xf numFmtId="0" fontId="2" fillId="6" borderId="6" xfId="0" applyFont="1" applyFill="1" applyBorder="1"/>
    <xf numFmtId="0" fontId="25" fillId="6" borderId="0" xfId="0" applyFont="1" applyFill="1"/>
    <xf numFmtId="9" fontId="0" fillId="0" borderId="0" xfId="6" applyFont="1"/>
    <xf numFmtId="0" fontId="27" fillId="17" borderId="2" xfId="0" applyFont="1" applyFill="1" applyBorder="1"/>
    <xf numFmtId="0" fontId="0" fillId="17" borderId="2" xfId="0" applyFill="1" applyBorder="1"/>
    <xf numFmtId="0" fontId="28" fillId="17" borderId="0" xfId="0" applyFont="1" applyFill="1"/>
    <xf numFmtId="0" fontId="0" fillId="17" borderId="0" xfId="0" applyFill="1"/>
    <xf numFmtId="3" fontId="0" fillId="17" borderId="0" xfId="0" applyNumberFormat="1" applyFill="1"/>
    <xf numFmtId="43" fontId="0" fillId="17" borderId="0" xfId="0" applyNumberFormat="1" applyFill="1"/>
    <xf numFmtId="0" fontId="29" fillId="6" borderId="0" xfId="0" applyFont="1" applyFill="1"/>
    <xf numFmtId="167" fontId="2" fillId="6" borderId="0" xfId="0" applyNumberFormat="1" applyFont="1" applyFill="1"/>
    <xf numFmtId="0" fontId="27" fillId="18" borderId="0" xfId="0" applyFont="1" applyFill="1"/>
    <xf numFmtId="176" fontId="27" fillId="18" borderId="0" xfId="0" applyNumberFormat="1" applyFont="1" applyFill="1"/>
    <xf numFmtId="167" fontId="0" fillId="0" borderId="0" xfId="0" applyNumberFormat="1"/>
    <xf numFmtId="176" fontId="30" fillId="18" borderId="0" xfId="0" applyNumberFormat="1" applyFont="1" applyFill="1" applyAlignment="1">
      <alignment horizontal="right"/>
    </xf>
    <xf numFmtId="176" fontId="28" fillId="18" borderId="0" xfId="0" applyNumberFormat="1" applyFont="1" applyFill="1"/>
    <xf numFmtId="9" fontId="30" fillId="18" borderId="0" xfId="0" applyNumberFormat="1" applyFont="1" applyFill="1" applyAlignment="1">
      <alignment horizontal="right"/>
    </xf>
    <xf numFmtId="9" fontId="28" fillId="18" borderId="0" xfId="0" applyNumberFormat="1" applyFont="1" applyFill="1"/>
    <xf numFmtId="0" fontId="0" fillId="0" borderId="0" xfId="0" applyAlignment="1">
      <alignment horizontal="center"/>
    </xf>
    <xf numFmtId="10" fontId="0" fillId="0" borderId="31" xfId="0" applyNumberFormat="1" applyBorder="1"/>
    <xf numFmtId="0" fontId="32" fillId="6" borderId="32" xfId="0" applyFont="1" applyFill="1" applyBorder="1" applyAlignment="1">
      <alignment vertical="center"/>
    </xf>
    <xf numFmtId="2" fontId="5" fillId="6" borderId="32" xfId="0" applyNumberFormat="1" applyFont="1" applyFill="1" applyBorder="1"/>
    <xf numFmtId="0" fontId="5" fillId="6" borderId="32" xfId="0" applyFont="1" applyFill="1" applyBorder="1"/>
    <xf numFmtId="0" fontId="33" fillId="13" borderId="33" xfId="0" applyFont="1" applyFill="1" applyBorder="1"/>
    <xf numFmtId="2" fontId="0" fillId="0" borderId="33" xfId="0" applyNumberFormat="1" applyBorder="1"/>
    <xf numFmtId="0" fontId="0" fillId="0" borderId="33" xfId="0" applyBorder="1"/>
    <xf numFmtId="2" fontId="0" fillId="0" borderId="1" xfId="0" applyNumberFormat="1" applyBorder="1"/>
    <xf numFmtId="2" fontId="0" fillId="0" borderId="1" xfId="0" applyNumberFormat="1" applyBorder="1" applyAlignment="1">
      <alignment horizontal="right"/>
    </xf>
    <xf numFmtId="2" fontId="34" fillId="0" borderId="1" xfId="0" applyNumberFormat="1" applyFont="1" applyBorder="1"/>
    <xf numFmtId="9" fontId="0" fillId="0" borderId="1" xfId="6" applyFont="1" applyBorder="1" applyAlignment="1">
      <alignment horizontal="right"/>
    </xf>
    <xf numFmtId="0" fontId="0" fillId="0" borderId="34" xfId="0" applyBorder="1"/>
    <xf numFmtId="2" fontId="0" fillId="0" borderId="34" xfId="0" applyNumberFormat="1" applyBorder="1"/>
    <xf numFmtId="9" fontId="0" fillId="0" borderId="34" xfId="6" applyFont="1" applyBorder="1" applyAlignment="1">
      <alignment horizontal="right"/>
    </xf>
    <xf numFmtId="0" fontId="33" fillId="13" borderId="27" xfId="0" applyFont="1" applyFill="1" applyBorder="1"/>
    <xf numFmtId="2" fontId="0" fillId="0" borderId="27" xfId="0" applyNumberFormat="1" applyBorder="1"/>
    <xf numFmtId="0" fontId="19" fillId="14" borderId="1" xfId="0" applyFont="1" applyFill="1" applyBorder="1" applyAlignment="1">
      <alignment horizontal="right" vertical="center" wrapText="1"/>
    </xf>
    <xf numFmtId="0" fontId="32" fillId="6" borderId="6" xfId="0" applyFont="1" applyFill="1" applyBorder="1" applyAlignment="1">
      <alignment vertical="center"/>
    </xf>
    <xf numFmtId="2" fontId="5" fillId="6" borderId="6" xfId="0" applyNumberFormat="1" applyFont="1" applyFill="1" applyBorder="1"/>
    <xf numFmtId="9" fontId="35" fillId="0" borderId="1" xfId="6" applyFont="1" applyFill="1" applyBorder="1"/>
    <xf numFmtId="2" fontId="35" fillId="0" borderId="1" xfId="0" applyNumberFormat="1" applyFont="1" applyBorder="1"/>
    <xf numFmtId="2" fontId="35" fillId="0" borderId="34" xfId="0" applyNumberFormat="1" applyFont="1" applyBorder="1"/>
    <xf numFmtId="0" fontId="1" fillId="0" borderId="27" xfId="0" applyFont="1" applyBorder="1"/>
    <xf numFmtId="2" fontId="0" fillId="0" borderId="1" xfId="0" applyNumberFormat="1" applyBorder="1" applyAlignment="1">
      <alignment horizontal="left"/>
    </xf>
    <xf numFmtId="0" fontId="31" fillId="6" borderId="0" xfId="0" applyFont="1" applyFill="1" applyAlignment="1">
      <alignment vertical="center"/>
    </xf>
    <xf numFmtId="2" fontId="5" fillId="6" borderId="0" xfId="0" applyNumberFormat="1" applyFont="1" applyFill="1"/>
    <xf numFmtId="2" fontId="19" fillId="0" borderId="1" xfId="0" applyNumberFormat="1" applyFont="1" applyBorder="1" applyAlignment="1">
      <alignment vertical="top" wrapText="1"/>
    </xf>
    <xf numFmtId="43" fontId="0" fillId="0" borderId="1" xfId="1" applyFont="1" applyBorder="1" applyAlignment="1"/>
    <xf numFmtId="9" fontId="0" fillId="0" borderId="1" xfId="6" applyFont="1" applyBorder="1" applyAlignment="1">
      <alignment vertical="top"/>
    </xf>
    <xf numFmtId="9" fontId="0" fillId="0" borderId="34" xfId="6" applyFont="1" applyBorder="1" applyAlignment="1">
      <alignment vertical="top"/>
    </xf>
    <xf numFmtId="2" fontId="0" fillId="0" borderId="27" xfId="6" applyNumberFormat="1" applyFont="1" applyBorder="1"/>
    <xf numFmtId="2" fontId="0" fillId="0" borderId="1" xfId="6" applyNumberFormat="1" applyFont="1" applyBorder="1"/>
    <xf numFmtId="10" fontId="0" fillId="0" borderId="34" xfId="6" applyNumberFormat="1" applyFont="1" applyBorder="1"/>
    <xf numFmtId="9" fontId="0" fillId="0" borderId="35" xfId="0" applyNumberFormat="1" applyBorder="1"/>
    <xf numFmtId="43" fontId="0" fillId="0" borderId="35" xfId="0" applyNumberFormat="1" applyBorder="1"/>
    <xf numFmtId="43" fontId="0" fillId="0" borderId="36" xfId="0" applyNumberFormat="1" applyBorder="1"/>
    <xf numFmtId="0" fontId="0" fillId="0" borderId="36" xfId="0" applyBorder="1"/>
    <xf numFmtId="2" fontId="0" fillId="0" borderId="31" xfId="0" applyNumberFormat="1" applyBorder="1"/>
    <xf numFmtId="2" fontId="0" fillId="0" borderId="8" xfId="0" applyNumberFormat="1" applyBorder="1"/>
    <xf numFmtId="178" fontId="2" fillId="7" borderId="0" xfId="0" applyNumberFormat="1" applyFont="1" applyFill="1"/>
    <xf numFmtId="8" fontId="0" fillId="0" borderId="0" xfId="0" applyNumberFormat="1" applyAlignment="1">
      <alignment horizontal="right" vertical="center" wrapText="1"/>
    </xf>
    <xf numFmtId="10" fontId="1" fillId="0" borderId="0" xfId="0" applyNumberFormat="1" applyFont="1" applyAlignment="1">
      <alignment horizontal="right" vertical="center" wrapText="1"/>
    </xf>
    <xf numFmtId="0" fontId="2" fillId="6" borderId="0" xfId="0" applyFont="1" applyFill="1" applyAlignment="1">
      <alignment horizontal="center"/>
    </xf>
    <xf numFmtId="43" fontId="4" fillId="0" borderId="0" xfId="2" applyNumberFormat="1" applyBorder="1" applyAlignment="1" applyProtection="1">
      <alignment horizontal="center"/>
    </xf>
    <xf numFmtId="43" fontId="2" fillId="4" borderId="0" xfId="5" applyNumberFormat="1" applyFont="1" applyBorder="1" applyAlignment="1">
      <alignment horizontal="center"/>
    </xf>
    <xf numFmtId="0" fontId="2" fillId="6" borderId="0" xfId="0" applyFont="1" applyFill="1" applyAlignment="1">
      <alignment horizontal="left"/>
    </xf>
    <xf numFmtId="43" fontId="2" fillId="6" borderId="0" xfId="0" applyNumberFormat="1" applyFont="1" applyFill="1" applyAlignment="1">
      <alignment horizontal="center"/>
    </xf>
    <xf numFmtId="0" fontId="5" fillId="6" borderId="0" xfId="0" applyFont="1" applyFill="1" applyAlignment="1">
      <alignment horizontal="center"/>
    </xf>
    <xf numFmtId="0" fontId="10" fillId="7" borderId="0" xfId="0" applyFont="1" applyFill="1" applyAlignment="1">
      <alignment horizontal="center"/>
    </xf>
    <xf numFmtId="0" fontId="2" fillId="9" borderId="0" xfId="0" applyFont="1" applyFill="1" applyAlignment="1">
      <alignment horizontal="center"/>
    </xf>
    <xf numFmtId="0" fontId="10" fillId="6" borderId="0" xfId="0" applyFont="1" applyFill="1" applyAlignment="1">
      <alignment horizontal="center"/>
    </xf>
    <xf numFmtId="0" fontId="2" fillId="6" borderId="0" xfId="0" applyFont="1" applyFill="1" applyAlignment="1">
      <alignment horizontal="center" wrapText="1"/>
    </xf>
    <xf numFmtId="0" fontId="2" fillId="6" borderId="21" xfId="0" applyFont="1" applyFill="1" applyBorder="1" applyAlignment="1">
      <alignment horizontal="center"/>
    </xf>
    <xf numFmtId="0" fontId="2" fillId="6" borderId="22" xfId="0" applyFont="1" applyFill="1" applyBorder="1" applyAlignment="1">
      <alignment horizontal="center"/>
    </xf>
    <xf numFmtId="43" fontId="22" fillId="6" borderId="0" xfId="0" applyNumberFormat="1" applyFont="1" applyFill="1" applyAlignment="1">
      <alignment horizontal="center"/>
    </xf>
    <xf numFmtId="0" fontId="0" fillId="6" borderId="21" xfId="0" applyFill="1" applyBorder="1" applyAlignment="1">
      <alignment horizontal="center"/>
    </xf>
    <xf numFmtId="0" fontId="0" fillId="6" borderId="0" xfId="0" applyFill="1" applyAlignment="1">
      <alignment horizontal="center"/>
    </xf>
    <xf numFmtId="0" fontId="21" fillId="0" borderId="0" xfId="0" applyFont="1" applyAlignment="1">
      <alignment horizontal="center"/>
    </xf>
    <xf numFmtId="0" fontId="23" fillId="0" borderId="0" xfId="0" applyFont="1" applyAlignment="1">
      <alignment horizontal="center"/>
    </xf>
    <xf numFmtId="0" fontId="1" fillId="0" borderId="0" xfId="0" applyFont="1" applyAlignment="1">
      <alignment horizontal="center"/>
    </xf>
    <xf numFmtId="2" fontId="5" fillId="6" borderId="0" xfId="0" applyNumberFormat="1" applyFont="1" applyFill="1" applyAlignment="1">
      <alignment horizontal="center"/>
    </xf>
    <xf numFmtId="2" fontId="0" fillId="0" borderId="8" xfId="0" applyNumberFormat="1" applyBorder="1" applyAlignment="1">
      <alignment horizontal="center"/>
    </xf>
    <xf numFmtId="0" fontId="31" fillId="6" borderId="8" xfId="0" applyFont="1" applyFill="1" applyBorder="1" applyAlignment="1">
      <alignment horizontal="center" vertical="center"/>
    </xf>
    <xf numFmtId="0" fontId="31" fillId="6" borderId="6" xfId="0" applyFont="1" applyFill="1" applyBorder="1" applyAlignment="1">
      <alignment horizontal="center" vertical="center"/>
    </xf>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cent" xfId="6" builtinId="5"/>
  </cellStyles>
  <dxfs count="31">
    <dxf>
      <font>
        <b/>
        <i val="0"/>
        <color theme="0"/>
      </font>
      <fill>
        <patternFill>
          <bgColor theme="5"/>
        </patternFill>
      </fill>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style="thin">
          <color theme="4"/>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style="thin">
          <color theme="4"/>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i val="0"/>
        <strike val="0"/>
        <condense val="0"/>
        <extend val="0"/>
        <outline val="0"/>
        <shadow val="0"/>
        <u val="none"/>
        <vertAlign val="baseline"/>
        <sz val="11"/>
        <color theme="0"/>
        <name val="Calibri"/>
        <scheme val="minor"/>
      </font>
      <numFmt numFmtId="165" formatCode="[$-409]mmm\-yy;@"/>
      <fill>
        <patternFill patternType="solid">
          <fgColor theme="4"/>
          <bgColor rgb="FF0275D8"/>
        </patternFill>
      </fill>
      <alignment horizontal="center" vertical="bottom" textRotation="0" wrapText="0" relative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rgb="FF0275D8"/>
        </patternFill>
      </fill>
      <border diagonalUp="0" diagonalDown="0" outline="0">
        <left/>
        <right/>
        <top/>
        <bottom/>
      </border>
    </dxf>
    <dxf>
      <font>
        <b/>
        <i val="0"/>
        <strike val="0"/>
        <condense val="0"/>
        <extend val="0"/>
        <outline val="0"/>
        <shadow val="0"/>
        <u val="none"/>
        <vertAlign val="baseline"/>
        <sz val="11"/>
        <color theme="0"/>
        <name val="Calibri"/>
        <scheme val="minor"/>
      </font>
      <fill>
        <patternFill patternType="solid">
          <fgColor theme="4"/>
          <bgColor rgb="FF0275D8"/>
        </patternFill>
      </fill>
      <alignment horizontal="center" vertical="bottom" textRotation="0" wrapText="0" relativeIndent="0" justifyLastLine="0" shrinkToFit="0" readingOrder="0"/>
    </dxf>
  </dxfs>
  <tableStyles count="0" defaultTableStyle="TableStyleMedium9" defaultPivotStyle="PivotStyleLight16"/>
  <colors>
    <mruColors>
      <color rgb="FF0275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tx1"/>
              </a:solidFill>
              <a:round/>
            </a:ln>
            <a:effectLst/>
          </c:spPr>
          <c:marker>
            <c:symbol val="none"/>
          </c:marker>
          <c:val>
            <c:numRef>
              <c:f>VAR!$C$6:$C$127</c:f>
              <c:numCache>
                <c:formatCode>General</c:formatCode>
                <c:ptCount val="122"/>
                <c:pt idx="0">
                  <c:v>11.065</c:v>
                </c:pt>
                <c:pt idx="1">
                  <c:v>10.2875</c:v>
                </c:pt>
                <c:pt idx="2">
                  <c:v>10.06</c:v>
                </c:pt>
                <c:pt idx="3">
                  <c:v>10.192500000000001</c:v>
                </c:pt>
                <c:pt idx="4">
                  <c:v>10.050000000000001</c:v>
                </c:pt>
                <c:pt idx="5">
                  <c:v>10.3125</c:v>
                </c:pt>
                <c:pt idx="6">
                  <c:v>10.119999999999999</c:v>
                </c:pt>
                <c:pt idx="7">
                  <c:v>10.102499999999999</c:v>
                </c:pt>
                <c:pt idx="8">
                  <c:v>11.0075</c:v>
                </c:pt>
                <c:pt idx="9">
                  <c:v>11.154999999999999</c:v>
                </c:pt>
                <c:pt idx="10">
                  <c:v>10.53</c:v>
                </c:pt>
                <c:pt idx="11">
                  <c:v>10.865</c:v>
                </c:pt>
                <c:pt idx="12">
                  <c:v>11.625</c:v>
                </c:pt>
                <c:pt idx="13">
                  <c:v>11.355</c:v>
                </c:pt>
                <c:pt idx="14">
                  <c:v>11.297499999999999</c:v>
                </c:pt>
                <c:pt idx="15">
                  <c:v>11.7325</c:v>
                </c:pt>
                <c:pt idx="16">
                  <c:v>11.59</c:v>
                </c:pt>
                <c:pt idx="17">
                  <c:v>11.8575</c:v>
                </c:pt>
                <c:pt idx="18">
                  <c:v>11.952500000000001</c:v>
                </c:pt>
                <c:pt idx="19">
                  <c:v>11.9725</c:v>
                </c:pt>
                <c:pt idx="20">
                  <c:v>12.067500000000001</c:v>
                </c:pt>
                <c:pt idx="21">
                  <c:v>12.1525</c:v>
                </c:pt>
                <c:pt idx="22">
                  <c:v>12.664999999999999</c:v>
                </c:pt>
                <c:pt idx="23">
                  <c:v>12.6525</c:v>
                </c:pt>
                <c:pt idx="24">
                  <c:v>12.41</c:v>
                </c:pt>
                <c:pt idx="25">
                  <c:v>12.557499999999999</c:v>
                </c:pt>
                <c:pt idx="26">
                  <c:v>12.3</c:v>
                </c:pt>
                <c:pt idx="27">
                  <c:v>12.49</c:v>
                </c:pt>
                <c:pt idx="28">
                  <c:v>12.11</c:v>
                </c:pt>
                <c:pt idx="29">
                  <c:v>12.1625</c:v>
                </c:pt>
                <c:pt idx="30">
                  <c:v>11.9375</c:v>
                </c:pt>
                <c:pt idx="31">
                  <c:v>11.7875</c:v>
                </c:pt>
                <c:pt idx="32">
                  <c:v>12.095000000000001</c:v>
                </c:pt>
                <c:pt idx="33">
                  <c:v>11.9725</c:v>
                </c:pt>
                <c:pt idx="34">
                  <c:v>12.135</c:v>
                </c:pt>
                <c:pt idx="35">
                  <c:v>13.63</c:v>
                </c:pt>
                <c:pt idx="36">
                  <c:v>13.234999999999999</c:v>
                </c:pt>
                <c:pt idx="37">
                  <c:v>12.2425</c:v>
                </c:pt>
                <c:pt idx="38">
                  <c:v>11.967499999999999</c:v>
                </c:pt>
                <c:pt idx="39">
                  <c:v>11.785</c:v>
                </c:pt>
                <c:pt idx="40">
                  <c:v>11.6175</c:v>
                </c:pt>
                <c:pt idx="41">
                  <c:v>11.625</c:v>
                </c:pt>
                <c:pt idx="42">
                  <c:v>11.227499999999999</c:v>
                </c:pt>
                <c:pt idx="43">
                  <c:v>11.2125</c:v>
                </c:pt>
                <c:pt idx="44">
                  <c:v>10.817500000000001</c:v>
                </c:pt>
                <c:pt idx="45">
                  <c:v>10.315</c:v>
                </c:pt>
                <c:pt idx="46">
                  <c:v>11.125</c:v>
                </c:pt>
                <c:pt idx="47">
                  <c:v>10.952500000000001</c:v>
                </c:pt>
                <c:pt idx="48">
                  <c:v>10.9125</c:v>
                </c:pt>
                <c:pt idx="49">
                  <c:v>10.4</c:v>
                </c:pt>
                <c:pt idx="50">
                  <c:v>10.1075</c:v>
                </c:pt>
                <c:pt idx="51">
                  <c:v>10.25</c:v>
                </c:pt>
                <c:pt idx="52">
                  <c:v>10.0625</c:v>
                </c:pt>
                <c:pt idx="53">
                  <c:v>9.8375000000000004</c:v>
                </c:pt>
                <c:pt idx="54">
                  <c:v>9.7074999999999996</c:v>
                </c:pt>
                <c:pt idx="55">
                  <c:v>9.5225000000000009</c:v>
                </c:pt>
                <c:pt idx="56">
                  <c:v>9.6750000000000007</c:v>
                </c:pt>
                <c:pt idx="57">
                  <c:v>9.3774999999999995</c:v>
                </c:pt>
                <c:pt idx="58">
                  <c:v>9.19</c:v>
                </c:pt>
                <c:pt idx="59">
                  <c:v>9.15</c:v>
                </c:pt>
                <c:pt idx="60">
                  <c:v>9.7200000000000006</c:v>
                </c:pt>
                <c:pt idx="61">
                  <c:v>9.6775000000000002</c:v>
                </c:pt>
                <c:pt idx="62">
                  <c:v>9.4749999999999996</c:v>
                </c:pt>
                <c:pt idx="63">
                  <c:v>9.1850000000000005</c:v>
                </c:pt>
                <c:pt idx="64">
                  <c:v>9.4499999999999993</c:v>
                </c:pt>
                <c:pt idx="65">
                  <c:v>10.022500000000001</c:v>
                </c:pt>
                <c:pt idx="66">
                  <c:v>10.0175</c:v>
                </c:pt>
                <c:pt idx="67">
                  <c:v>9.9499999999999993</c:v>
                </c:pt>
                <c:pt idx="68">
                  <c:v>10.6</c:v>
                </c:pt>
                <c:pt idx="69">
                  <c:v>10.925000000000001</c:v>
                </c:pt>
                <c:pt idx="70">
                  <c:v>11.3675</c:v>
                </c:pt>
                <c:pt idx="71">
                  <c:v>11.1975</c:v>
                </c:pt>
                <c:pt idx="72">
                  <c:v>11.32</c:v>
                </c:pt>
                <c:pt idx="73">
                  <c:v>11.3725</c:v>
                </c:pt>
                <c:pt idx="74">
                  <c:v>11.827500000000001</c:v>
                </c:pt>
                <c:pt idx="75">
                  <c:v>12.73</c:v>
                </c:pt>
                <c:pt idx="76">
                  <c:v>13.78</c:v>
                </c:pt>
                <c:pt idx="77">
                  <c:v>13.35</c:v>
                </c:pt>
                <c:pt idx="78">
                  <c:v>14.192500000000001</c:v>
                </c:pt>
                <c:pt idx="79">
                  <c:v>14.452500000000001</c:v>
                </c:pt>
                <c:pt idx="80">
                  <c:v>13.525</c:v>
                </c:pt>
                <c:pt idx="81">
                  <c:v>13.37</c:v>
                </c:pt>
                <c:pt idx="82">
                  <c:v>13.6325</c:v>
                </c:pt>
                <c:pt idx="83">
                  <c:v>15.095000000000001</c:v>
                </c:pt>
                <c:pt idx="84">
                  <c:v>13.865</c:v>
                </c:pt>
                <c:pt idx="85">
                  <c:v>12.895</c:v>
                </c:pt>
                <c:pt idx="86">
                  <c:v>12.2525</c:v>
                </c:pt>
                <c:pt idx="87">
                  <c:v>12.1675</c:v>
                </c:pt>
                <c:pt idx="88">
                  <c:v>11.94</c:v>
                </c:pt>
                <c:pt idx="89">
                  <c:v>12.19</c:v>
                </c:pt>
                <c:pt idx="90">
                  <c:v>11.664999999999999</c:v>
                </c:pt>
                <c:pt idx="91">
                  <c:v>11.547499999999999</c:v>
                </c:pt>
                <c:pt idx="92">
                  <c:v>11.725</c:v>
                </c:pt>
                <c:pt idx="93">
                  <c:v>13.2925</c:v>
                </c:pt>
                <c:pt idx="94">
                  <c:v>13.33</c:v>
                </c:pt>
                <c:pt idx="95">
                  <c:v>12.672499999999999</c:v>
                </c:pt>
                <c:pt idx="96">
                  <c:v>12.2225</c:v>
                </c:pt>
                <c:pt idx="97">
                  <c:v>13.46</c:v>
                </c:pt>
                <c:pt idx="98">
                  <c:v>14.362500000000001</c:v>
                </c:pt>
                <c:pt idx="99">
                  <c:v>14.1675</c:v>
                </c:pt>
                <c:pt idx="100">
                  <c:v>14.15</c:v>
                </c:pt>
                <c:pt idx="101">
                  <c:v>13.487500000000001</c:v>
                </c:pt>
                <c:pt idx="102">
                  <c:v>13.0625</c:v>
                </c:pt>
                <c:pt idx="103">
                  <c:v>13.702500000000001</c:v>
                </c:pt>
                <c:pt idx="104">
                  <c:v>17.13</c:v>
                </c:pt>
                <c:pt idx="105">
                  <c:v>21.14</c:v>
                </c:pt>
                <c:pt idx="106">
                  <c:v>17.857500000000002</c:v>
                </c:pt>
                <c:pt idx="107">
                  <c:v>19.88</c:v>
                </c:pt>
                <c:pt idx="108">
                  <c:v>23.362500000000001</c:v>
                </c:pt>
                <c:pt idx="109">
                  <c:v>18.905000000000001</c:v>
                </c:pt>
                <c:pt idx="110">
                  <c:v>21.0625</c:v>
                </c:pt>
                <c:pt idx="111">
                  <c:v>21.517499999999998</c:v>
                </c:pt>
                <c:pt idx="112">
                  <c:v>22.645</c:v>
                </c:pt>
                <c:pt idx="113">
                  <c:v>21.602499999999999</c:v>
                </c:pt>
                <c:pt idx="114">
                  <c:v>19.79</c:v>
                </c:pt>
                <c:pt idx="115">
                  <c:v>18.7225</c:v>
                </c:pt>
                <c:pt idx="116">
                  <c:v>22.802499999999998</c:v>
                </c:pt>
                <c:pt idx="117">
                  <c:v>22.8125</c:v>
                </c:pt>
                <c:pt idx="118">
                  <c:v>26.73</c:v>
                </c:pt>
                <c:pt idx="119">
                  <c:v>24.74</c:v>
                </c:pt>
                <c:pt idx="120">
                  <c:v>24.64</c:v>
                </c:pt>
                <c:pt idx="121">
                  <c:v>26.802499999999998</c:v>
                </c:pt>
              </c:numCache>
            </c:numRef>
          </c:val>
          <c:smooth val="0"/>
          <c:extLst>
            <c:ext xmlns:c16="http://schemas.microsoft.com/office/drawing/2014/chart" uri="{C3380CC4-5D6E-409C-BE32-E72D297353CC}">
              <c16:uniqueId val="{00000000-B42B-4BEE-AC95-84EB50471A01}"/>
            </c:ext>
          </c:extLst>
        </c:ser>
        <c:dLbls>
          <c:showLegendKey val="0"/>
          <c:showVal val="0"/>
          <c:showCatName val="0"/>
          <c:showSerName val="0"/>
          <c:showPercent val="0"/>
          <c:showBubbleSize val="0"/>
        </c:dLbls>
        <c:smooth val="0"/>
        <c:axId val="942612575"/>
        <c:axId val="1039788079"/>
      </c:lineChart>
      <c:catAx>
        <c:axId val="9426125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788079"/>
        <c:crosses val="autoZero"/>
        <c:auto val="1"/>
        <c:lblAlgn val="ctr"/>
        <c:lblOffset val="100"/>
        <c:noMultiLvlLbl val="0"/>
      </c:catAx>
      <c:valAx>
        <c:axId val="10397880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61257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val>
            <c:numRef>
              <c:f>Sheet3!$A$2:$A$23</c:f>
              <c:numCache>
                <c:formatCode>#,##0.00</c:formatCode>
                <c:ptCount val="22"/>
                <c:pt idx="0">
                  <c:v>6841115260.5</c:v>
                </c:pt>
                <c:pt idx="1">
                  <c:v>7377769245.8000002</c:v>
                </c:pt>
                <c:pt idx="2">
                  <c:v>10269562982.9</c:v>
                </c:pt>
                <c:pt idx="3">
                  <c:v>12055719188.1</c:v>
                </c:pt>
                <c:pt idx="4">
                  <c:v>17571237330.299999</c:v>
                </c:pt>
                <c:pt idx="5">
                  <c:v>19711786830</c:v>
                </c:pt>
                <c:pt idx="6">
                  <c:v>9216295835.2000008</c:v>
                </c:pt>
                <c:pt idx="7">
                  <c:v>7213656139.3999996</c:v>
                </c:pt>
                <c:pt idx="8">
                  <c:v>5585258736.1999998</c:v>
                </c:pt>
                <c:pt idx="9">
                  <c:v>3537839940.5</c:v>
                </c:pt>
                <c:pt idx="10">
                  <c:v>5312074629.6999998</c:v>
                </c:pt>
                <c:pt idx="11">
                  <c:v>4971623639.1999998</c:v>
                </c:pt>
                <c:pt idx="12">
                  <c:v>12666031000.1</c:v>
                </c:pt>
                <c:pt idx="13">
                  <c:v>11501044792.200001</c:v>
                </c:pt>
                <c:pt idx="14">
                  <c:v>11854245157.299999</c:v>
                </c:pt>
                <c:pt idx="15">
                  <c:v>21005660491.099998</c:v>
                </c:pt>
                <c:pt idx="16">
                  <c:v>26782359193.5</c:v>
                </c:pt>
                <c:pt idx="17">
                  <c:v>14020750878.1</c:v>
                </c:pt>
                <c:pt idx="18">
                  <c:v>7748164028.3999996</c:v>
                </c:pt>
                <c:pt idx="19">
                  <c:v>7618389000</c:v>
                </c:pt>
                <c:pt idx="20">
                  <c:v>10007561030.200001</c:v>
                </c:pt>
                <c:pt idx="21">
                  <c:v>5293619608.8000002</c:v>
                </c:pt>
              </c:numCache>
            </c:numRef>
          </c:val>
          <c:extLst>
            <c:ext xmlns:c16="http://schemas.microsoft.com/office/drawing/2014/chart" uri="{C3380CC4-5D6E-409C-BE32-E72D297353CC}">
              <c16:uniqueId val="{00000000-2A59-43F1-8E35-0A3E55E6E780}"/>
            </c:ext>
          </c:extLst>
        </c:ser>
        <c:dLbls>
          <c:showLegendKey val="0"/>
          <c:showVal val="0"/>
          <c:showCatName val="0"/>
          <c:showSerName val="0"/>
          <c:showPercent val="0"/>
          <c:showBubbleSize val="0"/>
        </c:dLbls>
        <c:gapWidth val="219"/>
        <c:overlap val="-27"/>
        <c:axId val="1250102431"/>
        <c:axId val="1039817359"/>
      </c:barChart>
      <c:catAx>
        <c:axId val="125010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9817359"/>
        <c:crosses val="autoZero"/>
        <c:auto val="1"/>
        <c:lblAlgn val="ctr"/>
        <c:lblOffset val="100"/>
        <c:noMultiLvlLbl val="0"/>
      </c:catAx>
      <c:valAx>
        <c:axId val="1039817359"/>
        <c:scaling>
          <c:orientation val="minMax"/>
        </c:scaling>
        <c:delete val="0"/>
        <c:axPos val="l"/>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10243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tockChart>
        <c:ser>
          <c:idx val="0"/>
          <c:order val="0"/>
          <c:spPr>
            <a:ln w="3810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FootballFeledValuvetionAnalysis!$I$7:$J$11</c:f>
              <c:strCache>
                <c:ptCount val="5"/>
                <c:pt idx="0">
                  <c:v>Comps</c:v>
                </c:pt>
                <c:pt idx="1">
                  <c:v>DCF Bare</c:v>
                </c:pt>
                <c:pt idx="2">
                  <c:v>DCFBase</c:v>
                </c:pt>
                <c:pt idx="3">
                  <c:v>DCFBull</c:v>
                </c:pt>
                <c:pt idx="4">
                  <c:v>52W H/L</c:v>
                </c:pt>
              </c:strCache>
            </c:strRef>
          </c:cat>
          <c:val>
            <c:numRef>
              <c:f>FootballFeledValuvetionAnalysis!$K$7:$K$11</c:f>
              <c:numCache>
                <c:formatCode>#,##0.00</c:formatCode>
                <c:ptCount val="5"/>
                <c:pt idx="0">
                  <c:v>3112.672593421024</c:v>
                </c:pt>
                <c:pt idx="1">
                  <c:v>2179.5246191477622</c:v>
                </c:pt>
                <c:pt idx="2">
                  <c:v>2397.9579612438674</c:v>
                </c:pt>
                <c:pt idx="3">
                  <c:v>2614.9936738086176</c:v>
                </c:pt>
                <c:pt idx="4">
                  <c:v>2745.55</c:v>
                </c:pt>
              </c:numCache>
            </c:numRef>
          </c:val>
          <c:smooth val="0"/>
          <c:extLst>
            <c:ext xmlns:c16="http://schemas.microsoft.com/office/drawing/2014/chart" uri="{C3380CC4-5D6E-409C-BE32-E72D297353CC}">
              <c16:uniqueId val="{00000000-93FB-4EA0-BBFD-A70BDA25116F}"/>
            </c:ext>
          </c:extLst>
        </c:ser>
        <c:ser>
          <c:idx val="1"/>
          <c:order val="1"/>
          <c:spPr>
            <a:ln w="38100" cap="rnd">
              <a:noFill/>
              <a:round/>
            </a:ln>
            <a:effectLst/>
          </c:spPr>
          <c:marker>
            <c:symbol val="none"/>
          </c:marker>
          <c:dLbls>
            <c:delete val="1"/>
          </c:dLbls>
          <c:cat>
            <c:strRef>
              <c:f>FootballFeledValuvetionAnalysis!$I$7:$J$11</c:f>
              <c:strCache>
                <c:ptCount val="5"/>
                <c:pt idx="0">
                  <c:v>Comps</c:v>
                </c:pt>
                <c:pt idx="1">
                  <c:v>DCF Bare</c:v>
                </c:pt>
                <c:pt idx="2">
                  <c:v>DCFBase</c:v>
                </c:pt>
                <c:pt idx="3">
                  <c:v>DCFBull</c:v>
                </c:pt>
                <c:pt idx="4">
                  <c:v>52W H/L</c:v>
                </c:pt>
              </c:strCache>
            </c:strRef>
          </c:cat>
          <c:val>
            <c:numRef>
              <c:f>FootballFeledValuvetionAnalysis!$L$7:$L$11</c:f>
              <c:numCache>
                <c:formatCode>#,##0.00</c:formatCode>
                <c:ptCount val="5"/>
                <c:pt idx="0">
                  <c:v>3112.672593421024</c:v>
                </c:pt>
                <c:pt idx="1">
                  <c:v>2179.5246191477622</c:v>
                </c:pt>
                <c:pt idx="2">
                  <c:v>2397.9579612438674</c:v>
                </c:pt>
                <c:pt idx="3">
                  <c:v>2614.9936738086176</c:v>
                </c:pt>
                <c:pt idx="4">
                  <c:v>2745.55</c:v>
                </c:pt>
              </c:numCache>
            </c:numRef>
          </c:val>
          <c:smooth val="0"/>
          <c:extLst>
            <c:ext xmlns:c16="http://schemas.microsoft.com/office/drawing/2014/chart" uri="{C3380CC4-5D6E-409C-BE32-E72D297353CC}">
              <c16:uniqueId val="{00000001-93FB-4EA0-BBFD-A70BDA25116F}"/>
            </c:ext>
          </c:extLst>
        </c:ser>
        <c:ser>
          <c:idx val="2"/>
          <c:order val="2"/>
          <c:spPr>
            <a:ln w="38100" cap="rnd">
              <a:noFill/>
              <a:round/>
            </a:ln>
            <a:effectLst/>
          </c:spPr>
          <c:marker>
            <c:symbol val="none"/>
          </c:marker>
          <c:dLbls>
            <c:delete val="1"/>
          </c:dLbls>
          <c:cat>
            <c:strRef>
              <c:f>FootballFeledValuvetionAnalysis!$I$7:$J$11</c:f>
              <c:strCache>
                <c:ptCount val="5"/>
                <c:pt idx="0">
                  <c:v>Comps</c:v>
                </c:pt>
                <c:pt idx="1">
                  <c:v>DCF Bare</c:v>
                </c:pt>
                <c:pt idx="2">
                  <c:v>DCFBase</c:v>
                </c:pt>
                <c:pt idx="3">
                  <c:v>DCFBull</c:v>
                </c:pt>
                <c:pt idx="4">
                  <c:v>52W H/L</c:v>
                </c:pt>
              </c:strCache>
            </c:strRef>
          </c:cat>
          <c:val>
            <c:numRef>
              <c:f>FootballFeledValuvetionAnalysis!$M$7:$M$11</c:f>
              <c:numCache>
                <c:formatCode>#,##0.00</c:formatCode>
                <c:ptCount val="5"/>
                <c:pt idx="0">
                  <c:v>8711.5604390605968</c:v>
                </c:pt>
                <c:pt idx="1">
                  <c:v>3112.6725934210249</c:v>
                </c:pt>
                <c:pt idx="2">
                  <c:v>3841.6621544200761</c:v>
                </c:pt>
                <c:pt idx="3">
                  <c:v>4792.3389471128967</c:v>
                </c:pt>
                <c:pt idx="4">
                  <c:v>7584.55</c:v>
                </c:pt>
              </c:numCache>
            </c:numRef>
          </c:val>
          <c:smooth val="0"/>
          <c:extLst>
            <c:ext xmlns:c16="http://schemas.microsoft.com/office/drawing/2014/chart" uri="{C3380CC4-5D6E-409C-BE32-E72D297353CC}">
              <c16:uniqueId val="{00000002-93FB-4EA0-BBFD-A70BDA25116F}"/>
            </c:ext>
          </c:extLst>
        </c:ser>
        <c:ser>
          <c:idx val="3"/>
          <c:order val="3"/>
          <c:spPr>
            <a:ln w="3810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FootballFeledValuvetionAnalysis!$I$7:$J$11</c:f>
              <c:strCache>
                <c:ptCount val="5"/>
                <c:pt idx="0">
                  <c:v>Comps</c:v>
                </c:pt>
                <c:pt idx="1">
                  <c:v>DCF Bare</c:v>
                </c:pt>
                <c:pt idx="2">
                  <c:v>DCFBase</c:v>
                </c:pt>
                <c:pt idx="3">
                  <c:v>DCFBull</c:v>
                </c:pt>
                <c:pt idx="4">
                  <c:v>52W H/L</c:v>
                </c:pt>
              </c:strCache>
            </c:strRef>
          </c:cat>
          <c:val>
            <c:numRef>
              <c:f>FootballFeledValuvetionAnalysis!$N$7:$N$11</c:f>
              <c:numCache>
                <c:formatCode>#,##0.00</c:formatCode>
                <c:ptCount val="5"/>
                <c:pt idx="0">
                  <c:v>8711.5604390605968</c:v>
                </c:pt>
                <c:pt idx="1">
                  <c:v>3112.6725934210249</c:v>
                </c:pt>
                <c:pt idx="2">
                  <c:v>3841.6621544200761</c:v>
                </c:pt>
                <c:pt idx="3">
                  <c:v>4792.3389471128967</c:v>
                </c:pt>
                <c:pt idx="4">
                  <c:v>7584.55</c:v>
                </c:pt>
              </c:numCache>
            </c:numRef>
          </c:val>
          <c:smooth val="0"/>
          <c:extLst>
            <c:ext xmlns:c16="http://schemas.microsoft.com/office/drawing/2014/chart" uri="{C3380CC4-5D6E-409C-BE32-E72D297353CC}">
              <c16:uniqueId val="{00000003-93FB-4EA0-BBFD-A70BDA25116F}"/>
            </c:ext>
          </c:extLst>
        </c:ser>
        <c:dLbls>
          <c:showLegendKey val="0"/>
          <c:showVal val="1"/>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rgbClr val="002060"/>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455785344"/>
        <c:axId val="335582896"/>
      </c:stockChart>
      <c:catAx>
        <c:axId val="4557853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582896"/>
        <c:crosses val="autoZero"/>
        <c:auto val="1"/>
        <c:lblAlgn val="ctr"/>
        <c:lblOffset val="100"/>
        <c:noMultiLvlLbl val="0"/>
      </c:catAx>
      <c:valAx>
        <c:axId val="335582896"/>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78534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1-744D-4139-9053-AEE5F40F48DC}"/>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2-744D-4139-9053-AEE5F40F48DC}"/>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3-744D-4139-9053-AEE5F40F48DC}"/>
              </c:ext>
            </c:extLst>
          </c:dPt>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4-744D-4139-9053-AEE5F40F48DC}"/>
              </c:ext>
            </c:extLst>
          </c:dPt>
          <c:dPt>
            <c:idx val="4"/>
            <c:invertIfNegative val="0"/>
            <c:bubble3D val="0"/>
            <c:spPr>
              <a:solidFill>
                <a:schemeClr val="bg2">
                  <a:lumMod val="25000"/>
                </a:schemeClr>
              </a:solidFill>
              <a:ln>
                <a:noFill/>
              </a:ln>
              <a:effectLst/>
            </c:spPr>
            <c:extLst>
              <c:ext xmlns:c16="http://schemas.microsoft.com/office/drawing/2014/chart" uri="{C3380CC4-5D6E-409C-BE32-E72D297353CC}">
                <c16:uniqueId val="{00000005-744D-4139-9053-AEE5F40F48DC}"/>
              </c:ext>
            </c:extLst>
          </c:dPt>
          <c:dPt>
            <c:idx val="5"/>
            <c:invertIfNegative val="0"/>
            <c:bubble3D val="0"/>
            <c:spPr>
              <a:solidFill>
                <a:schemeClr val="bg2">
                  <a:lumMod val="10000"/>
                </a:schemeClr>
              </a:solidFill>
              <a:ln>
                <a:noFill/>
              </a:ln>
              <a:effectLst/>
            </c:spPr>
            <c:extLst>
              <c:ext xmlns:c16="http://schemas.microsoft.com/office/drawing/2014/chart" uri="{C3380CC4-5D6E-409C-BE32-E72D297353CC}">
                <c16:uniqueId val="{00000006-744D-4139-9053-AEE5F40F48DC}"/>
              </c:ext>
            </c:extLst>
          </c:dPt>
          <c:dPt>
            <c:idx val="6"/>
            <c:invertIfNegative val="0"/>
            <c:bubble3D val="0"/>
            <c:spPr>
              <a:solidFill>
                <a:schemeClr val="bg2">
                  <a:lumMod val="10000"/>
                </a:schemeClr>
              </a:solidFill>
              <a:ln>
                <a:noFill/>
              </a:ln>
              <a:effectLst/>
            </c:spPr>
            <c:extLst>
              <c:ext xmlns:c16="http://schemas.microsoft.com/office/drawing/2014/chart" uri="{C3380CC4-5D6E-409C-BE32-E72D297353CC}">
                <c16:uniqueId val="{0000000C-D5A3-4813-8FC1-86DEE409AC3A}"/>
              </c:ext>
            </c:extLst>
          </c:dPt>
          <c:dPt>
            <c:idx val="7"/>
            <c:invertIfNegative val="0"/>
            <c:bubble3D val="0"/>
            <c:spPr>
              <a:solidFill>
                <a:schemeClr val="bg2">
                  <a:lumMod val="10000"/>
                </a:schemeClr>
              </a:solidFill>
              <a:ln>
                <a:noFill/>
              </a:ln>
              <a:effectLst/>
            </c:spPr>
            <c:extLst>
              <c:ext xmlns:c16="http://schemas.microsoft.com/office/drawing/2014/chart" uri="{C3380CC4-5D6E-409C-BE32-E72D297353CC}">
                <c16:uniqueId val="{0000000C-158F-4728-BE7D-D94BFF093B78}"/>
              </c:ext>
            </c:extLst>
          </c:dPt>
          <c:dLbls>
            <c:dLbl>
              <c:idx val="0"/>
              <c:layout>
                <c:manualLayout>
                  <c:x val="-1.3513518306561082E-2"/>
                  <c:y val="-0.137177408535129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44D-4139-9053-AEE5F40F48DC}"/>
                </c:ext>
              </c:extLst>
            </c:dLbl>
            <c:dLbl>
              <c:idx val="2"/>
              <c:layout>
                <c:manualLayout>
                  <c:x val="-9.0090122043740527E-3"/>
                  <c:y val="-0.1299575449280174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4D-4139-9053-AEE5F40F48DC}"/>
                </c:ext>
              </c:extLst>
            </c:dLbl>
            <c:dLbl>
              <c:idx val="4"/>
              <c:layout>
                <c:manualLayout>
                  <c:x val="-3.6036048817496211E-2"/>
                  <c:y val="-5.775890885689662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44D-4139-9053-AEE5F40F48DC}"/>
                </c:ext>
              </c:extLst>
            </c:dLbl>
            <c:dLbl>
              <c:idx val="6"/>
              <c:layout>
                <c:manualLayout>
                  <c:x val="2.2522530510935133E-2"/>
                  <c:y val="9.385822689245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5A3-4813-8FC1-86DEE409AC3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'Dupoint Analysis'!$D$56:$K$56</c:f>
              <c:numCache>
                <c:formatCode>mmm\-yy</c:formatCode>
                <c:ptCount val="8"/>
                <c:pt idx="0">
                  <c:v>43555</c:v>
                </c:pt>
                <c:pt idx="1">
                  <c:v>43921</c:v>
                </c:pt>
                <c:pt idx="2">
                  <c:v>44286</c:v>
                </c:pt>
                <c:pt idx="3">
                  <c:v>44651</c:v>
                </c:pt>
                <c:pt idx="4">
                  <c:v>45016</c:v>
                </c:pt>
                <c:pt idx="5">
                  <c:v>45382</c:v>
                </c:pt>
                <c:pt idx="6">
                  <c:v>45747</c:v>
                </c:pt>
                <c:pt idx="7">
                  <c:v>46112</c:v>
                </c:pt>
              </c:numCache>
            </c:numRef>
          </c:cat>
          <c:val>
            <c:numRef>
              <c:f>'Dupoint Analysis'!$D$64:$K$64</c:f>
              <c:numCache>
                <c:formatCode>#,##0.0</c:formatCode>
                <c:ptCount val="8"/>
                <c:pt idx="0">
                  <c:v>146463</c:v>
                </c:pt>
                <c:pt idx="1">
                  <c:v>156949</c:v>
                </c:pt>
                <c:pt idx="2">
                  <c:v>164177</c:v>
                </c:pt>
                <c:pt idx="3">
                  <c:v>191754</c:v>
                </c:pt>
                <c:pt idx="4">
                  <c:v>225458</c:v>
                </c:pt>
                <c:pt idx="5">
                  <c:v>240893</c:v>
                </c:pt>
                <c:pt idx="6">
                  <c:v>255324</c:v>
                </c:pt>
                <c:pt idx="7">
                  <c:v>267021</c:v>
                </c:pt>
              </c:numCache>
            </c:numRef>
          </c:val>
          <c:extLst>
            <c:ext xmlns:c16="http://schemas.microsoft.com/office/drawing/2014/chart" uri="{C3380CC4-5D6E-409C-BE32-E72D297353CC}">
              <c16:uniqueId val="{00000000-744D-4139-9053-AEE5F40F48DC}"/>
            </c:ext>
          </c:extLst>
        </c:ser>
        <c:dLbls>
          <c:dLblPos val="outEnd"/>
          <c:showLegendKey val="0"/>
          <c:showVal val="1"/>
          <c:showCatName val="0"/>
          <c:showSerName val="0"/>
          <c:showPercent val="0"/>
          <c:showBubbleSize val="0"/>
        </c:dLbls>
        <c:gapWidth val="219"/>
        <c:overlap val="-27"/>
        <c:axId val="1189270031"/>
        <c:axId val="1182461935"/>
      </c:barChart>
      <c:dateAx>
        <c:axId val="1189270031"/>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61935"/>
        <c:crosses val="autoZero"/>
        <c:auto val="1"/>
        <c:lblOffset val="100"/>
        <c:baseTimeUnit val="years"/>
      </c:dateAx>
      <c:valAx>
        <c:axId val="1182461935"/>
        <c:scaling>
          <c:orientation val="minMax"/>
        </c:scaling>
        <c:delete val="1"/>
        <c:axPos val="l"/>
        <c:numFmt formatCode="#,##0.0;[Red]#,##0.0" sourceLinked="0"/>
        <c:majorTickMark val="none"/>
        <c:minorTickMark val="none"/>
        <c:tickLblPos val="nextTo"/>
        <c:crossAx val="118927003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1-2B3B-4702-8F16-C67DB5FB6EF6}"/>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2-2B3B-4702-8F16-C67DB5FB6EF6}"/>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3-2B3B-4702-8F16-C67DB5FB6EF6}"/>
              </c:ext>
            </c:extLst>
          </c:dPt>
          <c:dPt>
            <c:idx val="3"/>
            <c:invertIfNegative val="0"/>
            <c:bubble3D val="0"/>
            <c:spPr>
              <a:solidFill>
                <a:schemeClr val="bg2">
                  <a:lumMod val="25000"/>
                </a:schemeClr>
              </a:solidFill>
              <a:ln>
                <a:noFill/>
              </a:ln>
              <a:effectLst/>
            </c:spPr>
            <c:extLst>
              <c:ext xmlns:c16="http://schemas.microsoft.com/office/drawing/2014/chart" uri="{C3380CC4-5D6E-409C-BE32-E72D297353CC}">
                <c16:uniqueId val="{00000004-2B3B-4702-8F16-C67DB5FB6EF6}"/>
              </c:ext>
            </c:extLst>
          </c:dPt>
          <c:dPt>
            <c:idx val="4"/>
            <c:invertIfNegative val="0"/>
            <c:bubble3D val="0"/>
            <c:spPr>
              <a:solidFill>
                <a:schemeClr val="bg2">
                  <a:lumMod val="10000"/>
                </a:schemeClr>
              </a:solidFill>
              <a:ln>
                <a:noFill/>
              </a:ln>
              <a:effectLst/>
            </c:spPr>
            <c:extLst>
              <c:ext xmlns:c16="http://schemas.microsoft.com/office/drawing/2014/chart" uri="{C3380CC4-5D6E-409C-BE32-E72D297353CC}">
                <c16:uniqueId val="{00000005-2B3B-4702-8F16-C67DB5FB6EF6}"/>
              </c:ext>
            </c:extLst>
          </c:dPt>
          <c:dPt>
            <c:idx val="5"/>
            <c:invertIfNegative val="0"/>
            <c:bubble3D val="0"/>
            <c:spPr>
              <a:solidFill>
                <a:schemeClr val="bg2">
                  <a:lumMod val="10000"/>
                </a:schemeClr>
              </a:solidFill>
              <a:ln>
                <a:noFill/>
              </a:ln>
              <a:effectLst/>
            </c:spPr>
            <c:extLst>
              <c:ext xmlns:c16="http://schemas.microsoft.com/office/drawing/2014/chart" uri="{C3380CC4-5D6E-409C-BE32-E72D297353CC}">
                <c16:uniqueId val="{00000006-2B3B-4702-8F16-C67DB5FB6EF6}"/>
              </c:ext>
            </c:extLst>
          </c:dPt>
          <c:dPt>
            <c:idx val="6"/>
            <c:invertIfNegative val="0"/>
            <c:bubble3D val="0"/>
            <c:spPr>
              <a:solidFill>
                <a:schemeClr val="bg2">
                  <a:lumMod val="10000"/>
                </a:schemeClr>
              </a:solidFill>
              <a:ln>
                <a:noFill/>
              </a:ln>
              <a:effectLst/>
            </c:spPr>
            <c:extLst>
              <c:ext xmlns:c16="http://schemas.microsoft.com/office/drawing/2014/chart" uri="{C3380CC4-5D6E-409C-BE32-E72D297353CC}">
                <c16:uniqueId val="{0000000C-3776-44F5-940A-A144FC6F7123}"/>
              </c:ext>
            </c:extLst>
          </c:dPt>
          <c:dPt>
            <c:idx val="7"/>
            <c:invertIfNegative val="0"/>
            <c:bubble3D val="0"/>
            <c:spPr>
              <a:solidFill>
                <a:schemeClr val="bg2">
                  <a:lumMod val="10000"/>
                </a:schemeClr>
              </a:solidFill>
              <a:ln>
                <a:noFill/>
              </a:ln>
              <a:effectLst/>
            </c:spPr>
            <c:extLst>
              <c:ext xmlns:c16="http://schemas.microsoft.com/office/drawing/2014/chart" uri="{C3380CC4-5D6E-409C-BE32-E72D297353CC}">
                <c16:uniqueId val="{0000000D-3776-44F5-940A-A144FC6F7123}"/>
              </c:ext>
            </c:extLst>
          </c:dPt>
          <c:dLbls>
            <c:dLbl>
              <c:idx val="0"/>
              <c:layout>
                <c:manualLayout>
                  <c:x val="-1.3363028953229401E-2"/>
                  <c:y val="-0.1626987494935681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3B-4702-8F16-C67DB5FB6EF6}"/>
                </c:ext>
              </c:extLst>
            </c:dLbl>
            <c:dLbl>
              <c:idx val="1"/>
              <c:layout>
                <c:manualLayout>
                  <c:x val="-3.1180400890868598E-2"/>
                  <c:y val="-5.423291649785606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3B-4702-8F16-C67DB5FB6EF6}"/>
                </c:ext>
              </c:extLst>
            </c:dLbl>
            <c:dLbl>
              <c:idx val="2"/>
              <c:layout>
                <c:manualLayout>
                  <c:x val="-1.7817371937639197E-2"/>
                  <c:y val="-6.77911456223200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B3B-4702-8F16-C67DB5FB6EF6}"/>
                </c:ext>
              </c:extLst>
            </c:dLbl>
            <c:dLbl>
              <c:idx val="3"/>
              <c:layout>
                <c:manualLayout>
                  <c:x val="-2.672605790645884E-2"/>
                  <c:y val="-1.355822912446404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B3B-4702-8F16-C67DB5FB6EF6}"/>
                </c:ext>
              </c:extLst>
            </c:dLbl>
            <c:dLbl>
              <c:idx val="4"/>
              <c:layout>
                <c:manualLayout>
                  <c:x val="-2.2271714922048998E-2"/>
                  <c:y val="-0.1288031766824080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B3B-4702-8F16-C67DB5FB6EF6}"/>
                </c:ext>
              </c:extLst>
            </c:dLbl>
            <c:dLbl>
              <c:idx val="5"/>
              <c:layout>
                <c:manualLayout>
                  <c:x val="-5.3452115812917596E-2"/>
                  <c:y val="6.77911456223200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B3B-4702-8F16-C67DB5FB6EF6}"/>
                </c:ext>
              </c:extLst>
            </c:dLbl>
            <c:dLbl>
              <c:idx val="6"/>
              <c:layout>
                <c:manualLayout>
                  <c:x val="-8.9086859688197618E-3"/>
                  <c:y val="-6.101203106008806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3776-44F5-940A-A144FC6F7123}"/>
                </c:ext>
              </c:extLst>
            </c:dLbl>
            <c:dLbl>
              <c:idx val="7"/>
              <c:layout>
                <c:manualLayout>
                  <c:x val="1.7817371937639197E-2"/>
                  <c:y val="-8.134937474678405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3776-44F5-940A-A144FC6F71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'Dupoint Analysis'!$D$56:$K$56</c:f>
              <c:numCache>
                <c:formatCode>mmm\-yy</c:formatCode>
                <c:ptCount val="8"/>
                <c:pt idx="0">
                  <c:v>43555</c:v>
                </c:pt>
                <c:pt idx="1">
                  <c:v>43921</c:v>
                </c:pt>
                <c:pt idx="2">
                  <c:v>44286</c:v>
                </c:pt>
                <c:pt idx="3">
                  <c:v>44651</c:v>
                </c:pt>
                <c:pt idx="4">
                  <c:v>45016</c:v>
                </c:pt>
                <c:pt idx="5">
                  <c:v>45382</c:v>
                </c:pt>
                <c:pt idx="6">
                  <c:v>45747</c:v>
                </c:pt>
                <c:pt idx="7">
                  <c:v>46112</c:v>
                </c:pt>
              </c:numCache>
            </c:numRef>
          </c:cat>
          <c:val>
            <c:numRef>
              <c:f>'Dupoint Analysis'!$D$57:$K$57</c:f>
              <c:numCache>
                <c:formatCode>#,##0.0</c:formatCode>
                <c:ptCount val="8"/>
                <c:pt idx="0">
                  <c:v>31562</c:v>
                </c:pt>
                <c:pt idx="1">
                  <c:v>32447</c:v>
                </c:pt>
                <c:pt idx="2">
                  <c:v>32562</c:v>
                </c:pt>
                <c:pt idx="3">
                  <c:v>38449</c:v>
                </c:pt>
                <c:pt idx="4">
                  <c:v>42303</c:v>
                </c:pt>
                <c:pt idx="5">
                  <c:v>46099</c:v>
                </c:pt>
                <c:pt idx="6">
                  <c:v>48797</c:v>
                </c:pt>
                <c:pt idx="7">
                  <c:v>49454</c:v>
                </c:pt>
              </c:numCache>
            </c:numRef>
          </c:val>
          <c:extLst>
            <c:ext xmlns:c16="http://schemas.microsoft.com/office/drawing/2014/chart" uri="{C3380CC4-5D6E-409C-BE32-E72D297353CC}">
              <c16:uniqueId val="{00000000-2B3B-4702-8F16-C67DB5FB6EF6}"/>
            </c:ext>
          </c:extLst>
        </c:ser>
        <c:dLbls>
          <c:dLblPos val="outEnd"/>
          <c:showLegendKey val="0"/>
          <c:showVal val="1"/>
          <c:showCatName val="0"/>
          <c:showSerName val="0"/>
          <c:showPercent val="0"/>
          <c:showBubbleSize val="0"/>
        </c:dLbls>
        <c:gapWidth val="219"/>
        <c:overlap val="-27"/>
        <c:axId val="1189270031"/>
        <c:axId val="1182461935"/>
      </c:barChart>
      <c:dateAx>
        <c:axId val="1189270031"/>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61935"/>
        <c:crosses val="autoZero"/>
        <c:auto val="1"/>
        <c:lblOffset val="100"/>
        <c:baseTimeUnit val="years"/>
      </c:dateAx>
      <c:valAx>
        <c:axId val="1182461935"/>
        <c:scaling>
          <c:orientation val="minMax"/>
        </c:scaling>
        <c:delete val="1"/>
        <c:axPos val="l"/>
        <c:numFmt formatCode="#,##0.0;[Red]#,##0.0" sourceLinked="0"/>
        <c:majorTickMark val="none"/>
        <c:minorTickMark val="none"/>
        <c:tickLblPos val="nextTo"/>
        <c:crossAx val="118927003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2-64D4-40AF-AA5D-86047D9FD599}"/>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3-64D4-40AF-AA5D-86047D9FD599}"/>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4-64D4-40AF-AA5D-86047D9FD599}"/>
              </c:ext>
            </c:extLst>
          </c:dPt>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6-E38B-4463-9F02-AB617830DF12}"/>
              </c:ext>
            </c:extLst>
          </c:dPt>
          <c:dPt>
            <c:idx val="4"/>
            <c:invertIfNegative val="0"/>
            <c:bubble3D val="0"/>
            <c:spPr>
              <a:solidFill>
                <a:schemeClr val="bg2">
                  <a:lumMod val="25000"/>
                </a:schemeClr>
              </a:solidFill>
              <a:ln>
                <a:noFill/>
              </a:ln>
              <a:effectLst/>
            </c:spPr>
            <c:extLst>
              <c:ext xmlns:c16="http://schemas.microsoft.com/office/drawing/2014/chart" uri="{C3380CC4-5D6E-409C-BE32-E72D297353CC}">
                <c16:uniqueId val="{00000007-E38B-4463-9F02-AB617830DF12}"/>
              </c:ext>
            </c:extLst>
          </c:dPt>
          <c:dPt>
            <c:idx val="5"/>
            <c:invertIfNegative val="0"/>
            <c:bubble3D val="0"/>
            <c:spPr>
              <a:solidFill>
                <a:schemeClr val="bg2">
                  <a:lumMod val="25000"/>
                </a:schemeClr>
              </a:solidFill>
              <a:ln>
                <a:noFill/>
              </a:ln>
              <a:effectLst/>
            </c:spPr>
            <c:extLst>
              <c:ext xmlns:c16="http://schemas.microsoft.com/office/drawing/2014/chart" uri="{C3380CC4-5D6E-409C-BE32-E72D297353CC}">
                <c16:uniqueId val="{00000008-E38B-4463-9F02-AB617830DF12}"/>
              </c:ext>
            </c:extLst>
          </c:dPt>
          <c:dPt>
            <c:idx val="6"/>
            <c:invertIfNegative val="0"/>
            <c:bubble3D val="0"/>
            <c:spPr>
              <a:solidFill>
                <a:schemeClr val="bg2">
                  <a:lumMod val="10000"/>
                </a:schemeClr>
              </a:solidFill>
              <a:ln>
                <a:noFill/>
              </a:ln>
              <a:effectLst/>
            </c:spPr>
            <c:extLst>
              <c:ext xmlns:c16="http://schemas.microsoft.com/office/drawing/2014/chart" uri="{C3380CC4-5D6E-409C-BE32-E72D297353CC}">
                <c16:uniqueId val="{00000006-3BBD-4BC9-8336-94E29CE5E390}"/>
              </c:ext>
            </c:extLst>
          </c:dPt>
          <c:dPt>
            <c:idx val="7"/>
            <c:invertIfNegative val="0"/>
            <c:bubble3D val="0"/>
            <c:spPr>
              <a:solidFill>
                <a:schemeClr val="bg2">
                  <a:lumMod val="10000"/>
                </a:schemeClr>
              </a:solidFill>
              <a:ln>
                <a:noFill/>
              </a:ln>
              <a:effectLst/>
            </c:spPr>
            <c:extLst>
              <c:ext xmlns:c16="http://schemas.microsoft.com/office/drawing/2014/chart" uri="{C3380CC4-5D6E-409C-BE32-E72D297353CC}">
                <c16:uniqueId val="{00000007-3BBD-4BC9-8336-94E29CE5E390}"/>
              </c:ext>
            </c:extLst>
          </c:dPt>
          <c:dLbls>
            <c:dLbl>
              <c:idx val="0"/>
              <c:layout>
                <c:manualLayout>
                  <c:x val="3.1319910514541388E-2"/>
                  <c:y val="-0.2576448153207373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D4-40AF-AA5D-86047D9FD599}"/>
                </c:ext>
              </c:extLst>
            </c:dLbl>
            <c:dLbl>
              <c:idx val="1"/>
              <c:layout>
                <c:manualLayout>
                  <c:x val="-4.026845637583893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D4-40AF-AA5D-86047D9FD599}"/>
                </c:ext>
              </c:extLst>
            </c:dLbl>
            <c:dLbl>
              <c:idx val="2"/>
              <c:layout>
                <c:manualLayout>
                  <c:x val="-4.4742729306487695E-3"/>
                  <c:y val="-5.285021852733073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4D4-40AF-AA5D-86047D9FD599}"/>
                </c:ext>
              </c:extLst>
            </c:dLbl>
            <c:dLbl>
              <c:idx val="3"/>
              <c:layout>
                <c:manualLayout>
                  <c:x val="-4.4742729306488102E-3"/>
                  <c:y val="-0.1123067143705778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38B-4463-9F02-AB617830DF12}"/>
                </c:ext>
              </c:extLst>
            </c:dLbl>
            <c:dLbl>
              <c:idx val="4"/>
              <c:layout>
                <c:manualLayout>
                  <c:x val="-5.369127516778523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38B-4463-9F02-AB617830DF12}"/>
                </c:ext>
              </c:extLst>
            </c:dLbl>
            <c:dLbl>
              <c:idx val="5"/>
              <c:layout>
                <c:manualLayout>
                  <c:x val="-1.3422818791946308E-2"/>
                  <c:y val="-0.1123067143705778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38B-4463-9F02-AB617830DF1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'Dupoint Analysis'!$D$62:$K$62</c:f>
              <c:numCache>
                <c:formatCode>mmm\-yy</c:formatCode>
                <c:ptCount val="8"/>
                <c:pt idx="0">
                  <c:v>43555</c:v>
                </c:pt>
                <c:pt idx="1">
                  <c:v>43921</c:v>
                </c:pt>
                <c:pt idx="2">
                  <c:v>44286</c:v>
                </c:pt>
                <c:pt idx="3">
                  <c:v>44651</c:v>
                </c:pt>
                <c:pt idx="4">
                  <c:v>45016</c:v>
                </c:pt>
                <c:pt idx="5">
                  <c:v>45382</c:v>
                </c:pt>
                <c:pt idx="6">
                  <c:v>45747</c:v>
                </c:pt>
                <c:pt idx="7">
                  <c:v>46112</c:v>
                </c:pt>
              </c:numCache>
            </c:numRef>
          </c:cat>
          <c:val>
            <c:numRef>
              <c:f>'Dupoint Analysis'!$D$68:$K$68</c:f>
              <c:numCache>
                <c:formatCode>#,##0.0</c:formatCode>
                <c:ptCount val="8"/>
                <c:pt idx="0">
                  <c:v>109513.5</c:v>
                </c:pt>
                <c:pt idx="1">
                  <c:v>117014</c:v>
                </c:pt>
                <c:pt idx="2">
                  <c:v>125059.5</c:v>
                </c:pt>
                <c:pt idx="3">
                  <c:v>135458</c:v>
                </c:pt>
                <c:pt idx="4">
                  <c:v>141891.5</c:v>
                </c:pt>
                <c:pt idx="5">
                  <c:v>144165.5</c:v>
                </c:pt>
                <c:pt idx="6">
                  <c:v>152060.5</c:v>
                </c:pt>
                <c:pt idx="7">
                  <c:v>169908</c:v>
                </c:pt>
              </c:numCache>
            </c:numRef>
          </c:val>
          <c:extLst>
            <c:ext xmlns:c16="http://schemas.microsoft.com/office/drawing/2014/chart" uri="{C3380CC4-5D6E-409C-BE32-E72D297353CC}">
              <c16:uniqueId val="{00000000-70D9-4ABF-B96D-24BD2415F91F}"/>
            </c:ext>
          </c:extLst>
        </c:ser>
        <c:dLbls>
          <c:dLblPos val="outEnd"/>
          <c:showLegendKey val="0"/>
          <c:showVal val="1"/>
          <c:showCatName val="0"/>
          <c:showSerName val="0"/>
          <c:showPercent val="0"/>
          <c:showBubbleSize val="0"/>
        </c:dLbls>
        <c:gapWidth val="219"/>
        <c:overlap val="-27"/>
        <c:axId val="1189270031"/>
        <c:axId val="1182461935"/>
      </c:barChart>
      <c:dateAx>
        <c:axId val="1189270031"/>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61935"/>
        <c:crosses val="autoZero"/>
        <c:auto val="1"/>
        <c:lblOffset val="100"/>
        <c:baseTimeUnit val="years"/>
      </c:dateAx>
      <c:valAx>
        <c:axId val="1182461935"/>
        <c:scaling>
          <c:orientation val="minMax"/>
        </c:scaling>
        <c:delete val="1"/>
        <c:axPos val="l"/>
        <c:numFmt formatCode="#,##0.0;[Red]#,##0.0" sourceLinked="0"/>
        <c:majorTickMark val="none"/>
        <c:minorTickMark val="none"/>
        <c:tickLblPos val="nextTo"/>
        <c:crossAx val="118927003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solidFill>
            <a:ln>
              <a:noFill/>
            </a:ln>
            <a:effectLst/>
          </c:spPr>
          <c:invertIfNegative val="0"/>
          <c:dPt>
            <c:idx val="0"/>
            <c:invertIfNegative val="0"/>
            <c:bubble3D val="0"/>
            <c:spPr>
              <a:solidFill>
                <a:schemeClr val="bg2">
                  <a:lumMod val="90000"/>
                </a:schemeClr>
              </a:solidFill>
              <a:ln>
                <a:solidFill>
                  <a:schemeClr val="tx1">
                    <a:lumMod val="50000"/>
                    <a:lumOff val="50000"/>
                  </a:schemeClr>
                </a:solidFill>
              </a:ln>
              <a:effectLst/>
            </c:spPr>
            <c:extLst>
              <c:ext xmlns:c16="http://schemas.microsoft.com/office/drawing/2014/chart" uri="{C3380CC4-5D6E-409C-BE32-E72D297353CC}">
                <c16:uniqueId val="{00000001-206A-413E-A4AF-4ACED21C682C}"/>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2-206A-413E-A4AF-4ACED21C682C}"/>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3-206A-413E-A4AF-4ACED21C682C}"/>
              </c:ext>
            </c:extLst>
          </c:dPt>
          <c:dPt>
            <c:idx val="3"/>
            <c:invertIfNegative val="0"/>
            <c:bubble3D val="0"/>
            <c:spPr>
              <a:solidFill>
                <a:schemeClr val="bg2">
                  <a:lumMod val="25000"/>
                </a:schemeClr>
              </a:solidFill>
              <a:ln>
                <a:noFill/>
              </a:ln>
              <a:effectLst/>
            </c:spPr>
            <c:extLst>
              <c:ext xmlns:c16="http://schemas.microsoft.com/office/drawing/2014/chart" uri="{C3380CC4-5D6E-409C-BE32-E72D297353CC}">
                <c16:uniqueId val="{00000006-74A0-45AA-878B-806E611DF212}"/>
              </c:ext>
            </c:extLst>
          </c:dPt>
          <c:dPt>
            <c:idx val="4"/>
            <c:invertIfNegative val="0"/>
            <c:bubble3D val="0"/>
            <c:spPr>
              <a:solidFill>
                <a:schemeClr val="bg2">
                  <a:lumMod val="25000"/>
                </a:schemeClr>
              </a:solidFill>
              <a:ln>
                <a:noFill/>
              </a:ln>
              <a:effectLst/>
            </c:spPr>
            <c:extLst>
              <c:ext xmlns:c16="http://schemas.microsoft.com/office/drawing/2014/chart" uri="{C3380CC4-5D6E-409C-BE32-E72D297353CC}">
                <c16:uniqueId val="{00000007-74A0-45AA-878B-806E611DF212}"/>
              </c:ext>
            </c:extLst>
          </c:dPt>
          <c:dPt>
            <c:idx val="5"/>
            <c:invertIfNegative val="0"/>
            <c:bubble3D val="0"/>
            <c:spPr>
              <a:solidFill>
                <a:schemeClr val="bg2">
                  <a:lumMod val="10000"/>
                </a:schemeClr>
              </a:solidFill>
              <a:ln>
                <a:noFill/>
              </a:ln>
              <a:effectLst/>
            </c:spPr>
            <c:extLst>
              <c:ext xmlns:c16="http://schemas.microsoft.com/office/drawing/2014/chart" uri="{C3380CC4-5D6E-409C-BE32-E72D297353CC}">
                <c16:uniqueId val="{00000008-74A0-45AA-878B-806E611DF212}"/>
              </c:ext>
            </c:extLst>
          </c:dPt>
          <c:dPt>
            <c:idx val="6"/>
            <c:invertIfNegative val="0"/>
            <c:bubble3D val="0"/>
            <c:spPr>
              <a:solidFill>
                <a:schemeClr val="bg2">
                  <a:lumMod val="10000"/>
                </a:schemeClr>
              </a:solidFill>
              <a:ln>
                <a:noFill/>
              </a:ln>
              <a:effectLst/>
            </c:spPr>
            <c:extLst>
              <c:ext xmlns:c16="http://schemas.microsoft.com/office/drawing/2014/chart" uri="{C3380CC4-5D6E-409C-BE32-E72D297353CC}">
                <c16:uniqueId val="{00000009-74A0-45AA-878B-806E611DF212}"/>
              </c:ext>
            </c:extLst>
          </c:dPt>
          <c:dPt>
            <c:idx val="7"/>
            <c:invertIfNegative val="0"/>
            <c:bubble3D val="0"/>
            <c:spPr>
              <a:solidFill>
                <a:schemeClr val="bg2">
                  <a:lumMod val="10000"/>
                </a:schemeClr>
              </a:solidFill>
              <a:ln>
                <a:noFill/>
              </a:ln>
              <a:effectLst/>
            </c:spPr>
            <c:extLst>
              <c:ext xmlns:c16="http://schemas.microsoft.com/office/drawing/2014/chart" uri="{C3380CC4-5D6E-409C-BE32-E72D297353CC}">
                <c16:uniqueId val="{0000000A-74A0-45AA-878B-806E611DF212}"/>
              </c:ext>
            </c:extLst>
          </c:dPt>
          <c:dLbls>
            <c:dLbl>
              <c:idx val="0"/>
              <c:layout>
                <c:manualLayout>
                  <c:x val="-9.0497737556561094E-3"/>
                  <c:y val="-0.151037281233796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6A-413E-A4AF-4ACED21C682C}"/>
                </c:ext>
              </c:extLst>
            </c:dLbl>
            <c:dLbl>
              <c:idx val="1"/>
              <c:layout>
                <c:manualLayout>
                  <c:x val="-4.9773755656108594E-2"/>
                  <c:y val="-1.812447374805554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06A-413E-A4AF-4ACED21C682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'Dupoint Analysis'!$D$56:$K$56</c:f>
              <c:numCache>
                <c:formatCode>mmm\-yy</c:formatCode>
                <c:ptCount val="8"/>
                <c:pt idx="0">
                  <c:v>43555</c:v>
                </c:pt>
                <c:pt idx="1">
                  <c:v>43921</c:v>
                </c:pt>
                <c:pt idx="2">
                  <c:v>44286</c:v>
                </c:pt>
                <c:pt idx="3">
                  <c:v>44651</c:v>
                </c:pt>
                <c:pt idx="4">
                  <c:v>45016</c:v>
                </c:pt>
                <c:pt idx="5">
                  <c:v>45382</c:v>
                </c:pt>
                <c:pt idx="6">
                  <c:v>45747</c:v>
                </c:pt>
                <c:pt idx="7">
                  <c:v>46112</c:v>
                </c:pt>
              </c:numCache>
            </c:numRef>
          </c:cat>
          <c:val>
            <c:numRef>
              <c:f>'Dupoint Analysis'!$D$59:$K$59</c:f>
              <c:numCache>
                <c:formatCode>0.00%</c:formatCode>
                <c:ptCount val="8"/>
                <c:pt idx="0">
                  <c:v>0.36042023524037914</c:v>
                </c:pt>
                <c:pt idx="1">
                  <c:v>0.372265118573674</c:v>
                </c:pt>
                <c:pt idx="2">
                  <c:v>0.38016625414467847</c:v>
                </c:pt>
                <c:pt idx="3">
                  <c:v>0.43615717948136218</c:v>
                </c:pt>
                <c:pt idx="4">
                  <c:v>0.46926426134945504</c:v>
                </c:pt>
                <c:pt idx="5">
                  <c:v>0.50758364025743086</c:v>
                </c:pt>
                <c:pt idx="6">
                  <c:v>0.52478638912937103</c:v>
                </c:pt>
                <c:pt idx="7">
                  <c:v>0.48790449881610104</c:v>
                </c:pt>
              </c:numCache>
            </c:numRef>
          </c:val>
          <c:extLst>
            <c:ext xmlns:c16="http://schemas.microsoft.com/office/drawing/2014/chart" uri="{C3380CC4-5D6E-409C-BE32-E72D297353CC}">
              <c16:uniqueId val="{00000000-206A-413E-A4AF-4ACED21C682C}"/>
            </c:ext>
          </c:extLst>
        </c:ser>
        <c:dLbls>
          <c:dLblPos val="outEnd"/>
          <c:showLegendKey val="0"/>
          <c:showVal val="1"/>
          <c:showCatName val="0"/>
          <c:showSerName val="0"/>
          <c:showPercent val="0"/>
          <c:showBubbleSize val="0"/>
        </c:dLbls>
        <c:gapWidth val="219"/>
        <c:overlap val="-27"/>
        <c:axId val="1189270031"/>
        <c:axId val="1182461935"/>
      </c:barChart>
      <c:dateAx>
        <c:axId val="1189270031"/>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61935"/>
        <c:crosses val="autoZero"/>
        <c:auto val="1"/>
        <c:lblOffset val="100"/>
        <c:baseTimeUnit val="years"/>
      </c:dateAx>
      <c:valAx>
        <c:axId val="1182461935"/>
        <c:scaling>
          <c:orientation val="minMax"/>
        </c:scaling>
        <c:delete val="1"/>
        <c:axPos val="l"/>
        <c:numFmt formatCode="#,##0.0;[Red]#,##0.0" sourceLinked="0"/>
        <c:majorTickMark val="none"/>
        <c:minorTickMark val="none"/>
        <c:tickLblPos val="nextTo"/>
        <c:crossAx val="118927003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1-7076-491C-AFFC-6C4B9E39199A}"/>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2-7076-491C-AFFC-6C4B9E39199A}"/>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3-7076-491C-AFFC-6C4B9E39199A}"/>
              </c:ext>
            </c:extLst>
          </c:dPt>
          <c:dPt>
            <c:idx val="3"/>
            <c:invertIfNegative val="0"/>
            <c:bubble3D val="0"/>
            <c:spPr>
              <a:solidFill>
                <a:schemeClr val="bg2">
                  <a:lumMod val="25000"/>
                </a:schemeClr>
              </a:solidFill>
              <a:ln>
                <a:noFill/>
              </a:ln>
              <a:effectLst/>
            </c:spPr>
            <c:extLst>
              <c:ext xmlns:c16="http://schemas.microsoft.com/office/drawing/2014/chart" uri="{C3380CC4-5D6E-409C-BE32-E72D297353CC}">
                <c16:uniqueId val="{00000004-7076-491C-AFFC-6C4B9E39199A}"/>
              </c:ext>
            </c:extLst>
          </c:dPt>
          <c:dPt>
            <c:idx val="4"/>
            <c:invertIfNegative val="0"/>
            <c:bubble3D val="0"/>
            <c:spPr>
              <a:solidFill>
                <a:schemeClr val="bg2">
                  <a:lumMod val="25000"/>
                </a:schemeClr>
              </a:solidFill>
              <a:ln>
                <a:noFill/>
              </a:ln>
              <a:effectLst/>
            </c:spPr>
            <c:extLst>
              <c:ext xmlns:c16="http://schemas.microsoft.com/office/drawing/2014/chart" uri="{C3380CC4-5D6E-409C-BE32-E72D297353CC}">
                <c16:uniqueId val="{00000008-CBBF-466D-87E2-D36FA271A6F4}"/>
              </c:ext>
            </c:extLst>
          </c:dPt>
          <c:dPt>
            <c:idx val="5"/>
            <c:invertIfNegative val="0"/>
            <c:bubble3D val="0"/>
            <c:spPr>
              <a:solidFill>
                <a:schemeClr val="bg2">
                  <a:lumMod val="10000"/>
                </a:schemeClr>
              </a:solidFill>
              <a:ln>
                <a:noFill/>
              </a:ln>
              <a:effectLst/>
            </c:spPr>
            <c:extLst>
              <c:ext xmlns:c16="http://schemas.microsoft.com/office/drawing/2014/chart" uri="{C3380CC4-5D6E-409C-BE32-E72D297353CC}">
                <c16:uniqueId val="{00000008-F544-42B0-9AB5-0F81EFB7AA08}"/>
              </c:ext>
            </c:extLst>
          </c:dPt>
          <c:dPt>
            <c:idx val="6"/>
            <c:invertIfNegative val="0"/>
            <c:bubble3D val="0"/>
            <c:spPr>
              <a:solidFill>
                <a:schemeClr val="bg2">
                  <a:lumMod val="10000"/>
                </a:schemeClr>
              </a:solidFill>
              <a:ln>
                <a:noFill/>
              </a:ln>
              <a:effectLst/>
            </c:spPr>
            <c:extLst>
              <c:ext xmlns:c16="http://schemas.microsoft.com/office/drawing/2014/chart" uri="{C3380CC4-5D6E-409C-BE32-E72D297353CC}">
                <c16:uniqueId val="{00000009-F544-42B0-9AB5-0F81EFB7AA08}"/>
              </c:ext>
            </c:extLst>
          </c:dPt>
          <c:dPt>
            <c:idx val="7"/>
            <c:invertIfNegative val="0"/>
            <c:bubble3D val="0"/>
            <c:spPr>
              <a:solidFill>
                <a:schemeClr val="bg2">
                  <a:lumMod val="10000"/>
                </a:schemeClr>
              </a:solidFill>
              <a:ln>
                <a:noFill/>
              </a:ln>
              <a:effectLst/>
            </c:spPr>
            <c:extLst>
              <c:ext xmlns:c16="http://schemas.microsoft.com/office/drawing/2014/chart" uri="{C3380CC4-5D6E-409C-BE32-E72D297353CC}">
                <c16:uniqueId val="{00000009-CBBF-466D-87E2-D36FA271A6F4}"/>
              </c:ext>
            </c:extLst>
          </c:dPt>
          <c:dLbls>
            <c:dLbl>
              <c:idx val="0"/>
              <c:layout>
                <c:manualLayout>
                  <c:x val="-9.0090090090090089E-3"/>
                  <c:y val="-6.041491249351847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076-491C-AFFC-6C4B9E39199A}"/>
                </c:ext>
              </c:extLst>
            </c:dLbl>
            <c:dLbl>
              <c:idx val="1"/>
              <c:layout>
                <c:manualLayout>
                  <c:x val="0"/>
                  <c:y val="-3.624894749611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076-491C-AFFC-6C4B9E39199A}"/>
                </c:ext>
              </c:extLst>
            </c:dLbl>
            <c:dLbl>
              <c:idx val="2"/>
              <c:layout>
                <c:manualLayout>
                  <c:x val="0"/>
                  <c:y val="-6.64564037428703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076-491C-AFFC-6C4B9E39199A}"/>
                </c:ext>
              </c:extLst>
            </c:dLbl>
            <c:dLbl>
              <c:idx val="3"/>
              <c:layout>
                <c:manualLayout>
                  <c:x val="0"/>
                  <c:y val="-9.062236874027772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76-491C-AFFC-6C4B9E39199A}"/>
                </c:ext>
              </c:extLst>
            </c:dLbl>
            <c:dLbl>
              <c:idx val="5"/>
              <c:layout>
                <c:manualLayout>
                  <c:x val="0"/>
                  <c:y val="-2.416596499740739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544-42B0-9AB5-0F81EFB7AA08}"/>
                </c:ext>
              </c:extLst>
            </c:dLbl>
            <c:dLbl>
              <c:idx val="6"/>
              <c:layout>
                <c:manualLayout>
                  <c:x val="7.2072072072072071E-2"/>
                  <c:y val="-2.416596499740739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544-42B0-9AB5-0F81EFB7AA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'Dupoint Analysis'!$D$78:$K$78</c:f>
              <c:numCache>
                <c:formatCode>mmm\-yy</c:formatCode>
                <c:ptCount val="8"/>
                <c:pt idx="0">
                  <c:v>43555</c:v>
                </c:pt>
                <c:pt idx="1">
                  <c:v>43921</c:v>
                </c:pt>
                <c:pt idx="2">
                  <c:v>44286</c:v>
                </c:pt>
                <c:pt idx="3">
                  <c:v>44651</c:v>
                </c:pt>
                <c:pt idx="4">
                  <c:v>45016</c:v>
                </c:pt>
                <c:pt idx="5">
                  <c:v>45382</c:v>
                </c:pt>
                <c:pt idx="6">
                  <c:v>45747</c:v>
                </c:pt>
                <c:pt idx="7">
                  <c:v>46112</c:v>
                </c:pt>
              </c:numCache>
            </c:numRef>
          </c:cat>
          <c:val>
            <c:numRef>
              <c:f>'Dupoint Analysis'!$D$81:$K$81</c:f>
              <c:numCache>
                <c:formatCode>0.00%</c:formatCode>
                <c:ptCount val="8"/>
                <c:pt idx="0">
                  <c:v>0.28820191117990018</c:v>
                </c:pt>
                <c:pt idx="1">
                  <c:v>0.27729160613259951</c:v>
                </c:pt>
                <c:pt idx="2">
                  <c:v>0.26037206289806053</c:v>
                </c:pt>
                <c:pt idx="3">
                  <c:v>0.28384443886665978</c:v>
                </c:pt>
                <c:pt idx="4">
                  <c:v>0.29813625199536264</c:v>
                </c:pt>
                <c:pt idx="5">
                  <c:v>0.31976443740007143</c:v>
                </c:pt>
                <c:pt idx="6">
                  <c:v>0.32090516603588704</c:v>
                </c:pt>
                <c:pt idx="7">
                  <c:v>0.29106339901593803</c:v>
                </c:pt>
              </c:numCache>
            </c:numRef>
          </c:val>
          <c:extLst>
            <c:ext xmlns:c16="http://schemas.microsoft.com/office/drawing/2014/chart" uri="{C3380CC4-5D6E-409C-BE32-E72D297353CC}">
              <c16:uniqueId val="{00000000-7076-491C-AFFC-6C4B9E39199A}"/>
            </c:ext>
          </c:extLst>
        </c:ser>
        <c:dLbls>
          <c:dLblPos val="outEnd"/>
          <c:showLegendKey val="0"/>
          <c:showVal val="1"/>
          <c:showCatName val="0"/>
          <c:showSerName val="0"/>
          <c:showPercent val="0"/>
          <c:showBubbleSize val="0"/>
        </c:dLbls>
        <c:gapWidth val="219"/>
        <c:overlap val="-27"/>
        <c:axId val="1189270031"/>
        <c:axId val="1182461935"/>
      </c:barChart>
      <c:dateAx>
        <c:axId val="1189270031"/>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61935"/>
        <c:crosses val="autoZero"/>
        <c:auto val="1"/>
        <c:lblOffset val="100"/>
        <c:baseTimeUnit val="years"/>
      </c:dateAx>
      <c:valAx>
        <c:axId val="1182461935"/>
        <c:scaling>
          <c:orientation val="minMax"/>
        </c:scaling>
        <c:delete val="1"/>
        <c:axPos val="l"/>
        <c:numFmt formatCode="#,##0.0;[Red]#,##0.0" sourceLinked="0"/>
        <c:majorTickMark val="none"/>
        <c:minorTickMark val="none"/>
        <c:tickLblPos val="nextTo"/>
        <c:crossAx val="118927003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1-31AA-4F30-80D0-B96A61DF8BAE}"/>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2-31AA-4F30-80D0-B96A61DF8BAE}"/>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3-31AA-4F30-80D0-B96A61DF8BAE}"/>
              </c:ext>
            </c:extLst>
          </c:dPt>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4-31AA-4F30-80D0-B96A61DF8BAE}"/>
              </c:ext>
            </c:extLst>
          </c:dPt>
          <c:dPt>
            <c:idx val="4"/>
            <c:invertIfNegative val="0"/>
            <c:bubble3D val="0"/>
            <c:spPr>
              <a:solidFill>
                <a:schemeClr val="bg2">
                  <a:lumMod val="25000"/>
                </a:schemeClr>
              </a:solidFill>
              <a:ln>
                <a:noFill/>
              </a:ln>
              <a:effectLst/>
            </c:spPr>
            <c:extLst>
              <c:ext xmlns:c16="http://schemas.microsoft.com/office/drawing/2014/chart" uri="{C3380CC4-5D6E-409C-BE32-E72D297353CC}">
                <c16:uniqueId val="{00000008-E443-4389-A2EE-DCA9B06DB3F5}"/>
              </c:ext>
            </c:extLst>
          </c:dPt>
          <c:dPt>
            <c:idx val="5"/>
            <c:invertIfNegative val="0"/>
            <c:bubble3D val="0"/>
            <c:spPr>
              <a:solidFill>
                <a:schemeClr val="bg2">
                  <a:lumMod val="25000"/>
                </a:schemeClr>
              </a:solidFill>
              <a:ln>
                <a:noFill/>
              </a:ln>
              <a:effectLst/>
            </c:spPr>
            <c:extLst>
              <c:ext xmlns:c16="http://schemas.microsoft.com/office/drawing/2014/chart" uri="{C3380CC4-5D6E-409C-BE32-E72D297353CC}">
                <c16:uniqueId val="{00000009-E443-4389-A2EE-DCA9B06DB3F5}"/>
              </c:ext>
            </c:extLst>
          </c:dPt>
          <c:dPt>
            <c:idx val="6"/>
            <c:invertIfNegative val="0"/>
            <c:bubble3D val="0"/>
            <c:spPr>
              <a:solidFill>
                <a:schemeClr val="bg2">
                  <a:lumMod val="10000"/>
                </a:schemeClr>
              </a:solidFill>
              <a:ln>
                <a:noFill/>
              </a:ln>
              <a:effectLst/>
            </c:spPr>
            <c:extLst>
              <c:ext xmlns:c16="http://schemas.microsoft.com/office/drawing/2014/chart" uri="{C3380CC4-5D6E-409C-BE32-E72D297353CC}">
                <c16:uniqueId val="{0000000A-E443-4389-A2EE-DCA9B06DB3F5}"/>
              </c:ext>
            </c:extLst>
          </c:dPt>
          <c:dPt>
            <c:idx val="7"/>
            <c:invertIfNegative val="0"/>
            <c:bubble3D val="0"/>
            <c:spPr>
              <a:solidFill>
                <a:schemeClr val="bg2">
                  <a:lumMod val="10000"/>
                </a:schemeClr>
              </a:solidFill>
              <a:ln>
                <a:noFill/>
              </a:ln>
              <a:effectLst/>
            </c:spPr>
            <c:extLst>
              <c:ext xmlns:c16="http://schemas.microsoft.com/office/drawing/2014/chart" uri="{C3380CC4-5D6E-409C-BE32-E72D297353CC}">
                <c16:uniqueId val="{0000000B-E443-4389-A2EE-DCA9B06DB3F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'Dupoint Analysis'!$D$62:$K$62</c:f>
              <c:numCache>
                <c:formatCode>mmm\-yy</c:formatCode>
                <c:ptCount val="8"/>
                <c:pt idx="0">
                  <c:v>43555</c:v>
                </c:pt>
                <c:pt idx="1">
                  <c:v>43921</c:v>
                </c:pt>
                <c:pt idx="2">
                  <c:v>44286</c:v>
                </c:pt>
                <c:pt idx="3">
                  <c:v>44651</c:v>
                </c:pt>
                <c:pt idx="4">
                  <c:v>45016</c:v>
                </c:pt>
                <c:pt idx="5">
                  <c:v>45382</c:v>
                </c:pt>
                <c:pt idx="6">
                  <c:v>45747</c:v>
                </c:pt>
                <c:pt idx="7">
                  <c:v>46112</c:v>
                </c:pt>
              </c:numCache>
            </c:numRef>
          </c:cat>
          <c:val>
            <c:numRef>
              <c:f>'Dupoint Analysis'!$D$73:$K$73</c:f>
              <c:numCache>
                <c:formatCode>0.00"X"</c:formatCode>
                <c:ptCount val="8"/>
                <c:pt idx="0">
                  <c:v>1.2505823912298732</c:v>
                </c:pt>
                <c:pt idx="1">
                  <c:v>1.3425041016050756</c:v>
                </c:pt>
                <c:pt idx="2">
                  <c:v>1.4600884976416195</c:v>
                </c:pt>
                <c:pt idx="3">
                  <c:v>1.5366063933570797</c:v>
                </c:pt>
                <c:pt idx="4">
                  <c:v>1.5739926232008652</c:v>
                </c:pt>
                <c:pt idx="5">
                  <c:v>1.5873673895210882</c:v>
                </c:pt>
                <c:pt idx="6">
                  <c:v>1.6353316950674575</c:v>
                </c:pt>
                <c:pt idx="7">
                  <c:v>1.6762825572217837</c:v>
                </c:pt>
              </c:numCache>
            </c:numRef>
          </c:val>
          <c:extLst>
            <c:ext xmlns:c16="http://schemas.microsoft.com/office/drawing/2014/chart" uri="{C3380CC4-5D6E-409C-BE32-E72D297353CC}">
              <c16:uniqueId val="{00000000-31AA-4F30-80D0-B96A61DF8BAE}"/>
            </c:ext>
          </c:extLst>
        </c:ser>
        <c:dLbls>
          <c:dLblPos val="outEnd"/>
          <c:showLegendKey val="0"/>
          <c:showVal val="1"/>
          <c:showCatName val="0"/>
          <c:showSerName val="0"/>
          <c:showPercent val="0"/>
          <c:showBubbleSize val="0"/>
        </c:dLbls>
        <c:gapWidth val="219"/>
        <c:overlap val="-27"/>
        <c:axId val="1189270031"/>
        <c:axId val="1182461935"/>
      </c:barChart>
      <c:dateAx>
        <c:axId val="1189270031"/>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61935"/>
        <c:crosses val="autoZero"/>
        <c:auto val="1"/>
        <c:lblOffset val="100"/>
        <c:baseTimeUnit val="years"/>
      </c:dateAx>
      <c:valAx>
        <c:axId val="1182461935"/>
        <c:scaling>
          <c:orientation val="minMax"/>
        </c:scaling>
        <c:delete val="1"/>
        <c:axPos val="l"/>
        <c:numFmt formatCode="#,##0.0;[Red]#,##0.0" sourceLinked="0"/>
        <c:majorTickMark val="none"/>
        <c:minorTickMark val="none"/>
        <c:tickLblPos val="nextTo"/>
        <c:crossAx val="118927003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36451953058081"/>
          <c:y val="0.11551781771379324"/>
          <c:w val="0.70932776808106979"/>
          <c:h val="0.6832037547838703"/>
        </c:manualLayout>
      </c:layout>
      <c:barChart>
        <c:barDir val="col"/>
        <c:grouping val="clustered"/>
        <c:varyColors val="0"/>
        <c:ser>
          <c:idx val="0"/>
          <c:order val="0"/>
          <c:spPr>
            <a:solidFill>
              <a:schemeClr val="bg2">
                <a:lumMod val="90000"/>
              </a:schemeClr>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1-895F-4B7B-8E8B-2043583ED2E1}"/>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3-895F-4B7B-8E8B-2043583ED2E1}"/>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5-895F-4B7B-8E8B-2043583ED2E1}"/>
              </c:ext>
            </c:extLst>
          </c:dPt>
          <c:dPt>
            <c:idx val="3"/>
            <c:invertIfNegative val="0"/>
            <c:bubble3D val="0"/>
            <c:spPr>
              <a:solidFill>
                <a:schemeClr val="bg2">
                  <a:lumMod val="25000"/>
                </a:schemeClr>
              </a:solidFill>
              <a:ln>
                <a:noFill/>
              </a:ln>
              <a:effectLst/>
            </c:spPr>
            <c:extLst>
              <c:ext xmlns:c16="http://schemas.microsoft.com/office/drawing/2014/chart" uri="{C3380CC4-5D6E-409C-BE32-E72D297353CC}">
                <c16:uniqueId val="{00000007-895F-4B7B-8E8B-2043583ED2E1}"/>
              </c:ext>
            </c:extLst>
          </c:dPt>
          <c:dPt>
            <c:idx val="4"/>
            <c:invertIfNegative val="0"/>
            <c:bubble3D val="0"/>
            <c:spPr>
              <a:solidFill>
                <a:schemeClr val="bg2">
                  <a:lumMod val="25000"/>
                </a:schemeClr>
              </a:solidFill>
              <a:ln>
                <a:noFill/>
              </a:ln>
              <a:effectLst/>
            </c:spPr>
            <c:extLst>
              <c:ext xmlns:c16="http://schemas.microsoft.com/office/drawing/2014/chart" uri="{C3380CC4-5D6E-409C-BE32-E72D297353CC}">
                <c16:uniqueId val="{00000009-895F-4B7B-8E8B-2043583ED2E1}"/>
              </c:ext>
            </c:extLst>
          </c:dPt>
          <c:dPt>
            <c:idx val="5"/>
            <c:invertIfNegative val="0"/>
            <c:bubble3D val="0"/>
            <c:spPr>
              <a:solidFill>
                <a:schemeClr val="bg2">
                  <a:lumMod val="10000"/>
                </a:schemeClr>
              </a:solidFill>
              <a:ln>
                <a:noFill/>
              </a:ln>
              <a:effectLst/>
            </c:spPr>
            <c:extLst>
              <c:ext xmlns:c16="http://schemas.microsoft.com/office/drawing/2014/chart" uri="{C3380CC4-5D6E-409C-BE32-E72D297353CC}">
                <c16:uniqueId val="{0000000B-895F-4B7B-8E8B-2043583ED2E1}"/>
              </c:ext>
            </c:extLst>
          </c:dPt>
          <c:dPt>
            <c:idx val="6"/>
            <c:invertIfNegative val="0"/>
            <c:bubble3D val="0"/>
            <c:spPr>
              <a:solidFill>
                <a:schemeClr val="bg2">
                  <a:lumMod val="10000"/>
                </a:schemeClr>
              </a:solidFill>
              <a:ln>
                <a:noFill/>
              </a:ln>
              <a:effectLst/>
            </c:spPr>
            <c:extLst>
              <c:ext xmlns:c16="http://schemas.microsoft.com/office/drawing/2014/chart" uri="{C3380CC4-5D6E-409C-BE32-E72D297353CC}">
                <c16:uniqueId val="{0000000D-895F-4B7B-8E8B-2043583ED2E1}"/>
              </c:ext>
            </c:extLst>
          </c:dPt>
          <c:dPt>
            <c:idx val="7"/>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0C-B49F-4EEE-AD00-377258FD59E5}"/>
              </c:ext>
            </c:extLst>
          </c:dPt>
          <c:dLbls>
            <c:dLbl>
              <c:idx val="2"/>
              <c:layout>
                <c:manualLayout>
                  <c:x val="-5.8558579328431344E-2"/>
                  <c:y val="-4.331918164267246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95F-4B7B-8E8B-2043583ED2E1}"/>
                </c:ext>
              </c:extLst>
            </c:dLbl>
            <c:dLbl>
              <c:idx val="3"/>
              <c:layout>
                <c:manualLayout>
                  <c:x val="1.8018024408748105E-2"/>
                  <c:y val="-0.1299575449280173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95F-4B7B-8E8B-2043583ED2E1}"/>
                </c:ext>
              </c:extLst>
            </c:dLbl>
            <c:dLbl>
              <c:idx val="6"/>
              <c:layout>
                <c:manualLayout>
                  <c:x val="9.0090122043740527E-3"/>
                  <c:y val="-0.1660568629635777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895F-4B7B-8E8B-2043583ED2E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Zscore Analysis'!$D$56:$K$56</c:f>
              <c:numCache>
                <c:formatCode>mmm\-yy</c:formatCode>
                <c:ptCount val="8"/>
                <c:pt idx="0">
                  <c:v>43555</c:v>
                </c:pt>
                <c:pt idx="1">
                  <c:v>43921</c:v>
                </c:pt>
                <c:pt idx="2">
                  <c:v>44286</c:v>
                </c:pt>
                <c:pt idx="3">
                  <c:v>44651</c:v>
                </c:pt>
                <c:pt idx="4">
                  <c:v>45016</c:v>
                </c:pt>
                <c:pt idx="5">
                  <c:v>45382</c:v>
                </c:pt>
                <c:pt idx="6">
                  <c:v>45747</c:v>
                </c:pt>
                <c:pt idx="7">
                  <c:v>46112</c:v>
                </c:pt>
              </c:numCache>
            </c:numRef>
          </c:cat>
          <c:val>
            <c:numRef>
              <c:f>'Altman''s Zscore Analysis'!$D$59:$K$59</c:f>
              <c:numCache>
                <c:formatCode>0.00%</c:formatCode>
                <c:ptCount val="8"/>
                <c:pt idx="0">
                  <c:v>2.6013819018270254E-2</c:v>
                </c:pt>
                <c:pt idx="1">
                  <c:v>2.2559457907048375E-2</c:v>
                </c:pt>
                <c:pt idx="2">
                  <c:v>-4.3671918271893657E-2</c:v>
                </c:pt>
                <c:pt idx="3">
                  <c:v>-1.516420198120973E-2</c:v>
                </c:pt>
                <c:pt idx="4">
                  <c:v>3.6644523621192922E-2</c:v>
                </c:pt>
                <c:pt idx="5">
                  <c:v>4.5665145182578089E-2</c:v>
                </c:pt>
                <c:pt idx="6">
                  <c:v>2.8780515477563679E-2</c:v>
                </c:pt>
                <c:pt idx="7">
                  <c:v>2.8145302400547561E-2</c:v>
                </c:pt>
              </c:numCache>
            </c:numRef>
          </c:val>
          <c:extLst>
            <c:ext xmlns:c16="http://schemas.microsoft.com/office/drawing/2014/chart" uri="{C3380CC4-5D6E-409C-BE32-E72D297353CC}">
              <c16:uniqueId val="{0000000C-895F-4B7B-8E8B-2043583ED2E1}"/>
            </c:ext>
          </c:extLst>
        </c:ser>
        <c:dLbls>
          <c:dLblPos val="outEnd"/>
          <c:showLegendKey val="0"/>
          <c:showVal val="1"/>
          <c:showCatName val="0"/>
          <c:showSerName val="0"/>
          <c:showPercent val="0"/>
          <c:showBubbleSize val="0"/>
        </c:dLbls>
        <c:gapWidth val="219"/>
        <c:overlap val="-27"/>
        <c:axId val="1189270031"/>
        <c:axId val="1182461935"/>
      </c:barChart>
      <c:dateAx>
        <c:axId val="1189270031"/>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61935"/>
        <c:crosses val="autoZero"/>
        <c:auto val="1"/>
        <c:lblOffset val="100"/>
        <c:baseTimeUnit val="years"/>
      </c:dateAx>
      <c:valAx>
        <c:axId val="1182461935"/>
        <c:scaling>
          <c:orientation val="minMax"/>
        </c:scaling>
        <c:delete val="1"/>
        <c:axPos val="l"/>
        <c:numFmt formatCode="#,##0.0;[Red]#,##0.0" sourceLinked="0"/>
        <c:majorTickMark val="none"/>
        <c:minorTickMark val="none"/>
        <c:tickLblPos val="nextTo"/>
        <c:crossAx val="118927003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1-E7D1-4297-9039-53B77E55CC4B}"/>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3-E7D1-4297-9039-53B77E55CC4B}"/>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5-E7D1-4297-9039-53B77E55CC4B}"/>
              </c:ext>
            </c:extLst>
          </c:dPt>
          <c:dPt>
            <c:idx val="3"/>
            <c:invertIfNegative val="0"/>
            <c:bubble3D val="0"/>
            <c:spPr>
              <a:solidFill>
                <a:schemeClr val="bg2">
                  <a:lumMod val="25000"/>
                </a:schemeClr>
              </a:solidFill>
              <a:ln>
                <a:noFill/>
              </a:ln>
              <a:effectLst/>
            </c:spPr>
            <c:extLst>
              <c:ext xmlns:c16="http://schemas.microsoft.com/office/drawing/2014/chart" uri="{C3380CC4-5D6E-409C-BE32-E72D297353CC}">
                <c16:uniqueId val="{00000007-E7D1-4297-9039-53B77E55CC4B}"/>
              </c:ext>
            </c:extLst>
          </c:dPt>
          <c:dPt>
            <c:idx val="4"/>
            <c:invertIfNegative val="0"/>
            <c:bubble3D val="0"/>
            <c:spPr>
              <a:solidFill>
                <a:schemeClr val="tx1">
                  <a:lumMod val="85000"/>
                  <a:lumOff val="15000"/>
                </a:schemeClr>
              </a:solidFill>
              <a:ln>
                <a:noFill/>
              </a:ln>
              <a:effectLst/>
            </c:spPr>
            <c:extLst>
              <c:ext xmlns:c16="http://schemas.microsoft.com/office/drawing/2014/chart" uri="{C3380CC4-5D6E-409C-BE32-E72D297353CC}">
                <c16:uniqueId val="{00000009-E7D1-4297-9039-53B77E55CC4B}"/>
              </c:ext>
            </c:extLst>
          </c:dPt>
          <c:dPt>
            <c:idx val="5"/>
            <c:invertIfNegative val="0"/>
            <c:bubble3D val="0"/>
            <c:spPr>
              <a:solidFill>
                <a:schemeClr val="bg2">
                  <a:lumMod val="25000"/>
                </a:schemeClr>
              </a:solidFill>
              <a:ln>
                <a:noFill/>
              </a:ln>
              <a:effectLst/>
            </c:spPr>
            <c:extLst>
              <c:ext xmlns:c16="http://schemas.microsoft.com/office/drawing/2014/chart" uri="{C3380CC4-5D6E-409C-BE32-E72D297353CC}">
                <c16:uniqueId val="{0000000B-E7D1-4297-9039-53B77E55CC4B}"/>
              </c:ext>
            </c:extLst>
          </c:dPt>
          <c:dPt>
            <c:idx val="6"/>
            <c:invertIfNegative val="0"/>
            <c:bubble3D val="0"/>
            <c:spPr>
              <a:solidFill>
                <a:schemeClr val="bg2">
                  <a:lumMod val="10000"/>
                </a:schemeClr>
              </a:solidFill>
              <a:ln>
                <a:noFill/>
              </a:ln>
              <a:effectLst/>
            </c:spPr>
            <c:extLst>
              <c:ext xmlns:c16="http://schemas.microsoft.com/office/drawing/2014/chart" uri="{C3380CC4-5D6E-409C-BE32-E72D297353CC}">
                <c16:uniqueId val="{0000000C-1211-4482-83C2-C8A73A6A860C}"/>
              </c:ext>
            </c:extLst>
          </c:dPt>
          <c:dPt>
            <c:idx val="7"/>
            <c:invertIfNegative val="0"/>
            <c:bubble3D val="0"/>
            <c:spPr>
              <a:solidFill>
                <a:schemeClr val="bg2">
                  <a:lumMod val="10000"/>
                </a:schemeClr>
              </a:solidFill>
              <a:ln>
                <a:noFill/>
              </a:ln>
              <a:effectLst/>
            </c:spPr>
            <c:extLst>
              <c:ext xmlns:c16="http://schemas.microsoft.com/office/drawing/2014/chart" uri="{C3380CC4-5D6E-409C-BE32-E72D297353CC}">
                <c16:uniqueId val="{0000000D-1211-4482-83C2-C8A73A6A86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Zscore Analysis'!$D$62:$K$62</c:f>
              <c:numCache>
                <c:formatCode>mmm\-yy</c:formatCode>
                <c:ptCount val="8"/>
                <c:pt idx="0">
                  <c:v>43555</c:v>
                </c:pt>
                <c:pt idx="1">
                  <c:v>43921</c:v>
                </c:pt>
                <c:pt idx="2">
                  <c:v>44286</c:v>
                </c:pt>
                <c:pt idx="3">
                  <c:v>44651</c:v>
                </c:pt>
                <c:pt idx="4">
                  <c:v>45016</c:v>
                </c:pt>
                <c:pt idx="5">
                  <c:v>45382</c:v>
                </c:pt>
                <c:pt idx="6">
                  <c:v>45747</c:v>
                </c:pt>
                <c:pt idx="7">
                  <c:v>46112</c:v>
                </c:pt>
              </c:numCache>
            </c:numRef>
          </c:cat>
          <c:val>
            <c:numRef>
              <c:f>'Altman''s Zscore Analysis'!$D$65:$K$65</c:f>
              <c:numCache>
                <c:formatCode>0.00%</c:formatCode>
                <c:ptCount val="8"/>
                <c:pt idx="0">
                  <c:v>0.17833030438714323</c:v>
                </c:pt>
                <c:pt idx="1">
                  <c:v>4.2221981735996089E-2</c:v>
                </c:pt>
                <c:pt idx="2">
                  <c:v>0.14233183580528033</c:v>
                </c:pt>
                <c:pt idx="3">
                  <c:v>0.16115778717606655</c:v>
                </c:pt>
                <c:pt idx="4">
                  <c:v>1.4909806172520217E-3</c:v>
                </c:pt>
                <c:pt idx="5">
                  <c:v>0.1352356467223933</c:v>
                </c:pt>
                <c:pt idx="6">
                  <c:v>2.0075764738510825E-2</c:v>
                </c:pt>
                <c:pt idx="7">
                  <c:v>5.3177455055280494E-2</c:v>
                </c:pt>
              </c:numCache>
            </c:numRef>
          </c:val>
          <c:extLst>
            <c:ext xmlns:c16="http://schemas.microsoft.com/office/drawing/2014/chart" uri="{C3380CC4-5D6E-409C-BE32-E72D297353CC}">
              <c16:uniqueId val="{0000000C-E7D1-4297-9039-53B77E55CC4B}"/>
            </c:ext>
          </c:extLst>
        </c:ser>
        <c:dLbls>
          <c:dLblPos val="outEnd"/>
          <c:showLegendKey val="0"/>
          <c:showVal val="1"/>
          <c:showCatName val="0"/>
          <c:showSerName val="0"/>
          <c:showPercent val="0"/>
          <c:showBubbleSize val="0"/>
        </c:dLbls>
        <c:gapWidth val="219"/>
        <c:overlap val="-27"/>
        <c:axId val="1189270031"/>
        <c:axId val="1182461935"/>
      </c:barChart>
      <c:dateAx>
        <c:axId val="1189270031"/>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61935"/>
        <c:crosses val="autoZero"/>
        <c:auto val="1"/>
        <c:lblOffset val="100"/>
        <c:baseTimeUnit val="years"/>
      </c:dateAx>
      <c:valAx>
        <c:axId val="1182461935"/>
        <c:scaling>
          <c:orientation val="minMax"/>
        </c:scaling>
        <c:delete val="1"/>
        <c:axPos val="l"/>
        <c:numFmt formatCode="#,##0.0;[Red]#,##0.0" sourceLinked="0"/>
        <c:majorTickMark val="none"/>
        <c:minorTickMark val="none"/>
        <c:tickLblPos val="nextTo"/>
        <c:crossAx val="118927003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1-16D1-4BAD-AA4E-D9FF02D8BB45}"/>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3-16D1-4BAD-AA4E-D9FF02D8BB45}"/>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5-16D1-4BAD-AA4E-D9FF02D8BB45}"/>
              </c:ext>
            </c:extLst>
          </c:dPt>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6-653F-41BB-81C0-2830FB33C830}"/>
              </c:ext>
            </c:extLst>
          </c:dPt>
          <c:dPt>
            <c:idx val="4"/>
            <c:invertIfNegative val="0"/>
            <c:bubble3D val="0"/>
            <c:spPr>
              <a:solidFill>
                <a:schemeClr val="bg2">
                  <a:lumMod val="10000"/>
                </a:schemeClr>
              </a:solidFill>
              <a:ln>
                <a:noFill/>
              </a:ln>
              <a:effectLst/>
            </c:spPr>
            <c:extLst>
              <c:ext xmlns:c16="http://schemas.microsoft.com/office/drawing/2014/chart" uri="{C3380CC4-5D6E-409C-BE32-E72D297353CC}">
                <c16:uniqueId val="{00000007-653F-41BB-81C0-2830FB33C830}"/>
              </c:ext>
            </c:extLst>
          </c:dPt>
          <c:dPt>
            <c:idx val="5"/>
            <c:invertIfNegative val="0"/>
            <c:bubble3D val="0"/>
            <c:spPr>
              <a:solidFill>
                <a:schemeClr val="bg2">
                  <a:lumMod val="10000"/>
                </a:schemeClr>
              </a:solidFill>
              <a:ln>
                <a:noFill/>
              </a:ln>
              <a:effectLst/>
            </c:spPr>
            <c:extLst>
              <c:ext xmlns:c16="http://schemas.microsoft.com/office/drawing/2014/chart" uri="{C3380CC4-5D6E-409C-BE32-E72D297353CC}">
                <c16:uniqueId val="{00000008-653F-41BB-81C0-2830FB33C830}"/>
              </c:ext>
            </c:extLst>
          </c:dPt>
          <c:dPt>
            <c:idx val="6"/>
            <c:invertIfNegative val="0"/>
            <c:bubble3D val="0"/>
            <c:spPr>
              <a:solidFill>
                <a:schemeClr val="bg2">
                  <a:lumMod val="10000"/>
                </a:schemeClr>
              </a:solidFill>
              <a:ln>
                <a:noFill/>
              </a:ln>
              <a:effectLst/>
            </c:spPr>
            <c:extLst>
              <c:ext xmlns:c16="http://schemas.microsoft.com/office/drawing/2014/chart" uri="{C3380CC4-5D6E-409C-BE32-E72D297353CC}">
                <c16:uniqueId val="{00000007-16D1-4BAD-AA4E-D9FF02D8BB45}"/>
              </c:ext>
            </c:extLst>
          </c:dPt>
          <c:dPt>
            <c:idx val="7"/>
            <c:invertIfNegative val="0"/>
            <c:bubble3D val="0"/>
            <c:spPr>
              <a:solidFill>
                <a:schemeClr val="bg2">
                  <a:lumMod val="10000"/>
                </a:schemeClr>
              </a:solidFill>
              <a:ln>
                <a:noFill/>
              </a:ln>
              <a:effectLst/>
            </c:spPr>
            <c:extLst>
              <c:ext xmlns:c16="http://schemas.microsoft.com/office/drawing/2014/chart" uri="{C3380CC4-5D6E-409C-BE32-E72D297353CC}">
                <c16:uniqueId val="{00000009-653F-41BB-81C0-2830FB33C830}"/>
              </c:ext>
            </c:extLst>
          </c:dPt>
          <c:dLbls>
            <c:dLbl>
              <c:idx val="6"/>
              <c:layout>
                <c:manualLayout>
                  <c:x val="-4.4742729306487695E-3"/>
                  <c:y val="-1.981883194774902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6D1-4BAD-AA4E-D9FF02D8BB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Zscore Analysis'!$D$68:$K$68</c:f>
              <c:numCache>
                <c:formatCode>mmm\-yy</c:formatCode>
                <c:ptCount val="8"/>
                <c:pt idx="0">
                  <c:v>43555</c:v>
                </c:pt>
                <c:pt idx="1">
                  <c:v>43921</c:v>
                </c:pt>
                <c:pt idx="2">
                  <c:v>44286</c:v>
                </c:pt>
                <c:pt idx="3">
                  <c:v>44651</c:v>
                </c:pt>
                <c:pt idx="4">
                  <c:v>45016</c:v>
                </c:pt>
                <c:pt idx="5">
                  <c:v>45382</c:v>
                </c:pt>
                <c:pt idx="6">
                  <c:v>45747</c:v>
                </c:pt>
                <c:pt idx="7">
                  <c:v>46112</c:v>
                </c:pt>
              </c:numCache>
            </c:numRef>
          </c:cat>
          <c:val>
            <c:numRef>
              <c:f>'Altman''s Zscore Analysis'!$D$71:$K$71</c:f>
              <c:numCache>
                <c:formatCode>0.00%</c:formatCode>
                <c:ptCount val="8"/>
                <c:pt idx="0">
                  <c:v>0.36490461014389691</c:v>
                </c:pt>
                <c:pt idx="1">
                  <c:v>0.3516944566999925</c:v>
                </c:pt>
                <c:pt idx="2">
                  <c:v>0.33663610068311894</c:v>
                </c:pt>
                <c:pt idx="3">
                  <c:v>0.36677216088104225</c:v>
                </c:pt>
                <c:pt idx="4">
                  <c:v>0.39834382153032011</c:v>
                </c:pt>
                <c:pt idx="5">
                  <c:v>0.42617823361196655</c:v>
                </c:pt>
                <c:pt idx="6">
                  <c:v>0.41179585121872814</c:v>
                </c:pt>
                <c:pt idx="7">
                  <c:v>0.36147311596482801</c:v>
                </c:pt>
              </c:numCache>
            </c:numRef>
          </c:val>
          <c:extLst>
            <c:ext xmlns:c16="http://schemas.microsoft.com/office/drawing/2014/chart" uri="{C3380CC4-5D6E-409C-BE32-E72D297353CC}">
              <c16:uniqueId val="{00000006-16D1-4BAD-AA4E-D9FF02D8BB45}"/>
            </c:ext>
          </c:extLst>
        </c:ser>
        <c:dLbls>
          <c:dLblPos val="outEnd"/>
          <c:showLegendKey val="0"/>
          <c:showVal val="1"/>
          <c:showCatName val="0"/>
          <c:showSerName val="0"/>
          <c:showPercent val="0"/>
          <c:showBubbleSize val="0"/>
        </c:dLbls>
        <c:gapWidth val="219"/>
        <c:overlap val="-27"/>
        <c:axId val="1189270031"/>
        <c:axId val="1182461935"/>
      </c:barChart>
      <c:dateAx>
        <c:axId val="1189270031"/>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61935"/>
        <c:crosses val="autoZero"/>
        <c:auto val="1"/>
        <c:lblOffset val="100"/>
        <c:baseTimeUnit val="years"/>
      </c:dateAx>
      <c:valAx>
        <c:axId val="1182461935"/>
        <c:scaling>
          <c:orientation val="minMax"/>
        </c:scaling>
        <c:delete val="1"/>
        <c:axPos val="l"/>
        <c:numFmt formatCode="#,##0.0;[Red]#,##0.0" sourceLinked="0"/>
        <c:majorTickMark val="none"/>
        <c:minorTickMark val="none"/>
        <c:tickLblPos val="nextTo"/>
        <c:crossAx val="118927003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solidFill>
            <a:ln>
              <a:noFill/>
            </a:ln>
            <a:effectLst/>
          </c:spPr>
          <c:invertIfNegative val="0"/>
          <c:dPt>
            <c:idx val="0"/>
            <c:invertIfNegative val="0"/>
            <c:bubble3D val="0"/>
            <c:spPr>
              <a:solidFill>
                <a:schemeClr val="bg2">
                  <a:lumMod val="90000"/>
                </a:schemeClr>
              </a:solidFill>
              <a:ln>
                <a:solidFill>
                  <a:schemeClr val="tx1">
                    <a:lumMod val="50000"/>
                    <a:lumOff val="50000"/>
                  </a:schemeClr>
                </a:solidFill>
              </a:ln>
              <a:effectLst/>
            </c:spPr>
            <c:extLst>
              <c:ext xmlns:c16="http://schemas.microsoft.com/office/drawing/2014/chart" uri="{C3380CC4-5D6E-409C-BE32-E72D297353CC}">
                <c16:uniqueId val="{00000001-4333-413C-8B93-8595B688399B}"/>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3-4333-413C-8B93-8595B688399B}"/>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5-4333-413C-8B93-8595B688399B}"/>
              </c:ext>
            </c:extLst>
          </c:dPt>
          <c:dPt>
            <c:idx val="3"/>
            <c:invertIfNegative val="0"/>
            <c:bubble3D val="0"/>
            <c:spPr>
              <a:solidFill>
                <a:schemeClr val="bg2">
                  <a:lumMod val="50000"/>
                </a:schemeClr>
              </a:solidFill>
              <a:ln>
                <a:noFill/>
              </a:ln>
              <a:effectLst/>
            </c:spPr>
            <c:extLst>
              <c:ext xmlns:c16="http://schemas.microsoft.com/office/drawing/2014/chart" uri="{C3380CC4-5D6E-409C-BE32-E72D297353CC}">
                <c16:uniqueId val="{00000006-112F-4FB0-A3B7-EEAEECE0E554}"/>
              </c:ext>
            </c:extLst>
          </c:dPt>
          <c:dPt>
            <c:idx val="4"/>
            <c:invertIfNegative val="0"/>
            <c:bubble3D val="0"/>
            <c:spPr>
              <a:solidFill>
                <a:schemeClr val="bg2">
                  <a:lumMod val="25000"/>
                </a:schemeClr>
              </a:solidFill>
              <a:ln>
                <a:noFill/>
              </a:ln>
              <a:effectLst/>
            </c:spPr>
            <c:extLst>
              <c:ext xmlns:c16="http://schemas.microsoft.com/office/drawing/2014/chart" uri="{C3380CC4-5D6E-409C-BE32-E72D297353CC}">
                <c16:uniqueId val="{00000007-112F-4FB0-A3B7-EEAEECE0E554}"/>
              </c:ext>
            </c:extLst>
          </c:dPt>
          <c:dPt>
            <c:idx val="5"/>
            <c:invertIfNegative val="0"/>
            <c:bubble3D val="0"/>
            <c:spPr>
              <a:solidFill>
                <a:schemeClr val="bg2">
                  <a:lumMod val="25000"/>
                </a:schemeClr>
              </a:solidFill>
              <a:ln>
                <a:noFill/>
              </a:ln>
              <a:effectLst/>
            </c:spPr>
            <c:extLst>
              <c:ext xmlns:c16="http://schemas.microsoft.com/office/drawing/2014/chart" uri="{C3380CC4-5D6E-409C-BE32-E72D297353CC}">
                <c16:uniqueId val="{00000008-112F-4FB0-A3B7-EEAEECE0E554}"/>
              </c:ext>
            </c:extLst>
          </c:dPt>
          <c:dPt>
            <c:idx val="6"/>
            <c:invertIfNegative val="0"/>
            <c:bubble3D val="0"/>
            <c:spPr>
              <a:solidFill>
                <a:schemeClr val="bg2">
                  <a:lumMod val="10000"/>
                </a:schemeClr>
              </a:solidFill>
              <a:ln>
                <a:noFill/>
              </a:ln>
              <a:effectLst/>
            </c:spPr>
            <c:extLst>
              <c:ext xmlns:c16="http://schemas.microsoft.com/office/drawing/2014/chart" uri="{C3380CC4-5D6E-409C-BE32-E72D297353CC}">
                <c16:uniqueId val="{00000009-112F-4FB0-A3B7-EEAEECE0E554}"/>
              </c:ext>
            </c:extLst>
          </c:dPt>
          <c:dPt>
            <c:idx val="7"/>
            <c:invertIfNegative val="0"/>
            <c:bubble3D val="0"/>
            <c:spPr>
              <a:solidFill>
                <a:schemeClr val="bg2">
                  <a:lumMod val="10000"/>
                </a:schemeClr>
              </a:solidFill>
              <a:ln>
                <a:noFill/>
              </a:ln>
              <a:effectLst/>
            </c:spPr>
            <c:extLst>
              <c:ext xmlns:c16="http://schemas.microsoft.com/office/drawing/2014/chart" uri="{C3380CC4-5D6E-409C-BE32-E72D297353CC}">
                <c16:uniqueId val="{0000000A-112F-4FB0-A3B7-EEAEECE0E5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Zscore Analysis'!$D$74:$K$74</c:f>
              <c:numCache>
                <c:formatCode>mmm\-yy</c:formatCode>
                <c:ptCount val="8"/>
                <c:pt idx="0">
                  <c:v>43555</c:v>
                </c:pt>
                <c:pt idx="1">
                  <c:v>43921</c:v>
                </c:pt>
                <c:pt idx="2">
                  <c:v>44286</c:v>
                </c:pt>
                <c:pt idx="3">
                  <c:v>44651</c:v>
                </c:pt>
                <c:pt idx="4">
                  <c:v>45016</c:v>
                </c:pt>
                <c:pt idx="5">
                  <c:v>45382</c:v>
                </c:pt>
                <c:pt idx="6">
                  <c:v>45747</c:v>
                </c:pt>
                <c:pt idx="7">
                  <c:v>46112</c:v>
                </c:pt>
              </c:numCache>
            </c:numRef>
          </c:cat>
          <c:val>
            <c:numRef>
              <c:f>'Altman''s Zscore Analysis'!$D$77:$K$77</c:f>
              <c:numCache>
                <c:formatCode>0.00%</c:formatCode>
                <c:ptCount val="8"/>
                <c:pt idx="0">
                  <c:v>0.30713395406930694</c:v>
                </c:pt>
                <c:pt idx="1">
                  <c:v>0.19033442714442933</c:v>
                </c:pt>
                <c:pt idx="2">
                  <c:v>0.26986456084134275</c:v>
                </c:pt>
                <c:pt idx="3">
                  <c:v>0.26425932572079464</c:v>
                </c:pt>
                <c:pt idx="4">
                  <c:v>0.22371608270622106</c:v>
                </c:pt>
                <c:pt idx="5">
                  <c:v>0.25507507131337687</c:v>
                </c:pt>
                <c:pt idx="6">
                  <c:v>0.20420650623754874</c:v>
                </c:pt>
                <c:pt idx="7">
                  <c:v>0.11544776125380712</c:v>
                </c:pt>
              </c:numCache>
            </c:numRef>
          </c:val>
          <c:extLst>
            <c:ext xmlns:c16="http://schemas.microsoft.com/office/drawing/2014/chart" uri="{C3380CC4-5D6E-409C-BE32-E72D297353CC}">
              <c16:uniqueId val="{00000006-4333-413C-8B93-8595B688399B}"/>
            </c:ext>
          </c:extLst>
        </c:ser>
        <c:dLbls>
          <c:dLblPos val="outEnd"/>
          <c:showLegendKey val="0"/>
          <c:showVal val="1"/>
          <c:showCatName val="0"/>
          <c:showSerName val="0"/>
          <c:showPercent val="0"/>
          <c:showBubbleSize val="0"/>
        </c:dLbls>
        <c:gapWidth val="219"/>
        <c:overlap val="-27"/>
        <c:axId val="1189270031"/>
        <c:axId val="1182461935"/>
      </c:barChart>
      <c:dateAx>
        <c:axId val="1189270031"/>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61935"/>
        <c:crosses val="autoZero"/>
        <c:auto val="1"/>
        <c:lblOffset val="100"/>
        <c:baseTimeUnit val="years"/>
      </c:dateAx>
      <c:valAx>
        <c:axId val="1182461935"/>
        <c:scaling>
          <c:orientation val="minMax"/>
        </c:scaling>
        <c:delete val="1"/>
        <c:axPos val="l"/>
        <c:numFmt formatCode="#,##0.0;[Red]#,##0.0" sourceLinked="0"/>
        <c:majorTickMark val="none"/>
        <c:minorTickMark val="none"/>
        <c:tickLblPos val="nextTo"/>
        <c:crossAx val="118927003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'Altman''s Zscore Analysis'!$D$80</c:f>
              <c:strCache>
                <c:ptCount val="1"/>
                <c:pt idx="0">
                  <c:v>Mar-19</c:v>
                </c:pt>
              </c:strCache>
            </c:strRef>
          </c:tx>
          <c:spPr>
            <a:solidFill>
              <a:schemeClr val="bg2">
                <a:lumMod val="90000"/>
              </a:schemeClr>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1-783E-4D14-B9AC-1AC5A17F5CD9}"/>
              </c:ext>
            </c:extLst>
          </c:dPt>
          <c:dPt>
            <c:idx val="1"/>
            <c:invertIfNegative val="0"/>
            <c:bubble3D val="0"/>
            <c:spPr>
              <a:solidFill>
                <a:schemeClr val="bg2">
                  <a:lumMod val="90000"/>
                </a:schemeClr>
              </a:solidFill>
              <a:ln>
                <a:noFill/>
              </a:ln>
              <a:effectLst/>
            </c:spPr>
            <c:extLst>
              <c:ext xmlns:c16="http://schemas.microsoft.com/office/drawing/2014/chart" uri="{C3380CC4-5D6E-409C-BE32-E72D297353CC}">
                <c16:uniqueId val="{00000003-783E-4D14-B9AC-1AC5A17F5CD9}"/>
              </c:ext>
            </c:extLst>
          </c:dPt>
          <c:dPt>
            <c:idx val="2"/>
            <c:invertIfNegative val="0"/>
            <c:bubble3D val="0"/>
            <c:spPr>
              <a:solidFill>
                <a:schemeClr val="bg2">
                  <a:lumMod val="90000"/>
                </a:schemeClr>
              </a:solidFill>
              <a:ln>
                <a:noFill/>
              </a:ln>
              <a:effectLst/>
            </c:spPr>
            <c:extLst>
              <c:ext xmlns:c16="http://schemas.microsoft.com/office/drawing/2014/chart" uri="{C3380CC4-5D6E-409C-BE32-E72D297353CC}">
                <c16:uniqueId val="{00000005-783E-4D14-B9AC-1AC5A17F5CD9}"/>
              </c:ext>
            </c:extLst>
          </c:dPt>
          <c:dPt>
            <c:idx val="3"/>
            <c:invertIfNegative val="0"/>
            <c:bubble3D val="0"/>
            <c:spPr>
              <a:solidFill>
                <a:schemeClr val="bg2">
                  <a:lumMod val="90000"/>
                </a:schemeClr>
              </a:solidFill>
              <a:ln>
                <a:noFill/>
              </a:ln>
              <a:effectLst/>
            </c:spPr>
            <c:extLst>
              <c:ext xmlns:c16="http://schemas.microsoft.com/office/drawing/2014/chart" uri="{C3380CC4-5D6E-409C-BE32-E72D297353CC}">
                <c16:uniqueId val="{00000007-783E-4D14-B9AC-1AC5A17F5C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Zscore Analysis'!$D$83</c:f>
              <c:numCache>
                <c:formatCode>0.00%</c:formatCode>
                <c:ptCount val="1"/>
                <c:pt idx="0">
                  <c:v>1.2858798430215714</c:v>
                </c:pt>
              </c:numCache>
            </c:numRef>
          </c:val>
          <c:extLst>
            <c:ext xmlns:c16="http://schemas.microsoft.com/office/drawing/2014/chart" uri="{C3380CC4-5D6E-409C-BE32-E72D297353CC}">
              <c16:uniqueId val="{00000008-783E-4D14-B9AC-1AC5A17F5CD9}"/>
            </c:ext>
          </c:extLst>
        </c:ser>
        <c:ser>
          <c:idx val="1"/>
          <c:order val="1"/>
          <c:tx>
            <c:strRef>
              <c:f>'Altman''s Zscore Analysis'!$E$80</c:f>
              <c:strCache>
                <c:ptCount val="1"/>
                <c:pt idx="0">
                  <c:v>Mar-20</c:v>
                </c:pt>
              </c:strCache>
            </c:strRef>
          </c:tx>
          <c:spPr>
            <a:solidFill>
              <a:schemeClr val="bg2">
                <a:lumMod val="75000"/>
              </a:schemeClr>
            </a:solidFill>
            <a:ln>
              <a:noFill/>
            </a:ln>
            <a:effectLst/>
          </c:spPr>
          <c:invertIfNegative val="0"/>
          <c:dLbls>
            <c:dLbl>
              <c:idx val="0"/>
              <c:layout>
                <c:manualLayout>
                  <c:x val="4.3478260869565218E-3"/>
                  <c:y val="-9.66638599896295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FDA0-46FA-8463-70BA592A34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Zscore Analysis'!$E$83</c:f>
              <c:numCache>
                <c:formatCode>0.00%</c:formatCode>
                <c:ptCount val="1"/>
                <c:pt idx="0">
                  <c:v>1.3065255937466183</c:v>
                </c:pt>
              </c:numCache>
            </c:numRef>
          </c:val>
          <c:extLst>
            <c:ext xmlns:c16="http://schemas.microsoft.com/office/drawing/2014/chart" uri="{C3380CC4-5D6E-409C-BE32-E72D297353CC}">
              <c16:uniqueId val="{00000016-FDA0-46FA-8463-70BA592A346F}"/>
            </c:ext>
          </c:extLst>
        </c:ser>
        <c:ser>
          <c:idx val="2"/>
          <c:order val="2"/>
          <c:tx>
            <c:strRef>
              <c:f>'Altman''s Zscore Analysis'!$F$80</c:f>
              <c:strCache>
                <c:ptCount val="1"/>
                <c:pt idx="0">
                  <c:v>Mar-21</c:v>
                </c:pt>
              </c:strCache>
            </c:strRef>
          </c:tx>
          <c:spPr>
            <a:solidFill>
              <a:schemeClr val="bg2">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Zscore Analysis'!$F$83</c:f>
              <c:numCache>
                <c:formatCode>0.00%</c:formatCode>
                <c:ptCount val="1"/>
                <c:pt idx="0">
                  <c:v>1.2629777217059512</c:v>
                </c:pt>
              </c:numCache>
            </c:numRef>
          </c:val>
          <c:extLst>
            <c:ext xmlns:c16="http://schemas.microsoft.com/office/drawing/2014/chart" uri="{C3380CC4-5D6E-409C-BE32-E72D297353CC}">
              <c16:uniqueId val="{00000017-FDA0-46FA-8463-70BA592A346F}"/>
            </c:ext>
          </c:extLst>
        </c:ser>
        <c:ser>
          <c:idx val="3"/>
          <c:order val="3"/>
          <c:tx>
            <c:strRef>
              <c:f>'Altman''s Zscore Analysis'!$G$80</c:f>
              <c:strCache>
                <c:ptCount val="1"/>
                <c:pt idx="0">
                  <c:v>Mar-22</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Zscore Analysis'!$G$83</c:f>
              <c:numCache>
                <c:formatCode>0.00%</c:formatCode>
                <c:ptCount val="1"/>
                <c:pt idx="0">
                  <c:v>1.3606908688371038</c:v>
                </c:pt>
              </c:numCache>
            </c:numRef>
          </c:val>
          <c:extLst>
            <c:ext xmlns:c16="http://schemas.microsoft.com/office/drawing/2014/chart" uri="{C3380CC4-5D6E-409C-BE32-E72D297353CC}">
              <c16:uniqueId val="{00000018-FDA0-46FA-8463-70BA592A346F}"/>
            </c:ext>
          </c:extLst>
        </c:ser>
        <c:ser>
          <c:idx val="4"/>
          <c:order val="4"/>
          <c:tx>
            <c:strRef>
              <c:f>'Altman''s Zscore Analysis'!$H$80</c:f>
              <c:strCache>
                <c:ptCount val="1"/>
                <c:pt idx="0">
                  <c:v>Mar-23</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Zscore Analysis'!$H$83</c:f>
              <c:numCache>
                <c:formatCode>0.00%</c:formatCode>
                <c:ptCount val="1"/>
                <c:pt idx="0">
                  <c:v>1.5781854835887132</c:v>
                </c:pt>
              </c:numCache>
            </c:numRef>
          </c:val>
          <c:extLst>
            <c:ext xmlns:c16="http://schemas.microsoft.com/office/drawing/2014/chart" uri="{C3380CC4-5D6E-409C-BE32-E72D297353CC}">
              <c16:uniqueId val="{00000019-FDA0-46FA-8463-70BA592A346F}"/>
            </c:ext>
          </c:extLst>
        </c:ser>
        <c:ser>
          <c:idx val="5"/>
          <c:order val="5"/>
          <c:tx>
            <c:strRef>
              <c:f>'Altman''s Zscore Analysis'!$I$80</c:f>
              <c:strCache>
                <c:ptCount val="1"/>
                <c:pt idx="0">
                  <c:v>Mar-24</c:v>
                </c:pt>
              </c:strCache>
            </c:strRef>
          </c:tx>
          <c:spPr>
            <a:solidFill>
              <a:schemeClr val="bg2">
                <a:lumMod val="10000"/>
              </a:schemeClr>
            </a:solidFill>
            <a:ln>
              <a:noFill/>
            </a:ln>
            <a:effectLst/>
          </c:spPr>
          <c:invertIfNegative val="0"/>
          <c:dLbls>
            <c:dLbl>
              <c:idx val="0"/>
              <c:layout>
                <c:manualLayout>
                  <c:x val="2.1739130434782608E-2"/>
                  <c:y val="-2.416596499740739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FDA0-46FA-8463-70BA592A34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Zscore Analysis'!$I$83</c:f>
              <c:numCache>
                <c:formatCode>0.00%</c:formatCode>
                <c:ptCount val="1"/>
                <c:pt idx="0">
                  <c:v>1.6559406621205455</c:v>
                </c:pt>
              </c:numCache>
            </c:numRef>
          </c:val>
          <c:extLst>
            <c:ext xmlns:c16="http://schemas.microsoft.com/office/drawing/2014/chart" uri="{C3380CC4-5D6E-409C-BE32-E72D297353CC}">
              <c16:uniqueId val="{0000001A-FDA0-46FA-8463-70BA592A346F}"/>
            </c:ext>
          </c:extLst>
        </c:ser>
        <c:ser>
          <c:idx val="6"/>
          <c:order val="6"/>
          <c:tx>
            <c:strRef>
              <c:f>'Altman''s Zscore Analysis'!$J$80</c:f>
              <c:strCache>
                <c:ptCount val="1"/>
                <c:pt idx="0">
                  <c:v>Mar-25</c:v>
                </c:pt>
              </c:strCache>
            </c:strRef>
          </c:tx>
          <c:spPr>
            <a:solidFill>
              <a:schemeClr val="bg2">
                <a:lumMod val="10000"/>
              </a:schemeClr>
            </a:solidFill>
            <a:ln>
              <a:noFill/>
            </a:ln>
            <a:effectLst/>
          </c:spPr>
          <c:invertIfNegative val="0"/>
          <c:dLbls>
            <c:dLbl>
              <c:idx val="0"/>
              <c:layout>
                <c:manualLayout>
                  <c:x val="4.3478260869565216E-2"/>
                  <c:y val="-4.229043874546293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FDA0-46FA-8463-70BA592A34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Zscore Analysis'!$J$83</c:f>
              <c:numCache>
                <c:formatCode>0.00%</c:formatCode>
                <c:ptCount val="1"/>
                <c:pt idx="0">
                  <c:v>1.6093640678478907</c:v>
                </c:pt>
              </c:numCache>
            </c:numRef>
          </c:val>
          <c:extLst>
            <c:ext xmlns:c16="http://schemas.microsoft.com/office/drawing/2014/chart" uri="{C3380CC4-5D6E-409C-BE32-E72D297353CC}">
              <c16:uniqueId val="{0000001B-FDA0-46FA-8463-70BA592A346F}"/>
            </c:ext>
          </c:extLst>
        </c:ser>
        <c:ser>
          <c:idx val="7"/>
          <c:order val="7"/>
          <c:tx>
            <c:strRef>
              <c:f>'Altman''s Zscore Analysis'!$K$80</c:f>
              <c:strCache>
                <c:ptCount val="1"/>
                <c:pt idx="0">
                  <c:v>Mar-26</c:v>
                </c:pt>
              </c:strCache>
            </c:strRef>
          </c:tx>
          <c:spPr>
            <a:solidFill>
              <a:schemeClr val="bg2">
                <a:lumMod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'Altman''s Zscore Analysis'!$K$83</c:f>
              <c:numCache>
                <c:formatCode>0.00%</c:formatCode>
                <c:ptCount val="1"/>
                <c:pt idx="0">
                  <c:v>1.4738942522644853</c:v>
                </c:pt>
              </c:numCache>
            </c:numRef>
          </c:val>
          <c:extLst>
            <c:ext xmlns:c16="http://schemas.microsoft.com/office/drawing/2014/chart" uri="{C3380CC4-5D6E-409C-BE32-E72D297353CC}">
              <c16:uniqueId val="{0000001C-FDA0-46FA-8463-70BA592A346F}"/>
            </c:ext>
          </c:extLst>
        </c:ser>
        <c:dLbls>
          <c:dLblPos val="outEnd"/>
          <c:showLegendKey val="0"/>
          <c:showVal val="1"/>
          <c:showCatName val="0"/>
          <c:showSerName val="0"/>
          <c:showPercent val="0"/>
          <c:showBubbleSize val="0"/>
        </c:dLbls>
        <c:gapWidth val="219"/>
        <c:overlap val="-27"/>
        <c:axId val="1189270031"/>
        <c:axId val="1182461935"/>
      </c:barChart>
      <c:catAx>
        <c:axId val="1189270031"/>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61935"/>
        <c:crosses val="autoZero"/>
        <c:auto val="1"/>
        <c:lblAlgn val="ctr"/>
        <c:lblOffset val="100"/>
        <c:noMultiLvlLbl val="1"/>
      </c:catAx>
      <c:valAx>
        <c:axId val="1182461935"/>
        <c:scaling>
          <c:orientation val="minMax"/>
        </c:scaling>
        <c:delete val="1"/>
        <c:axPos val="l"/>
        <c:numFmt formatCode="#,##0.0;[Red]#,##0.0" sourceLinked="0"/>
        <c:majorTickMark val="none"/>
        <c:minorTickMark val="none"/>
        <c:tickLblPos val="nextTo"/>
        <c:crossAx val="118927003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1-C7EC-4731-B4CA-2504A652DE9E}"/>
              </c:ext>
            </c:extLst>
          </c:dPt>
          <c:dPt>
            <c:idx val="1"/>
            <c:invertIfNegative val="0"/>
            <c:bubble3D val="0"/>
            <c:spPr>
              <a:solidFill>
                <a:schemeClr val="bg2">
                  <a:lumMod val="75000"/>
                </a:schemeClr>
              </a:solidFill>
              <a:ln>
                <a:noFill/>
              </a:ln>
              <a:effectLst/>
            </c:spPr>
            <c:extLst>
              <c:ext xmlns:c16="http://schemas.microsoft.com/office/drawing/2014/chart" uri="{C3380CC4-5D6E-409C-BE32-E72D297353CC}">
                <c16:uniqueId val="{00000003-C7EC-4731-B4CA-2504A652DE9E}"/>
              </c:ext>
            </c:extLst>
          </c:dPt>
          <c:dPt>
            <c:idx val="2"/>
            <c:invertIfNegative val="0"/>
            <c:bubble3D val="0"/>
            <c:spPr>
              <a:solidFill>
                <a:schemeClr val="bg2">
                  <a:lumMod val="50000"/>
                </a:schemeClr>
              </a:solidFill>
              <a:ln>
                <a:noFill/>
              </a:ln>
              <a:effectLst/>
            </c:spPr>
            <c:extLst>
              <c:ext xmlns:c16="http://schemas.microsoft.com/office/drawing/2014/chart" uri="{C3380CC4-5D6E-409C-BE32-E72D297353CC}">
                <c16:uniqueId val="{00000005-C7EC-4731-B4CA-2504A652DE9E}"/>
              </c:ext>
            </c:extLst>
          </c:dPt>
          <c:dPt>
            <c:idx val="3"/>
            <c:invertIfNegative val="0"/>
            <c:bubble3D val="0"/>
            <c:spPr>
              <a:solidFill>
                <a:schemeClr val="bg2">
                  <a:lumMod val="25000"/>
                </a:schemeClr>
              </a:solidFill>
              <a:ln>
                <a:noFill/>
              </a:ln>
              <a:effectLst/>
            </c:spPr>
            <c:extLst>
              <c:ext xmlns:c16="http://schemas.microsoft.com/office/drawing/2014/chart" uri="{C3380CC4-5D6E-409C-BE32-E72D297353CC}">
                <c16:uniqueId val="{00000007-C7EC-4731-B4CA-2504A652DE9E}"/>
              </c:ext>
            </c:extLst>
          </c:dPt>
          <c:dPt>
            <c:idx val="4"/>
            <c:invertIfNegative val="0"/>
            <c:bubble3D val="0"/>
            <c:spPr>
              <a:solidFill>
                <a:schemeClr val="bg2">
                  <a:lumMod val="25000"/>
                </a:schemeClr>
              </a:solidFill>
              <a:ln>
                <a:noFill/>
              </a:ln>
              <a:effectLst/>
            </c:spPr>
            <c:extLst>
              <c:ext xmlns:c16="http://schemas.microsoft.com/office/drawing/2014/chart" uri="{C3380CC4-5D6E-409C-BE32-E72D297353CC}">
                <c16:uniqueId val="{00000008-E88B-48EA-BA5E-087998B0E269}"/>
              </c:ext>
            </c:extLst>
          </c:dPt>
          <c:dPt>
            <c:idx val="5"/>
            <c:invertIfNegative val="0"/>
            <c:bubble3D val="0"/>
            <c:spPr>
              <a:solidFill>
                <a:schemeClr val="bg2">
                  <a:lumMod val="25000"/>
                </a:schemeClr>
              </a:solidFill>
              <a:ln>
                <a:noFill/>
              </a:ln>
              <a:effectLst/>
            </c:spPr>
            <c:extLst>
              <c:ext xmlns:c16="http://schemas.microsoft.com/office/drawing/2014/chart" uri="{C3380CC4-5D6E-409C-BE32-E72D297353CC}">
                <c16:uniqueId val="{00000009-E88B-48EA-BA5E-087998B0E269}"/>
              </c:ext>
            </c:extLst>
          </c:dPt>
          <c:dPt>
            <c:idx val="6"/>
            <c:invertIfNegative val="0"/>
            <c:bubble3D val="0"/>
            <c:spPr>
              <a:solidFill>
                <a:schemeClr val="bg2">
                  <a:lumMod val="10000"/>
                </a:schemeClr>
              </a:solidFill>
              <a:ln>
                <a:noFill/>
              </a:ln>
              <a:effectLst/>
            </c:spPr>
            <c:extLst>
              <c:ext xmlns:c16="http://schemas.microsoft.com/office/drawing/2014/chart" uri="{C3380CC4-5D6E-409C-BE32-E72D297353CC}">
                <c16:uniqueId val="{0000000A-E88B-48EA-BA5E-087998B0E269}"/>
              </c:ext>
            </c:extLst>
          </c:dPt>
          <c:dPt>
            <c:idx val="7"/>
            <c:invertIfNegative val="0"/>
            <c:bubble3D val="0"/>
            <c:spPr>
              <a:solidFill>
                <a:schemeClr val="bg2">
                  <a:lumMod val="10000"/>
                </a:schemeClr>
              </a:solidFill>
              <a:ln>
                <a:noFill/>
              </a:ln>
              <a:effectLst/>
            </c:spPr>
            <c:extLst>
              <c:ext xmlns:c16="http://schemas.microsoft.com/office/drawing/2014/chart" uri="{C3380CC4-5D6E-409C-BE32-E72D297353CC}">
                <c16:uniqueId val="{0000000B-E88B-48EA-BA5E-087998B0E26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'Altman''s Zscore Analysis'!$D$86:$K$86</c:f>
              <c:numCache>
                <c:formatCode>mmm\-yy</c:formatCode>
                <c:ptCount val="8"/>
                <c:pt idx="0">
                  <c:v>43555</c:v>
                </c:pt>
                <c:pt idx="1">
                  <c:v>43921</c:v>
                </c:pt>
                <c:pt idx="2">
                  <c:v>44286</c:v>
                </c:pt>
                <c:pt idx="3">
                  <c:v>44651</c:v>
                </c:pt>
                <c:pt idx="4">
                  <c:v>45016</c:v>
                </c:pt>
                <c:pt idx="5">
                  <c:v>45382</c:v>
                </c:pt>
                <c:pt idx="6">
                  <c:v>45747</c:v>
                </c:pt>
                <c:pt idx="7">
                  <c:v>46112</c:v>
                </c:pt>
              </c:numCache>
            </c:numRef>
          </c:cat>
          <c:val>
            <c:numRef>
              <c:f>'Altman''s Zscore Analysis'!$D$87:$K$87</c:f>
              <c:numCache>
                <c:formatCode>#,##0.00</c:formatCode>
                <c:ptCount val="8"/>
                <c:pt idx="0">
                  <c:v>2.9552244379019403</c:v>
                </c:pt>
                <c:pt idx="1">
                  <c:v>2.6675000810621032</c:v>
                </c:pt>
                <c:pt idx="2">
                  <c:v>2.6826538586661695</c:v>
                </c:pt>
                <c:pt idx="3">
                  <c:v>2.9370184548460614</c:v>
                </c:pt>
                <c:pt idx="4">
                  <c:v>3.0730105454720862</c:v>
                </c:pt>
                <c:pt idx="5">
                  <c:v>3.4595019554585056</c:v>
                </c:pt>
                <c:pt idx="6">
                  <c:v>3.1534569698192141</c:v>
                </c:pt>
                <c:pt idx="7">
                  <c:v>2.8442469916587516</c:v>
                </c:pt>
              </c:numCache>
            </c:numRef>
          </c:val>
          <c:extLst>
            <c:ext xmlns:c16="http://schemas.microsoft.com/office/drawing/2014/chart" uri="{C3380CC4-5D6E-409C-BE32-E72D297353CC}">
              <c16:uniqueId val="{00000008-C7EC-4731-B4CA-2504A652DE9E}"/>
            </c:ext>
          </c:extLst>
        </c:ser>
        <c:dLbls>
          <c:dLblPos val="outEnd"/>
          <c:showLegendKey val="0"/>
          <c:showVal val="1"/>
          <c:showCatName val="0"/>
          <c:showSerName val="0"/>
          <c:showPercent val="0"/>
          <c:showBubbleSize val="0"/>
        </c:dLbls>
        <c:gapWidth val="219"/>
        <c:overlap val="-27"/>
        <c:axId val="1189270031"/>
        <c:axId val="1182461935"/>
      </c:barChart>
      <c:dateAx>
        <c:axId val="1189270031"/>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461935"/>
        <c:crosses val="autoZero"/>
        <c:auto val="1"/>
        <c:lblOffset val="100"/>
        <c:baseTimeUnit val="years"/>
      </c:dateAx>
      <c:valAx>
        <c:axId val="1182461935"/>
        <c:scaling>
          <c:orientation val="minMax"/>
        </c:scaling>
        <c:delete val="1"/>
        <c:axPos val="l"/>
        <c:numFmt formatCode="#,##0.0;[Red]#,##0.0" sourceLinked="0"/>
        <c:majorTickMark val="none"/>
        <c:minorTickMark val="none"/>
        <c:tickLblPos val="nextTo"/>
        <c:crossAx val="118927003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plotSurface>
          <cx:spPr>
            <a:ln>
              <a:noFill/>
            </a:ln>
          </cx:spPr>
        </cx:plotSurface>
        <cx:series layoutId="funnel" uniqueId="{00000000-0EBA-4F98-BAE0-D2CDF498FCCF}">
          <cx:dataLabels>
            <cx:visibility seriesName="0" categoryName="0" value="1"/>
          </cx:dataLabels>
          <cx:dataId val="0"/>
        </cx:series>
      </cx:plotAreaRegion>
      <cx:axis id="0">
        <cx:catScaling gapWidth="0.0599999987"/>
        <cx:tickLabels/>
        <cx:spPr>
          <a:ln>
            <a:noFill/>
          </a:ln>
        </cx:spPr>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plotArea>
      <cx:plotAreaRegion>
        <cx:series layoutId="clusteredColumn" uniqueId="{243A55A7-F38A-4313-B42B-E9ACBEADEAE7}">
          <cx:tx>
            <cx:txData>
              <cx:f>_xlchart.v1.2</cx:f>
              <cx:v>Simulated Returns</cx:v>
            </cx:txData>
          </cx:tx>
          <cx:spPr>
            <a:solidFill>
              <a:srgbClr val="002060"/>
            </a:solidFill>
          </cx:spPr>
          <cx:dataId val="0"/>
          <cx:layoutPr>
            <cx:binning intervalClosed="r"/>
          </cx:layoutPr>
        </cx:series>
      </cx:plotAreaRegion>
      <cx:axis id="0">
        <cx:catScaling gapWidth="0"/>
        <cx:tickLabels/>
        <cx:numFmt formatCode="0.000" sourceLinked="0"/>
      </cx:axis>
      <cx:axis id="1">
        <cx:valScaling/>
        <cx:tickLabels/>
        <cx:spPr>
          <a:ln>
            <a:noFill/>
          </a:ln>
        </cx:sp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png"/><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image" Target="../media/image2.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image" Target="../media/image2.png"/><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1</xdr:col>
      <xdr:colOff>38099</xdr:colOff>
      <xdr:row>2</xdr:row>
      <xdr:rowOff>50800</xdr:rowOff>
    </xdr:from>
    <xdr:to>
      <xdr:col>2</xdr:col>
      <xdr:colOff>368300</xdr:colOff>
      <xdr:row>8</xdr:row>
      <xdr:rowOff>62485</xdr:rowOff>
    </xdr:to>
    <xdr:pic>
      <xdr:nvPicPr>
        <xdr:cNvPr id="2" name="Picture 1" descr="TCS logo: How we Express the TCS Brand Graphically">
          <a:extLst>
            <a:ext uri="{FF2B5EF4-FFF2-40B4-BE49-F238E27FC236}">
              <a16:creationId xmlns:a16="http://schemas.microsoft.com/office/drawing/2014/main" id="{F1408ACF-D36A-4A22-98E1-6D752DB3C8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5099" y="419100"/>
          <a:ext cx="1993901" cy="1116585"/>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514350</xdr:colOff>
      <xdr:row>2</xdr:row>
      <xdr:rowOff>63500</xdr:rowOff>
    </xdr:from>
    <xdr:to>
      <xdr:col>11</xdr:col>
      <xdr:colOff>590550</xdr:colOff>
      <xdr:row>8</xdr:row>
      <xdr:rowOff>76200</xdr:rowOff>
    </xdr:to>
    <xdr:sp macro="" textlink="">
      <xdr:nvSpPr>
        <xdr:cNvPr id="3" name="TextBox 2">
          <a:extLst>
            <a:ext uri="{FF2B5EF4-FFF2-40B4-BE49-F238E27FC236}">
              <a16:creationId xmlns:a16="http://schemas.microsoft.com/office/drawing/2014/main" id="{A472DA81-F845-C097-2DE0-95C16DAED14A}"/>
            </a:ext>
          </a:extLst>
        </xdr:cNvPr>
        <xdr:cNvSpPr txBox="1"/>
      </xdr:nvSpPr>
      <xdr:spPr>
        <a:xfrm>
          <a:off x="2470150" y="431800"/>
          <a:ext cx="4343400" cy="1117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Tata Consultancy Services (TCS)</a:t>
          </a:r>
          <a:r>
            <a:rPr lang="en-US" sz="1100">
              <a:solidFill>
                <a:schemeClr val="dk1"/>
              </a:solidFill>
              <a:effectLst/>
              <a:latin typeface="+mn-lt"/>
              <a:ea typeface="+mn-ea"/>
              <a:cs typeface="+mn-cs"/>
            </a:rPr>
            <a:t> is a leading global </a:t>
          </a:r>
          <a:r>
            <a:rPr lang="en-US" sz="1100" b="1">
              <a:solidFill>
                <a:schemeClr val="dk1"/>
              </a:solidFill>
              <a:effectLst/>
              <a:latin typeface="+mn-lt"/>
              <a:ea typeface="+mn-ea"/>
              <a:cs typeface="+mn-cs"/>
            </a:rPr>
            <a:t>IT services, consulting, and business solutions</a:t>
          </a:r>
          <a:r>
            <a:rPr lang="en-US" sz="1100">
              <a:solidFill>
                <a:schemeClr val="dk1"/>
              </a:solidFill>
              <a:effectLst/>
              <a:latin typeface="+mn-lt"/>
              <a:ea typeface="+mn-ea"/>
              <a:cs typeface="+mn-cs"/>
            </a:rPr>
            <a:t> company and a part of the </a:t>
          </a:r>
          <a:r>
            <a:rPr lang="en-US" sz="1100" b="1">
              <a:solidFill>
                <a:schemeClr val="dk1"/>
              </a:solidFill>
              <a:effectLst/>
              <a:latin typeface="+mn-lt"/>
              <a:ea typeface="+mn-ea"/>
              <a:cs typeface="+mn-cs"/>
            </a:rPr>
            <a:t>Tata Group</a:t>
          </a:r>
          <a:r>
            <a:rPr lang="en-US" sz="1100">
              <a:solidFill>
                <a:schemeClr val="dk1"/>
              </a:solidFill>
              <a:effectLst/>
              <a:latin typeface="+mn-lt"/>
              <a:ea typeface="+mn-ea"/>
              <a:cs typeface="+mn-cs"/>
            </a:rPr>
            <a:t>. Established in </a:t>
          </a:r>
          <a:r>
            <a:rPr lang="en-US" sz="1100" b="1">
              <a:solidFill>
                <a:schemeClr val="dk1"/>
              </a:solidFill>
              <a:effectLst/>
              <a:latin typeface="+mn-lt"/>
              <a:ea typeface="+mn-ea"/>
              <a:cs typeface="+mn-cs"/>
            </a:rPr>
            <a:t>1968</a:t>
          </a:r>
          <a:r>
            <a:rPr lang="en-US" sz="1100">
              <a:solidFill>
                <a:schemeClr val="dk1"/>
              </a:solidFill>
              <a:effectLst/>
              <a:latin typeface="+mn-lt"/>
              <a:ea typeface="+mn-ea"/>
              <a:cs typeface="+mn-cs"/>
            </a:rPr>
            <a:t>, TCS has grown into one of the world's largest technology services companies, serving clients across a wide range of industries, including banking, financial services, insurance, retail, healthcare, manufacturing, telecommunications, and government.</a:t>
          </a:r>
          <a:endParaRPr lang="en-US">
            <a:effectLst/>
          </a:endParaRPr>
        </a:p>
        <a:p>
          <a:endParaRPr lang="en-US" sz="1100"/>
        </a:p>
      </xdr:txBody>
    </xdr:sp>
    <xdr:clientData/>
  </xdr:twoCellAnchor>
  <xdr:twoCellAnchor>
    <xdr:from>
      <xdr:col>1</xdr:col>
      <xdr:colOff>19050</xdr:colOff>
      <xdr:row>54</xdr:row>
      <xdr:rowOff>88900</xdr:rowOff>
    </xdr:from>
    <xdr:to>
      <xdr:col>7</xdr:col>
      <xdr:colOff>101600</xdr:colOff>
      <xdr:row>60</xdr:row>
      <xdr:rowOff>133350</xdr:rowOff>
    </xdr:to>
    <xdr:sp macro="" textlink="">
      <xdr:nvSpPr>
        <xdr:cNvPr id="4" name="TextBox 3">
          <a:extLst>
            <a:ext uri="{FF2B5EF4-FFF2-40B4-BE49-F238E27FC236}">
              <a16:creationId xmlns:a16="http://schemas.microsoft.com/office/drawing/2014/main" id="{21A22055-7024-02D2-37D8-5DA0675DF4AE}"/>
            </a:ext>
          </a:extLst>
        </xdr:cNvPr>
        <xdr:cNvSpPr txBox="1"/>
      </xdr:nvSpPr>
      <xdr:spPr>
        <a:xfrm>
          <a:off x="146050" y="9131300"/>
          <a:ext cx="5822950" cy="1149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Q1 FY2026–27 Results Announced (9 July 2026)</a:t>
          </a:r>
          <a:r>
            <a:rPr lang="en-US" sz="1100">
              <a:solidFill>
                <a:schemeClr val="dk1"/>
              </a:solidFill>
              <a:effectLst/>
              <a:latin typeface="+mn-lt"/>
              <a:ea typeface="+mn-ea"/>
              <a:cs typeface="+mn-cs"/>
            </a:rPr>
            <a:t> – TCS reported its financial results for the quarter ended </a:t>
          </a:r>
          <a:r>
            <a:rPr lang="en-US" sz="1100" b="1">
              <a:solidFill>
                <a:schemeClr val="dk1"/>
              </a:solidFill>
              <a:effectLst/>
              <a:latin typeface="+mn-lt"/>
              <a:ea typeface="+mn-ea"/>
              <a:cs typeface="+mn-cs"/>
            </a:rPr>
            <a:t>30 June 2026</a:t>
          </a:r>
          <a:r>
            <a:rPr lang="en-US" sz="1100">
              <a:solidFill>
                <a:schemeClr val="dk1"/>
              </a:solidFill>
              <a:effectLst/>
              <a:latin typeface="+mn-lt"/>
              <a:ea typeface="+mn-ea"/>
              <a:cs typeface="+mn-cs"/>
            </a:rPr>
            <a:t> and also announced an </a:t>
          </a:r>
          <a:r>
            <a:rPr lang="en-US" sz="1100" b="1">
              <a:solidFill>
                <a:schemeClr val="dk1"/>
              </a:solidFill>
              <a:effectLst/>
              <a:latin typeface="+mn-lt"/>
              <a:ea typeface="+mn-ea"/>
              <a:cs typeface="+mn-cs"/>
            </a:rPr>
            <a:t>interim dividend</a:t>
          </a:r>
          <a:r>
            <a:rPr lang="en-US" sz="1100">
              <a:solidFill>
                <a:schemeClr val="dk1"/>
              </a:solidFill>
              <a:effectLst/>
              <a:latin typeface="+mn-lt"/>
              <a:ea typeface="+mn-ea"/>
              <a:cs typeface="+mn-cs"/>
            </a:rPr>
            <a:t> for shareholders. </a:t>
          </a:r>
          <a:endParaRPr lang="en-US">
            <a:effectLst/>
          </a:endParaRPr>
        </a:p>
        <a:p>
          <a:r>
            <a:rPr lang="en-US" sz="1100" b="1">
              <a:solidFill>
                <a:schemeClr val="dk1"/>
              </a:solidFill>
              <a:effectLst/>
              <a:latin typeface="+mn-lt"/>
              <a:ea typeface="+mn-ea"/>
              <a:cs typeface="+mn-cs"/>
            </a:rPr>
            <a:t>AI Transformation Deals</a:t>
          </a:r>
          <a:r>
            <a:rPr lang="en-US" sz="1100">
              <a:solidFill>
                <a:schemeClr val="dk1"/>
              </a:solidFill>
              <a:effectLst/>
              <a:latin typeface="+mn-lt"/>
              <a:ea typeface="+mn-ea"/>
              <a:cs typeface="+mn-cs"/>
            </a:rPr>
            <a:t> – TCS started FY27 with continued business growth by winning multiple </a:t>
          </a:r>
          <a:r>
            <a:rPr lang="en-US" sz="1100" b="1">
              <a:solidFill>
                <a:schemeClr val="dk1"/>
              </a:solidFill>
              <a:effectLst/>
              <a:latin typeface="+mn-lt"/>
              <a:ea typeface="+mn-ea"/>
              <a:cs typeface="+mn-cs"/>
            </a:rPr>
            <a:t>Artificial Intelligence (AI) transformation contracts</a:t>
          </a:r>
          <a:r>
            <a:rPr lang="en-US" sz="1100">
              <a:solidFill>
                <a:schemeClr val="dk1"/>
              </a:solidFill>
              <a:effectLst/>
              <a:latin typeface="+mn-lt"/>
              <a:ea typeface="+mn-ea"/>
              <a:cs typeface="+mn-cs"/>
            </a:rPr>
            <a:t> across industries. </a:t>
          </a:r>
          <a:endParaRPr lang="en-US">
            <a:effectLst/>
          </a:endParaRPr>
        </a:p>
        <a:p>
          <a:r>
            <a:rPr lang="en-US" sz="1100" b="1">
              <a:solidFill>
                <a:schemeClr val="dk1"/>
              </a:solidFill>
              <a:effectLst/>
              <a:latin typeface="+mn-lt"/>
              <a:ea typeface="+mn-ea"/>
              <a:cs typeface="+mn-cs"/>
            </a:rPr>
            <a:t>Partnership with Google Cloud</a:t>
          </a:r>
          <a:r>
            <a:rPr lang="en-US" sz="1100">
              <a:solidFill>
                <a:schemeClr val="dk1"/>
              </a:solidFill>
              <a:effectLst/>
              <a:latin typeface="+mn-lt"/>
              <a:ea typeface="+mn-ea"/>
              <a:cs typeface="+mn-cs"/>
            </a:rPr>
            <a:t> – TCS launched a </a:t>
          </a:r>
          <a:r>
            <a:rPr lang="en-US" sz="1100" b="1">
              <a:solidFill>
                <a:schemeClr val="dk1"/>
              </a:solidFill>
              <a:effectLst/>
              <a:latin typeface="+mn-lt"/>
              <a:ea typeface="+mn-ea"/>
              <a:cs typeface="+mn-cs"/>
            </a:rPr>
            <a:t>Gemini Experience Center</a:t>
          </a:r>
          <a:r>
            <a:rPr lang="en-US" sz="1100">
              <a:solidFill>
                <a:schemeClr val="dk1"/>
              </a:solidFill>
              <a:effectLst/>
              <a:latin typeface="+mn-lt"/>
              <a:ea typeface="+mn-ea"/>
              <a:cs typeface="+mn-cs"/>
            </a:rPr>
            <a:t> in Kolkata with Google Cloud to help enterprises adopt Generative AI solutions. </a:t>
          </a:r>
          <a:endParaRPr lang="en-US">
            <a:effectLst/>
          </a:endParaRPr>
        </a:p>
        <a:p>
          <a:endParaRPr lang="en-US" sz="1100"/>
        </a:p>
      </xdr:txBody>
    </xdr:sp>
    <xdr:clientData/>
  </xdr:twoCellAnchor>
  <xdr:twoCellAnchor>
    <xdr:from>
      <xdr:col>7</xdr:col>
      <xdr:colOff>247650</xdr:colOff>
      <xdr:row>11</xdr:row>
      <xdr:rowOff>31750</xdr:rowOff>
    </xdr:from>
    <xdr:to>
      <xdr:col>11</xdr:col>
      <xdr:colOff>584200</xdr:colOff>
      <xdr:row>22</xdr:row>
      <xdr:rowOff>50800</xdr:rowOff>
    </xdr:to>
    <xdr:graphicFrame macro="">
      <xdr:nvGraphicFramePr>
        <xdr:cNvPr id="5" name="Chart 4">
          <a:extLst>
            <a:ext uri="{FF2B5EF4-FFF2-40B4-BE49-F238E27FC236}">
              <a16:creationId xmlns:a16="http://schemas.microsoft.com/office/drawing/2014/main" id="{8AB609D2-D4B8-4AB5-AF1F-7631CFF5A1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196850</xdr:colOff>
      <xdr:row>24</xdr:row>
      <xdr:rowOff>25400</xdr:rowOff>
    </xdr:from>
    <xdr:to>
      <xdr:col>12</xdr:col>
      <xdr:colOff>12700</xdr:colOff>
      <xdr:row>32</xdr:row>
      <xdr:rowOff>63500</xdr:rowOff>
    </xdr:to>
    <xdr:graphicFrame macro="">
      <xdr:nvGraphicFramePr>
        <xdr:cNvPr id="7" name="Chart 6">
          <a:extLst>
            <a:ext uri="{FF2B5EF4-FFF2-40B4-BE49-F238E27FC236}">
              <a16:creationId xmlns:a16="http://schemas.microsoft.com/office/drawing/2014/main" id="{13C45CE7-4538-453F-BF0A-D74C612E1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120650</xdr:colOff>
      <xdr:row>34</xdr:row>
      <xdr:rowOff>88900</xdr:rowOff>
    </xdr:from>
    <xdr:to>
      <xdr:col>11</xdr:col>
      <xdr:colOff>584200</xdr:colOff>
      <xdr:row>44</xdr:row>
      <xdr:rowOff>0</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1317B2D0-3179-4B54-BAF4-563D61640F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800850" y="6362700"/>
              <a:ext cx="2476500" cy="17589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25400</xdr:colOff>
      <xdr:row>5</xdr:row>
      <xdr:rowOff>177800</xdr:rowOff>
    </xdr:from>
    <xdr:to>
      <xdr:col>7</xdr:col>
      <xdr:colOff>571500</xdr:colOff>
      <xdr:row>17</xdr:row>
      <xdr:rowOff>44450</xdr:rowOff>
    </xdr:to>
    <xdr:graphicFrame macro="">
      <xdr:nvGraphicFramePr>
        <xdr:cNvPr id="2" name="Chart 1">
          <a:extLst>
            <a:ext uri="{FF2B5EF4-FFF2-40B4-BE49-F238E27FC236}">
              <a16:creationId xmlns:a16="http://schemas.microsoft.com/office/drawing/2014/main" id="{29D438C9-0050-2C68-3919-C30DE48872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454025</xdr:colOff>
      <xdr:row>26</xdr:row>
      <xdr:rowOff>139700</xdr:rowOff>
    </xdr:from>
    <xdr:to>
      <xdr:col>13</xdr:col>
      <xdr:colOff>88900</xdr:colOff>
      <xdr:row>39</xdr:row>
      <xdr:rowOff>152400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7282F8ED-EF80-6502-E5B9-572937589F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41925" y="4940300"/>
              <a:ext cx="3667125" cy="24066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333375</xdr:colOff>
      <xdr:row>26</xdr:row>
      <xdr:rowOff>152400</xdr:rowOff>
    </xdr:from>
    <xdr:to>
      <xdr:col>12</xdr:col>
      <xdr:colOff>454717</xdr:colOff>
      <xdr:row>28</xdr:row>
      <xdr:rowOff>168181</xdr:rowOff>
    </xdr:to>
    <xdr:pic>
      <xdr:nvPicPr>
        <xdr:cNvPr id="5" name="Picture 4">
          <a:extLst>
            <a:ext uri="{FF2B5EF4-FFF2-40B4-BE49-F238E27FC236}">
              <a16:creationId xmlns:a16="http://schemas.microsoft.com/office/drawing/2014/main" id="{0DDEA34E-6920-EC7B-DBE8-423BCBADC7B9}"/>
            </a:ext>
          </a:extLst>
        </xdr:cNvPr>
        <xdr:cNvPicPr>
          <a:picLocks noChangeAspect="1"/>
        </xdr:cNvPicPr>
      </xdr:nvPicPr>
      <xdr:blipFill>
        <a:blip xmlns:r="http://schemas.openxmlformats.org/officeDocument/2006/relationships" r:embed="rId2"/>
        <a:stretch>
          <a:fillRect/>
        </a:stretch>
      </xdr:blipFill>
      <xdr:spPr>
        <a:xfrm>
          <a:off x="6340475" y="4940300"/>
          <a:ext cx="2121592" cy="3840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101600</xdr:colOff>
      <xdr:row>0</xdr:row>
      <xdr:rowOff>158750</xdr:rowOff>
    </xdr:from>
    <xdr:to>
      <xdr:col>11</xdr:col>
      <xdr:colOff>469446</xdr:colOff>
      <xdr:row>5</xdr:row>
      <xdr:rowOff>133350</xdr:rowOff>
    </xdr:to>
    <xdr:pic>
      <xdr:nvPicPr>
        <xdr:cNvPr id="2" name="Picture 1" descr="TCS logo: How we Express the TCS Brand Graphically">
          <a:extLst>
            <a:ext uri="{FF2B5EF4-FFF2-40B4-BE49-F238E27FC236}">
              <a16:creationId xmlns:a16="http://schemas.microsoft.com/office/drawing/2014/main" id="{7D95D68E-87F0-132F-0B96-B66FD01E64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08850" y="158750"/>
          <a:ext cx="1802946" cy="100965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158750</xdr:colOff>
      <xdr:row>9</xdr:row>
      <xdr:rowOff>50800</xdr:rowOff>
    </xdr:from>
    <xdr:to>
      <xdr:col>11</xdr:col>
      <xdr:colOff>482600</xdr:colOff>
      <xdr:row>13</xdr:row>
      <xdr:rowOff>38100</xdr:rowOff>
    </xdr:to>
    <xdr:sp macro="" textlink="">
      <xdr:nvSpPr>
        <xdr:cNvPr id="3" name="TextBox 2">
          <a:extLst>
            <a:ext uri="{FF2B5EF4-FFF2-40B4-BE49-F238E27FC236}">
              <a16:creationId xmlns:a16="http://schemas.microsoft.com/office/drawing/2014/main" id="{810A9CF1-9A2A-D7A7-B4B5-E0F5711548FD}"/>
            </a:ext>
          </a:extLst>
        </xdr:cNvPr>
        <xdr:cNvSpPr txBox="1"/>
      </xdr:nvSpPr>
      <xdr:spPr>
        <a:xfrm>
          <a:off x="285750" y="1758950"/>
          <a:ext cx="8839200"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Tata Consultancy Services (TCS)</a:t>
          </a:r>
          <a:r>
            <a:rPr lang="en-US"/>
            <a:t> is a leading global </a:t>
          </a:r>
          <a:r>
            <a:rPr lang="en-US" b="1"/>
            <a:t>IT services, consulting, and business solutions</a:t>
          </a:r>
          <a:r>
            <a:rPr lang="en-US"/>
            <a:t> company and a part of the </a:t>
          </a:r>
          <a:r>
            <a:rPr lang="en-US" b="1"/>
            <a:t>Tata Group</a:t>
          </a:r>
          <a:r>
            <a:rPr lang="en-US"/>
            <a:t>. Established in </a:t>
          </a:r>
          <a:r>
            <a:rPr lang="en-US" b="1"/>
            <a:t>1968</a:t>
          </a:r>
          <a:r>
            <a:rPr lang="en-US"/>
            <a:t>, TCS has grown into one of the world's largest technology services companies, serving clients across a wide range of industries, including banking, financial services, insurance, retail, healthcare, manufacturing, telecommunications, and government.</a:t>
          </a:r>
          <a:endParaRPr lang="en-US" sz="1100"/>
        </a:p>
      </xdr:txBody>
    </xdr:sp>
    <xdr:clientData/>
  </xdr:twoCellAnchor>
  <xdr:twoCellAnchor>
    <xdr:from>
      <xdr:col>1</xdr:col>
      <xdr:colOff>12701</xdr:colOff>
      <xdr:row>15</xdr:row>
      <xdr:rowOff>171450</xdr:rowOff>
    </xdr:from>
    <xdr:to>
      <xdr:col>3</xdr:col>
      <xdr:colOff>69850</xdr:colOff>
      <xdr:row>27</xdr:row>
      <xdr:rowOff>12700</xdr:rowOff>
    </xdr:to>
    <xdr:grpSp>
      <xdr:nvGrpSpPr>
        <xdr:cNvPr id="12" name="Group 11">
          <a:extLst>
            <a:ext uri="{FF2B5EF4-FFF2-40B4-BE49-F238E27FC236}">
              <a16:creationId xmlns:a16="http://schemas.microsoft.com/office/drawing/2014/main" id="{DB054D0B-ADC2-CB5E-DB71-57EFDFC1E65D}"/>
            </a:ext>
          </a:extLst>
        </xdr:cNvPr>
        <xdr:cNvGrpSpPr/>
      </xdr:nvGrpSpPr>
      <xdr:grpSpPr>
        <a:xfrm>
          <a:off x="134816" y="2857988"/>
          <a:ext cx="2816957" cy="2039327"/>
          <a:chOff x="139701" y="2870200"/>
          <a:chExt cx="2495550" cy="1873250"/>
        </a:xfrm>
      </xdr:grpSpPr>
      <xdr:graphicFrame macro="">
        <xdr:nvGraphicFramePr>
          <xdr:cNvPr id="4" name="Chart 3">
            <a:extLst>
              <a:ext uri="{FF2B5EF4-FFF2-40B4-BE49-F238E27FC236}">
                <a16:creationId xmlns:a16="http://schemas.microsoft.com/office/drawing/2014/main" id="{88447346-86EC-E6F1-097E-C45AFF46EBAD}"/>
              </a:ext>
            </a:extLst>
          </xdr:cNvPr>
          <xdr:cNvGraphicFramePr/>
        </xdr:nvGraphicFramePr>
        <xdr:xfrm>
          <a:off x="139701" y="3136900"/>
          <a:ext cx="2495550" cy="160655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7" name="TextBox 6">
            <a:extLst>
              <a:ext uri="{FF2B5EF4-FFF2-40B4-BE49-F238E27FC236}">
                <a16:creationId xmlns:a16="http://schemas.microsoft.com/office/drawing/2014/main" id="{832AF384-7647-D347-2E85-700128DAFA9F}"/>
              </a:ext>
            </a:extLst>
          </xdr:cNvPr>
          <xdr:cNvSpPr txBox="1"/>
        </xdr:nvSpPr>
        <xdr:spPr>
          <a:xfrm>
            <a:off x="266700" y="2921000"/>
            <a:ext cx="22034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Revenu(INR)</a:t>
            </a:r>
          </a:p>
          <a:p>
            <a:endParaRPr lang="en-US" sz="1100"/>
          </a:p>
        </xdr:txBody>
      </xdr:sp>
      <xdr:cxnSp macro="">
        <xdr:nvCxnSpPr>
          <xdr:cNvPr id="9" name="Straight Connector 8">
            <a:extLst>
              <a:ext uri="{FF2B5EF4-FFF2-40B4-BE49-F238E27FC236}">
                <a16:creationId xmlns:a16="http://schemas.microsoft.com/office/drawing/2014/main" id="{F8833EA9-5F25-52D1-0E70-0D552ED5C734}"/>
              </a:ext>
            </a:extLst>
          </xdr:cNvPr>
          <xdr:cNvCxnSpPr/>
        </xdr:nvCxnSpPr>
        <xdr:spPr>
          <a:xfrm>
            <a:off x="279400" y="2870200"/>
            <a:ext cx="2197100" cy="635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3</xdr:col>
      <xdr:colOff>387350</xdr:colOff>
      <xdr:row>15</xdr:row>
      <xdr:rowOff>165100</xdr:rowOff>
    </xdr:from>
    <xdr:to>
      <xdr:col>7</xdr:col>
      <xdr:colOff>368300</xdr:colOff>
      <xdr:row>27</xdr:row>
      <xdr:rowOff>139700</xdr:rowOff>
    </xdr:to>
    <xdr:grpSp>
      <xdr:nvGrpSpPr>
        <xdr:cNvPr id="13" name="Group 12">
          <a:extLst>
            <a:ext uri="{FF2B5EF4-FFF2-40B4-BE49-F238E27FC236}">
              <a16:creationId xmlns:a16="http://schemas.microsoft.com/office/drawing/2014/main" id="{EC52B1DB-490A-4357-865F-FE5AC640F513}"/>
            </a:ext>
          </a:extLst>
        </xdr:cNvPr>
        <xdr:cNvGrpSpPr/>
      </xdr:nvGrpSpPr>
      <xdr:grpSpPr>
        <a:xfrm>
          <a:off x="3269273" y="2851638"/>
          <a:ext cx="2862873" cy="2172677"/>
          <a:chOff x="139701" y="2870200"/>
          <a:chExt cx="2495550" cy="1873250"/>
        </a:xfrm>
      </xdr:grpSpPr>
      <xdr:graphicFrame macro="">
        <xdr:nvGraphicFramePr>
          <xdr:cNvPr id="14" name="Chart 13">
            <a:extLst>
              <a:ext uri="{FF2B5EF4-FFF2-40B4-BE49-F238E27FC236}">
                <a16:creationId xmlns:a16="http://schemas.microsoft.com/office/drawing/2014/main" id="{D5516510-EE89-C2A2-9EF7-19D36260029A}"/>
              </a:ext>
            </a:extLst>
          </xdr:cNvPr>
          <xdr:cNvGraphicFramePr/>
        </xdr:nvGraphicFramePr>
        <xdr:xfrm>
          <a:off x="139701" y="3136900"/>
          <a:ext cx="2495550" cy="160655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5" name="TextBox 14">
            <a:extLst>
              <a:ext uri="{FF2B5EF4-FFF2-40B4-BE49-F238E27FC236}">
                <a16:creationId xmlns:a16="http://schemas.microsoft.com/office/drawing/2014/main" id="{C5DFD765-09FD-7B8F-1716-C60EC71D483A}"/>
              </a:ext>
            </a:extLst>
          </xdr:cNvPr>
          <xdr:cNvSpPr txBox="1"/>
        </xdr:nvSpPr>
        <xdr:spPr>
          <a:xfrm>
            <a:off x="266700" y="2921000"/>
            <a:ext cx="22034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Net</a:t>
            </a:r>
            <a:r>
              <a:rPr lang="en-US" sz="1100" baseline="0"/>
              <a:t> Profit</a:t>
            </a:r>
            <a:r>
              <a:rPr lang="en-US" sz="1100"/>
              <a:t>(INR)</a:t>
            </a:r>
          </a:p>
          <a:p>
            <a:endParaRPr lang="en-US" sz="1100"/>
          </a:p>
        </xdr:txBody>
      </xdr:sp>
      <xdr:cxnSp macro="">
        <xdr:nvCxnSpPr>
          <xdr:cNvPr id="16" name="Straight Connector 15">
            <a:extLst>
              <a:ext uri="{FF2B5EF4-FFF2-40B4-BE49-F238E27FC236}">
                <a16:creationId xmlns:a16="http://schemas.microsoft.com/office/drawing/2014/main" id="{DB2ABD9E-0843-0E98-10F3-CD052453D593}"/>
              </a:ext>
            </a:extLst>
          </xdr:cNvPr>
          <xdr:cNvCxnSpPr/>
        </xdr:nvCxnSpPr>
        <xdr:spPr>
          <a:xfrm>
            <a:off x="279400" y="2870200"/>
            <a:ext cx="2197100" cy="635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7</xdr:col>
      <xdr:colOff>603250</xdr:colOff>
      <xdr:row>16</xdr:row>
      <xdr:rowOff>12700</xdr:rowOff>
    </xdr:from>
    <xdr:to>
      <xdr:col>11</xdr:col>
      <xdr:colOff>571500</xdr:colOff>
      <xdr:row>28</xdr:row>
      <xdr:rowOff>44450</xdr:rowOff>
    </xdr:to>
    <xdr:grpSp>
      <xdr:nvGrpSpPr>
        <xdr:cNvPr id="17" name="Group 16">
          <a:extLst>
            <a:ext uri="{FF2B5EF4-FFF2-40B4-BE49-F238E27FC236}">
              <a16:creationId xmlns:a16="http://schemas.microsoft.com/office/drawing/2014/main" id="{F0EEC099-9A11-4AA1-8281-64E82981559C}"/>
            </a:ext>
          </a:extLst>
        </xdr:cNvPr>
        <xdr:cNvGrpSpPr/>
      </xdr:nvGrpSpPr>
      <xdr:grpSpPr>
        <a:xfrm>
          <a:off x="6367096" y="2882412"/>
          <a:ext cx="2850173" cy="2229826"/>
          <a:chOff x="139701" y="2870200"/>
          <a:chExt cx="2495550" cy="1873250"/>
        </a:xfrm>
      </xdr:grpSpPr>
      <xdr:graphicFrame macro="">
        <xdr:nvGraphicFramePr>
          <xdr:cNvPr id="18" name="Chart 17">
            <a:extLst>
              <a:ext uri="{FF2B5EF4-FFF2-40B4-BE49-F238E27FC236}">
                <a16:creationId xmlns:a16="http://schemas.microsoft.com/office/drawing/2014/main" id="{2891E96C-AB20-7C72-BCD6-1FB0E5B8E640}"/>
              </a:ext>
            </a:extLst>
          </xdr:cNvPr>
          <xdr:cNvGraphicFramePr/>
        </xdr:nvGraphicFramePr>
        <xdr:xfrm>
          <a:off x="139701" y="3136900"/>
          <a:ext cx="2495550" cy="160655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9" name="TextBox 18">
            <a:extLst>
              <a:ext uri="{FF2B5EF4-FFF2-40B4-BE49-F238E27FC236}">
                <a16:creationId xmlns:a16="http://schemas.microsoft.com/office/drawing/2014/main" id="{9480E371-FAAF-6DF3-7A08-E75446DEF728}"/>
              </a:ext>
            </a:extLst>
          </xdr:cNvPr>
          <xdr:cNvSpPr txBox="1"/>
        </xdr:nvSpPr>
        <xdr:spPr>
          <a:xfrm>
            <a:off x="266700" y="2921000"/>
            <a:ext cx="22034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Average</a:t>
            </a:r>
            <a:r>
              <a:rPr lang="en-US" sz="1100" baseline="0"/>
              <a:t> Total Assets</a:t>
            </a:r>
            <a:r>
              <a:rPr lang="en-US" sz="1100"/>
              <a:t>(INR)</a:t>
            </a:r>
          </a:p>
          <a:p>
            <a:endParaRPr lang="en-US" sz="1100"/>
          </a:p>
        </xdr:txBody>
      </xdr:sp>
      <xdr:cxnSp macro="">
        <xdr:nvCxnSpPr>
          <xdr:cNvPr id="20" name="Straight Connector 19">
            <a:extLst>
              <a:ext uri="{FF2B5EF4-FFF2-40B4-BE49-F238E27FC236}">
                <a16:creationId xmlns:a16="http://schemas.microsoft.com/office/drawing/2014/main" id="{3D854E58-9D03-C1C2-2838-313975F348FD}"/>
              </a:ext>
            </a:extLst>
          </xdr:cNvPr>
          <xdr:cNvCxnSpPr/>
        </xdr:nvCxnSpPr>
        <xdr:spPr>
          <a:xfrm>
            <a:off x="279400" y="2870200"/>
            <a:ext cx="2197100" cy="635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1</xdr:col>
      <xdr:colOff>184150</xdr:colOff>
      <xdr:row>27</xdr:row>
      <xdr:rowOff>107950</xdr:rowOff>
    </xdr:from>
    <xdr:to>
      <xdr:col>3</xdr:col>
      <xdr:colOff>228600</xdr:colOff>
      <xdr:row>40</xdr:row>
      <xdr:rowOff>165100</xdr:rowOff>
    </xdr:to>
    <xdr:grpSp>
      <xdr:nvGrpSpPr>
        <xdr:cNvPr id="21" name="Group 20">
          <a:extLst>
            <a:ext uri="{FF2B5EF4-FFF2-40B4-BE49-F238E27FC236}">
              <a16:creationId xmlns:a16="http://schemas.microsoft.com/office/drawing/2014/main" id="{39668EB5-A469-42E1-AEF9-1C3EB57FE175}"/>
            </a:ext>
          </a:extLst>
        </xdr:cNvPr>
        <xdr:cNvGrpSpPr/>
      </xdr:nvGrpSpPr>
      <xdr:grpSpPr>
        <a:xfrm>
          <a:off x="306265" y="4992565"/>
          <a:ext cx="2804258" cy="2438400"/>
          <a:chOff x="139701" y="2870200"/>
          <a:chExt cx="2495550" cy="1873250"/>
        </a:xfrm>
      </xdr:grpSpPr>
      <xdr:graphicFrame macro="">
        <xdr:nvGraphicFramePr>
          <xdr:cNvPr id="22" name="Chart 21">
            <a:extLst>
              <a:ext uri="{FF2B5EF4-FFF2-40B4-BE49-F238E27FC236}">
                <a16:creationId xmlns:a16="http://schemas.microsoft.com/office/drawing/2014/main" id="{A28C93AC-7ED6-5523-E08D-D6372007212C}"/>
              </a:ext>
            </a:extLst>
          </xdr:cNvPr>
          <xdr:cNvGraphicFramePr/>
        </xdr:nvGraphicFramePr>
        <xdr:xfrm>
          <a:off x="139701" y="3136900"/>
          <a:ext cx="2495550" cy="160655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23" name="TextBox 22">
            <a:extLst>
              <a:ext uri="{FF2B5EF4-FFF2-40B4-BE49-F238E27FC236}">
                <a16:creationId xmlns:a16="http://schemas.microsoft.com/office/drawing/2014/main" id="{74DE58A7-A6C5-475D-5903-A5B153C16526}"/>
              </a:ext>
            </a:extLst>
          </xdr:cNvPr>
          <xdr:cNvSpPr txBox="1"/>
        </xdr:nvSpPr>
        <xdr:spPr>
          <a:xfrm>
            <a:off x="266700" y="2921000"/>
            <a:ext cx="22034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Return</a:t>
            </a:r>
            <a:r>
              <a:rPr lang="en-US" sz="1100" baseline="0"/>
              <a:t> on Equity </a:t>
            </a:r>
            <a:r>
              <a:rPr lang="en-US" sz="1100"/>
              <a:t>(%)</a:t>
            </a:r>
          </a:p>
          <a:p>
            <a:endParaRPr lang="en-US" sz="1100"/>
          </a:p>
        </xdr:txBody>
      </xdr:sp>
      <xdr:cxnSp macro="">
        <xdr:nvCxnSpPr>
          <xdr:cNvPr id="24" name="Straight Connector 23">
            <a:extLst>
              <a:ext uri="{FF2B5EF4-FFF2-40B4-BE49-F238E27FC236}">
                <a16:creationId xmlns:a16="http://schemas.microsoft.com/office/drawing/2014/main" id="{B074CB7A-DB4A-7699-0076-4514D4F86B01}"/>
              </a:ext>
            </a:extLst>
          </xdr:cNvPr>
          <xdr:cNvCxnSpPr/>
        </xdr:nvCxnSpPr>
        <xdr:spPr>
          <a:xfrm>
            <a:off x="279400" y="2870200"/>
            <a:ext cx="2197100" cy="635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3</xdr:col>
      <xdr:colOff>342900</xdr:colOff>
      <xdr:row>27</xdr:row>
      <xdr:rowOff>82550</xdr:rowOff>
    </xdr:from>
    <xdr:to>
      <xdr:col>7</xdr:col>
      <xdr:colOff>292100</xdr:colOff>
      <xdr:row>40</xdr:row>
      <xdr:rowOff>139700</xdr:rowOff>
    </xdr:to>
    <xdr:grpSp>
      <xdr:nvGrpSpPr>
        <xdr:cNvPr id="25" name="Group 24">
          <a:extLst>
            <a:ext uri="{FF2B5EF4-FFF2-40B4-BE49-F238E27FC236}">
              <a16:creationId xmlns:a16="http://schemas.microsoft.com/office/drawing/2014/main" id="{07AE3BD4-92EB-45E3-AEB1-2D24638C8C74}"/>
            </a:ext>
          </a:extLst>
        </xdr:cNvPr>
        <xdr:cNvGrpSpPr/>
      </xdr:nvGrpSpPr>
      <xdr:grpSpPr>
        <a:xfrm>
          <a:off x="3224823" y="4967165"/>
          <a:ext cx="2831123" cy="2438400"/>
          <a:chOff x="139701" y="2870200"/>
          <a:chExt cx="2495550" cy="1873250"/>
        </a:xfrm>
      </xdr:grpSpPr>
      <xdr:graphicFrame macro="">
        <xdr:nvGraphicFramePr>
          <xdr:cNvPr id="26" name="Chart 25">
            <a:extLst>
              <a:ext uri="{FF2B5EF4-FFF2-40B4-BE49-F238E27FC236}">
                <a16:creationId xmlns:a16="http://schemas.microsoft.com/office/drawing/2014/main" id="{7772DE9E-C6C2-BDED-5A48-E483018CB5CB}"/>
              </a:ext>
            </a:extLst>
          </xdr:cNvPr>
          <xdr:cNvGraphicFramePr/>
        </xdr:nvGraphicFramePr>
        <xdr:xfrm>
          <a:off x="139701" y="3136900"/>
          <a:ext cx="2495550" cy="160655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7" name="TextBox 26">
            <a:extLst>
              <a:ext uri="{FF2B5EF4-FFF2-40B4-BE49-F238E27FC236}">
                <a16:creationId xmlns:a16="http://schemas.microsoft.com/office/drawing/2014/main" id="{C01D1EF3-AC7C-F8BF-2176-6A78D8379568}"/>
              </a:ext>
            </a:extLst>
          </xdr:cNvPr>
          <xdr:cNvSpPr txBox="1"/>
        </xdr:nvSpPr>
        <xdr:spPr>
          <a:xfrm>
            <a:off x="266700" y="2921000"/>
            <a:ext cx="22034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Return</a:t>
            </a:r>
            <a:r>
              <a:rPr lang="en-US" sz="1100" baseline="0"/>
              <a:t> on Assets</a:t>
            </a:r>
            <a:r>
              <a:rPr lang="en-US" sz="1100"/>
              <a:t>(%)</a:t>
            </a:r>
          </a:p>
          <a:p>
            <a:endParaRPr lang="en-US" sz="1100"/>
          </a:p>
        </xdr:txBody>
      </xdr:sp>
      <xdr:cxnSp macro="">
        <xdr:nvCxnSpPr>
          <xdr:cNvPr id="28" name="Straight Connector 27">
            <a:extLst>
              <a:ext uri="{FF2B5EF4-FFF2-40B4-BE49-F238E27FC236}">
                <a16:creationId xmlns:a16="http://schemas.microsoft.com/office/drawing/2014/main" id="{E49A0100-B925-F4A7-A839-BEE21A4BFB6B}"/>
              </a:ext>
            </a:extLst>
          </xdr:cNvPr>
          <xdr:cNvCxnSpPr/>
        </xdr:nvCxnSpPr>
        <xdr:spPr>
          <a:xfrm>
            <a:off x="279400" y="2870200"/>
            <a:ext cx="2197100" cy="635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7</xdr:col>
      <xdr:colOff>565150</xdr:colOff>
      <xdr:row>27</xdr:row>
      <xdr:rowOff>120650</xdr:rowOff>
    </xdr:from>
    <xdr:to>
      <xdr:col>11</xdr:col>
      <xdr:colOff>469900</xdr:colOff>
      <xdr:row>40</xdr:row>
      <xdr:rowOff>177800</xdr:rowOff>
    </xdr:to>
    <xdr:grpSp>
      <xdr:nvGrpSpPr>
        <xdr:cNvPr id="29" name="Group 28">
          <a:extLst>
            <a:ext uri="{FF2B5EF4-FFF2-40B4-BE49-F238E27FC236}">
              <a16:creationId xmlns:a16="http://schemas.microsoft.com/office/drawing/2014/main" id="{575BC137-E1E9-42B6-A5C5-D0BCB128BEB3}"/>
            </a:ext>
          </a:extLst>
        </xdr:cNvPr>
        <xdr:cNvGrpSpPr/>
      </xdr:nvGrpSpPr>
      <xdr:grpSpPr>
        <a:xfrm>
          <a:off x="6328996" y="5005265"/>
          <a:ext cx="2786673" cy="2438400"/>
          <a:chOff x="139701" y="2870200"/>
          <a:chExt cx="2495550" cy="1873250"/>
        </a:xfrm>
      </xdr:grpSpPr>
      <xdr:graphicFrame macro="">
        <xdr:nvGraphicFramePr>
          <xdr:cNvPr id="30" name="Chart 29">
            <a:extLst>
              <a:ext uri="{FF2B5EF4-FFF2-40B4-BE49-F238E27FC236}">
                <a16:creationId xmlns:a16="http://schemas.microsoft.com/office/drawing/2014/main" id="{C76461FD-EBBC-9EEC-0499-18FE3C63EE6E}"/>
              </a:ext>
            </a:extLst>
          </xdr:cNvPr>
          <xdr:cNvGraphicFramePr/>
        </xdr:nvGraphicFramePr>
        <xdr:xfrm>
          <a:off x="139701" y="3136900"/>
          <a:ext cx="2495550" cy="160655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31" name="TextBox 30">
            <a:extLst>
              <a:ext uri="{FF2B5EF4-FFF2-40B4-BE49-F238E27FC236}">
                <a16:creationId xmlns:a16="http://schemas.microsoft.com/office/drawing/2014/main" id="{B2C01E8E-D758-ED21-EDE7-8AD62DB27394}"/>
              </a:ext>
            </a:extLst>
          </xdr:cNvPr>
          <xdr:cNvSpPr txBox="1"/>
        </xdr:nvSpPr>
        <xdr:spPr>
          <a:xfrm>
            <a:off x="266700" y="2921000"/>
            <a:ext cx="22034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Financial</a:t>
            </a:r>
            <a:r>
              <a:rPr lang="en-US" sz="1100" baseline="0"/>
              <a:t> Leverages</a:t>
            </a:r>
            <a:r>
              <a:rPr lang="en-US" sz="1100"/>
              <a:t>(%)</a:t>
            </a:r>
          </a:p>
          <a:p>
            <a:endParaRPr lang="en-US" sz="1100"/>
          </a:p>
        </xdr:txBody>
      </xdr:sp>
      <xdr:cxnSp macro="">
        <xdr:nvCxnSpPr>
          <xdr:cNvPr id="32" name="Straight Connector 31">
            <a:extLst>
              <a:ext uri="{FF2B5EF4-FFF2-40B4-BE49-F238E27FC236}">
                <a16:creationId xmlns:a16="http://schemas.microsoft.com/office/drawing/2014/main" id="{57997F7D-83F3-CA87-DD46-04473DA24FF4}"/>
              </a:ext>
            </a:extLst>
          </xdr:cNvPr>
          <xdr:cNvCxnSpPr/>
        </xdr:nvCxnSpPr>
        <xdr:spPr>
          <a:xfrm>
            <a:off x="279400" y="2870200"/>
            <a:ext cx="2197100" cy="635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1</xdr:col>
      <xdr:colOff>12700</xdr:colOff>
      <xdr:row>42</xdr:row>
      <xdr:rowOff>0</xdr:rowOff>
    </xdr:from>
    <xdr:to>
      <xdr:col>11</xdr:col>
      <xdr:colOff>349250</xdr:colOff>
      <xdr:row>48</xdr:row>
      <xdr:rowOff>69850</xdr:rowOff>
    </xdr:to>
    <xdr:sp macro="" textlink="">
      <xdr:nvSpPr>
        <xdr:cNvPr id="33" name="TextBox 32">
          <a:extLst>
            <a:ext uri="{FF2B5EF4-FFF2-40B4-BE49-F238E27FC236}">
              <a16:creationId xmlns:a16="http://schemas.microsoft.com/office/drawing/2014/main" id="{6744AFF3-2CF0-51E3-4C43-2CD42DD27AF0}"/>
            </a:ext>
          </a:extLst>
        </xdr:cNvPr>
        <xdr:cNvSpPr txBox="1"/>
      </xdr:nvSpPr>
      <xdr:spPr>
        <a:xfrm>
          <a:off x="139700" y="7670800"/>
          <a:ext cx="8851900" cy="1174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b="1"/>
            <a:t>Q1 FY2026–27 Results Announced (9 July 2026)</a:t>
          </a:r>
          <a:r>
            <a:rPr lang="en-US"/>
            <a:t> – TCS reported its financial results for the quarter ended </a:t>
          </a:r>
          <a:r>
            <a:rPr lang="en-US" b="1"/>
            <a:t>30 June 2026</a:t>
          </a:r>
          <a:r>
            <a:rPr lang="en-US"/>
            <a:t> and also announced an </a:t>
          </a:r>
          <a:r>
            <a:rPr lang="en-US" b="1"/>
            <a:t>interim dividend</a:t>
          </a:r>
          <a:r>
            <a:rPr lang="en-US"/>
            <a:t> for shareholders. </a:t>
          </a:r>
        </a:p>
        <a:p>
          <a:pPr lvl="0"/>
          <a:r>
            <a:rPr lang="en-US" b="1"/>
            <a:t>AI Transformation Deals</a:t>
          </a:r>
          <a:r>
            <a:rPr lang="en-US"/>
            <a:t> – TCS started FY27 with continued business growth by winning multiple </a:t>
          </a:r>
          <a:r>
            <a:rPr lang="en-US" b="1"/>
            <a:t>Artificial Intelligence (AI) transformation contracts</a:t>
          </a:r>
          <a:r>
            <a:rPr lang="en-US"/>
            <a:t> across industries. </a:t>
          </a:r>
        </a:p>
        <a:p>
          <a:pPr lvl="0"/>
          <a:r>
            <a:rPr lang="en-US" b="1"/>
            <a:t>Partnership with Google Cloud</a:t>
          </a:r>
          <a:r>
            <a:rPr lang="en-US"/>
            <a:t> – TCS launched a </a:t>
          </a:r>
          <a:r>
            <a:rPr lang="en-US" b="1"/>
            <a:t>Gemini Experience Center</a:t>
          </a:r>
          <a:r>
            <a:rPr lang="en-US"/>
            <a:t> in Kolkata with Google Cloud to help enterprises adopt Generative AI solutions. </a:t>
          </a:r>
        </a:p>
        <a:p>
          <a:endParaRPr lang="en-US" sz="1100"/>
        </a:p>
      </xdr:txBody>
    </xdr:sp>
    <xdr:clientData/>
  </xdr:twoCellAnchor>
  <xdr:twoCellAnchor>
    <xdr:from>
      <xdr:col>1</xdr:col>
      <xdr:colOff>38100</xdr:colOff>
      <xdr:row>94</xdr:row>
      <xdr:rowOff>0</xdr:rowOff>
    </xdr:from>
    <xdr:to>
      <xdr:col>11</xdr:col>
      <xdr:colOff>482600</xdr:colOff>
      <xdr:row>107</xdr:row>
      <xdr:rowOff>38100</xdr:rowOff>
    </xdr:to>
    <xdr:sp macro="" textlink="">
      <xdr:nvSpPr>
        <xdr:cNvPr id="34" name="TextBox 33">
          <a:extLst>
            <a:ext uri="{FF2B5EF4-FFF2-40B4-BE49-F238E27FC236}">
              <a16:creationId xmlns:a16="http://schemas.microsoft.com/office/drawing/2014/main" id="{BBE52624-E8A8-3208-C05A-8026F29A82EA}"/>
            </a:ext>
          </a:extLst>
        </xdr:cNvPr>
        <xdr:cNvSpPr txBox="1"/>
      </xdr:nvSpPr>
      <xdr:spPr>
        <a:xfrm>
          <a:off x="165100" y="17056100"/>
          <a:ext cx="8959850" cy="2432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Return on Equity (ROE)</a:t>
          </a:r>
          <a:r>
            <a:rPr lang="en-US"/>
            <a:t> increased from </a:t>
          </a:r>
          <a:r>
            <a:rPr lang="en-US" b="1"/>
            <a:t>36.04% in FY2019</a:t>
          </a:r>
          <a:r>
            <a:rPr lang="en-US"/>
            <a:t> to a peak of </a:t>
          </a:r>
          <a:r>
            <a:rPr lang="en-US" b="1"/>
            <a:t>52.48% in FY2025</a:t>
          </a:r>
          <a:r>
            <a:rPr lang="en-US"/>
            <a:t>, before moderating to </a:t>
          </a:r>
          <a:r>
            <a:rPr lang="en-US" b="1"/>
            <a:t>48.79% in FY2026</a:t>
          </a:r>
          <a:r>
            <a:rPr lang="en-US"/>
            <a:t>. The strong ROE reflects </a:t>
          </a:r>
        </a:p>
        <a:p>
          <a:r>
            <a:rPr lang="en-US"/>
            <a:t>TCS's ability to generate high returns for shareholders through consistent earnings growth and efficient capital management</a:t>
          </a:r>
        </a:p>
        <a:p>
          <a:r>
            <a:rPr lang="en-US" b="1"/>
            <a:t>Net Profit Margin</a:t>
          </a:r>
          <a:r>
            <a:rPr lang="en-US"/>
            <a:t> remained consistently high, ranging between </a:t>
          </a:r>
          <a:r>
            <a:rPr lang="en-US" b="1"/>
            <a:t>18.5% and 21.6%</a:t>
          </a:r>
          <a:r>
            <a:rPr lang="en-US"/>
            <a:t>, demonstrating the company's strong pricing power, operational efficiency, and disciplined cost management despite changes in the business environment.</a:t>
          </a:r>
        </a:p>
        <a:p>
          <a:pPr marL="0" marR="0" lvl="0" indent="0" defTabSz="914400" eaLnBrk="1" fontAlgn="auto" latinLnBrk="0" hangingPunct="1">
            <a:lnSpc>
              <a:spcPct val="100000"/>
            </a:lnSpc>
            <a:spcBef>
              <a:spcPts val="0"/>
            </a:spcBef>
            <a:spcAft>
              <a:spcPts val="0"/>
            </a:spcAft>
            <a:buClrTx/>
            <a:buSzTx/>
            <a:buFontTx/>
            <a:buNone/>
            <a:tabLst/>
            <a:defRPr/>
          </a:pPr>
          <a:r>
            <a:rPr lang="en-US" b="1"/>
            <a:t>Asset Turnover Ratio</a:t>
          </a:r>
          <a:r>
            <a:rPr lang="en-US"/>
            <a:t> improved from approximately </a:t>
          </a:r>
          <a:r>
            <a:rPr lang="en-US" b="1"/>
            <a:t>1.3x in FY2019</a:t>
          </a:r>
          <a:r>
            <a:rPr lang="en-US"/>
            <a:t> to </a:t>
          </a:r>
          <a:r>
            <a:rPr lang="en-US" b="1"/>
            <a:t>1.6–1.7x during FY2023–FY2026</a:t>
          </a:r>
          <a:r>
            <a:rPr lang="en-US"/>
            <a:t>, indicating that TCS generated higher revenue from each rupee invested in assets, reflecting improved operational efficiency. </a:t>
          </a:r>
        </a:p>
        <a:p>
          <a:r>
            <a:rPr lang="en-US" b="1"/>
            <a:t>Equity Multiplier</a:t>
          </a:r>
          <a:r>
            <a:rPr lang="en-US"/>
            <a:t> gradually increased from </a:t>
          </a:r>
          <a:r>
            <a:rPr lang="en-US" b="1"/>
            <a:t>1.3x to 1.7x</a:t>
          </a:r>
          <a:r>
            <a:rPr lang="en-US"/>
            <a:t>, suggesting a modest increase in financial leverage. However, the leverage remains conservative, indicating that the company continues to maintain a strong and stable capital structure.</a:t>
          </a:r>
        </a:p>
        <a:p>
          <a:r>
            <a:rPr lang="en-US" b="1"/>
            <a:t>Return on Assets (ROA)</a:t>
          </a:r>
          <a:r>
            <a:rPr lang="en-US"/>
            <a:t> improved from </a:t>
          </a:r>
          <a:r>
            <a:rPr lang="en-US" b="1"/>
            <a:t>28.82% in FY2019</a:t>
          </a:r>
          <a:r>
            <a:rPr lang="en-US"/>
            <a:t> to </a:t>
          </a:r>
          <a:r>
            <a:rPr lang="en-US" b="1"/>
            <a:t>32.09% in FY2025</a:t>
          </a:r>
          <a:r>
            <a:rPr lang="en-US"/>
            <a:t>, before declining slightly to </a:t>
          </a:r>
          <a:r>
            <a:rPr lang="en-US" b="1"/>
            <a:t>29.11% in FY2026</a:t>
          </a:r>
          <a:r>
            <a:rPr lang="en-US"/>
            <a:t>. This shows that TCS consistently utilized its asset base efficiently to generate profits.</a:t>
          </a:r>
          <a:endParaRPr lang="en-US" sz="1100"/>
        </a:p>
      </xdr:txBody>
    </xdr:sp>
    <xdr:clientData/>
  </xdr:twoCellAnchor>
  <xdr:twoCellAnchor>
    <xdr:from>
      <xdr:col>1</xdr:col>
      <xdr:colOff>38100</xdr:colOff>
      <xdr:row>103</xdr:row>
      <xdr:rowOff>12700</xdr:rowOff>
    </xdr:from>
    <xdr:to>
      <xdr:col>11</xdr:col>
      <xdr:colOff>361950</xdr:colOff>
      <xdr:row>111</xdr:row>
      <xdr:rowOff>127000</xdr:rowOff>
    </xdr:to>
    <xdr:sp macro="" textlink="">
      <xdr:nvSpPr>
        <xdr:cNvPr id="35" name="TextBox 34">
          <a:extLst>
            <a:ext uri="{FF2B5EF4-FFF2-40B4-BE49-F238E27FC236}">
              <a16:creationId xmlns:a16="http://schemas.microsoft.com/office/drawing/2014/main" id="{B7E65CAF-0A85-2DC2-38F2-2685F4A06A17}"/>
            </a:ext>
          </a:extLst>
        </xdr:cNvPr>
        <xdr:cNvSpPr txBox="1"/>
      </xdr:nvSpPr>
      <xdr:spPr>
        <a:xfrm>
          <a:off x="165100" y="18726150"/>
          <a:ext cx="8826500" cy="158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Declaration</a:t>
          </a:r>
        </a:p>
        <a:p>
          <a:r>
            <a:rPr lang="en-US" i="1">
              <a:solidFill>
                <a:schemeClr val="bg1">
                  <a:lumMod val="65000"/>
                </a:schemeClr>
              </a:solidFill>
            </a:rPr>
            <a:t>I hereby declare that this Financial Modelling and Equity Research Report on </a:t>
          </a:r>
          <a:r>
            <a:rPr lang="en-US" b="1" i="1">
              <a:solidFill>
                <a:schemeClr val="bg1">
                  <a:lumMod val="65000"/>
                </a:schemeClr>
              </a:solidFill>
            </a:rPr>
            <a:t>Tata Consultancy Services (TCS)</a:t>
          </a:r>
          <a:r>
            <a:rPr lang="en-US" i="1">
              <a:solidFill>
                <a:schemeClr val="bg1">
                  <a:lumMod val="65000"/>
                </a:schemeClr>
              </a:solidFill>
            </a:rPr>
            <a:t> is my original work. The analysis, financial model, valuation, forecasts, assumptions, interpretations, and conclusions presented in this report have been prepared by me for learning and portfolio purposes.</a:t>
          </a:r>
        </a:p>
        <a:p>
          <a:r>
            <a:rPr lang="en-US" i="1">
              <a:solidFill>
                <a:schemeClr val="bg1">
                  <a:lumMod val="65000"/>
                </a:schemeClr>
              </a:solidFill>
            </a:rPr>
            <a:t>The financial information used in this report has been collected from publicly available sources, including the company's annual reports, investor presentations, stock exchange filings, and other publicly accessible information. All sources have been appropriately referred to wherever applicable.</a:t>
          </a:r>
        </a:p>
        <a:p>
          <a:r>
            <a:rPr lang="en-US" i="1">
              <a:solidFill>
                <a:schemeClr val="bg1">
                  <a:lumMod val="65000"/>
                </a:schemeClr>
              </a:solidFill>
            </a:rPr>
            <a:t>This report has not been submitted for any degree, certification, or commercial purpose. It is intended solely to demonstrate my financial modelling, valuation, and equity research skills. Any investment decisions should not be based solely on this report, as actual results may differ from the assumptions and estimates used in the analysis.</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101600</xdr:colOff>
      <xdr:row>0</xdr:row>
      <xdr:rowOff>158750</xdr:rowOff>
    </xdr:from>
    <xdr:to>
      <xdr:col>11</xdr:col>
      <xdr:colOff>469446</xdr:colOff>
      <xdr:row>5</xdr:row>
      <xdr:rowOff>133350</xdr:rowOff>
    </xdr:to>
    <xdr:pic>
      <xdr:nvPicPr>
        <xdr:cNvPr id="2" name="Picture 1" descr="TCS logo: How we Express the TCS Brand Graphically">
          <a:extLst>
            <a:ext uri="{FF2B5EF4-FFF2-40B4-BE49-F238E27FC236}">
              <a16:creationId xmlns:a16="http://schemas.microsoft.com/office/drawing/2014/main" id="{F0D11D0B-93CA-43C8-8989-3534AD939B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96150" y="158750"/>
          <a:ext cx="1802946" cy="1009650"/>
        </a:xfrm>
        <a:prstGeom prst="rect">
          <a:avLst/>
        </a:prstGeom>
        <a:noFill/>
        <a:ln>
          <a:noFill/>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158750</xdr:colOff>
      <xdr:row>9</xdr:row>
      <xdr:rowOff>50800</xdr:rowOff>
    </xdr:from>
    <xdr:to>
      <xdr:col>11</xdr:col>
      <xdr:colOff>482600</xdr:colOff>
      <xdr:row>13</xdr:row>
      <xdr:rowOff>38100</xdr:rowOff>
    </xdr:to>
    <xdr:sp macro="" textlink="">
      <xdr:nvSpPr>
        <xdr:cNvPr id="3" name="TextBox 2">
          <a:extLst>
            <a:ext uri="{FF2B5EF4-FFF2-40B4-BE49-F238E27FC236}">
              <a16:creationId xmlns:a16="http://schemas.microsoft.com/office/drawing/2014/main" id="{BB5BC82E-A512-4CAC-AD64-BFF3DFA2CA66}"/>
            </a:ext>
          </a:extLst>
        </xdr:cNvPr>
        <xdr:cNvSpPr txBox="1"/>
      </xdr:nvSpPr>
      <xdr:spPr>
        <a:xfrm>
          <a:off x="285750" y="1758950"/>
          <a:ext cx="882650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Tata Consultancy Services (TCS)</a:t>
          </a:r>
          <a:r>
            <a:rPr lang="en-US"/>
            <a:t> is a leading global </a:t>
          </a:r>
          <a:r>
            <a:rPr lang="en-US" b="1"/>
            <a:t>IT services, consulting, and business solutions</a:t>
          </a:r>
          <a:r>
            <a:rPr lang="en-US"/>
            <a:t> company and a part of the </a:t>
          </a:r>
          <a:r>
            <a:rPr lang="en-US" b="1"/>
            <a:t>Tata Group</a:t>
          </a:r>
          <a:r>
            <a:rPr lang="en-US"/>
            <a:t>. Established in </a:t>
          </a:r>
          <a:r>
            <a:rPr lang="en-US" b="1"/>
            <a:t>1968</a:t>
          </a:r>
          <a:r>
            <a:rPr lang="en-US"/>
            <a:t>, TCS has grown into one of the world's largest technology services companies, serving clients across a wide range of industries, including banking, financial services, insurance, retail, healthcare, manufacturing, telecommunications, and government.</a:t>
          </a:r>
          <a:endParaRPr lang="en-US" sz="1100"/>
        </a:p>
      </xdr:txBody>
    </xdr:sp>
    <xdr:clientData/>
  </xdr:twoCellAnchor>
  <xdr:twoCellAnchor>
    <xdr:from>
      <xdr:col>1</xdr:col>
      <xdr:colOff>12701</xdr:colOff>
      <xdr:row>15</xdr:row>
      <xdr:rowOff>171450</xdr:rowOff>
    </xdr:from>
    <xdr:to>
      <xdr:col>3</xdr:col>
      <xdr:colOff>69850</xdr:colOff>
      <xdr:row>27</xdr:row>
      <xdr:rowOff>12700</xdr:rowOff>
    </xdr:to>
    <xdr:grpSp>
      <xdr:nvGrpSpPr>
        <xdr:cNvPr id="4" name="Group 3">
          <a:extLst>
            <a:ext uri="{FF2B5EF4-FFF2-40B4-BE49-F238E27FC236}">
              <a16:creationId xmlns:a16="http://schemas.microsoft.com/office/drawing/2014/main" id="{C9E6317C-18BB-48A4-8202-B7AA958BD2D0}"/>
            </a:ext>
          </a:extLst>
        </xdr:cNvPr>
        <xdr:cNvGrpSpPr/>
      </xdr:nvGrpSpPr>
      <xdr:grpSpPr>
        <a:xfrm>
          <a:off x="134297" y="2914110"/>
          <a:ext cx="2813319" cy="2111037"/>
          <a:chOff x="139701" y="2870200"/>
          <a:chExt cx="2495550" cy="1873250"/>
        </a:xfrm>
      </xdr:grpSpPr>
      <xdr:graphicFrame macro="">
        <xdr:nvGraphicFramePr>
          <xdr:cNvPr id="5" name="Chart 4">
            <a:extLst>
              <a:ext uri="{FF2B5EF4-FFF2-40B4-BE49-F238E27FC236}">
                <a16:creationId xmlns:a16="http://schemas.microsoft.com/office/drawing/2014/main" id="{859919F6-709B-7521-53B4-1176C3E3AFEE}"/>
              </a:ext>
            </a:extLst>
          </xdr:cNvPr>
          <xdr:cNvGraphicFramePr/>
        </xdr:nvGraphicFramePr>
        <xdr:xfrm>
          <a:off x="139701" y="3136900"/>
          <a:ext cx="2495550" cy="1606550"/>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6" name="TextBox 5">
            <a:extLst>
              <a:ext uri="{FF2B5EF4-FFF2-40B4-BE49-F238E27FC236}">
                <a16:creationId xmlns:a16="http://schemas.microsoft.com/office/drawing/2014/main" id="{5192092D-5F2F-60FA-811D-D82852D3E825}"/>
              </a:ext>
            </a:extLst>
          </xdr:cNvPr>
          <xdr:cNvSpPr txBox="1"/>
        </xdr:nvSpPr>
        <xdr:spPr>
          <a:xfrm>
            <a:off x="266700" y="2921000"/>
            <a:ext cx="22034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Working</a:t>
            </a:r>
            <a:r>
              <a:rPr lang="en-US" sz="1100" b="1" baseline="0"/>
              <a:t> </a:t>
            </a:r>
            <a:r>
              <a:rPr lang="en-US" sz="1100" b="1" baseline="0">
                <a:solidFill>
                  <a:srgbClr val="002060"/>
                </a:solidFill>
              </a:rPr>
              <a:t>Capital</a:t>
            </a:r>
            <a:r>
              <a:rPr lang="en-US" sz="1100" b="1" baseline="0"/>
              <a:t>/TA</a:t>
            </a:r>
            <a:r>
              <a:rPr lang="en-US" sz="1100" b="1"/>
              <a:t>(%)</a:t>
            </a:r>
          </a:p>
          <a:p>
            <a:endParaRPr lang="en-US" sz="1100"/>
          </a:p>
        </xdr:txBody>
      </xdr:sp>
      <xdr:cxnSp macro="">
        <xdr:nvCxnSpPr>
          <xdr:cNvPr id="7" name="Straight Connector 6">
            <a:extLst>
              <a:ext uri="{FF2B5EF4-FFF2-40B4-BE49-F238E27FC236}">
                <a16:creationId xmlns:a16="http://schemas.microsoft.com/office/drawing/2014/main" id="{3E32350C-A98B-2FBC-C931-CB521BEA2D89}"/>
              </a:ext>
            </a:extLst>
          </xdr:cNvPr>
          <xdr:cNvCxnSpPr/>
        </xdr:nvCxnSpPr>
        <xdr:spPr>
          <a:xfrm>
            <a:off x="279400" y="2870200"/>
            <a:ext cx="2197100" cy="635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3</xdr:col>
      <xdr:colOff>387350</xdr:colOff>
      <xdr:row>15</xdr:row>
      <xdr:rowOff>165100</xdr:rowOff>
    </xdr:from>
    <xdr:to>
      <xdr:col>7</xdr:col>
      <xdr:colOff>368300</xdr:colOff>
      <xdr:row>27</xdr:row>
      <xdr:rowOff>139700</xdr:rowOff>
    </xdr:to>
    <xdr:grpSp>
      <xdr:nvGrpSpPr>
        <xdr:cNvPr id="8" name="Group 7">
          <a:extLst>
            <a:ext uri="{FF2B5EF4-FFF2-40B4-BE49-F238E27FC236}">
              <a16:creationId xmlns:a16="http://schemas.microsoft.com/office/drawing/2014/main" id="{FC6F1D92-9A10-4DF2-A915-A2C2EBDC316F}"/>
            </a:ext>
          </a:extLst>
        </xdr:cNvPr>
        <xdr:cNvGrpSpPr/>
      </xdr:nvGrpSpPr>
      <xdr:grpSpPr>
        <a:xfrm>
          <a:off x="3265116" y="2907760"/>
          <a:ext cx="2953290" cy="2244387"/>
          <a:chOff x="139701" y="2870200"/>
          <a:chExt cx="2495550" cy="1873250"/>
        </a:xfrm>
      </xdr:grpSpPr>
      <xdr:graphicFrame macro="">
        <xdr:nvGraphicFramePr>
          <xdr:cNvPr id="9" name="Chart 8">
            <a:extLst>
              <a:ext uri="{FF2B5EF4-FFF2-40B4-BE49-F238E27FC236}">
                <a16:creationId xmlns:a16="http://schemas.microsoft.com/office/drawing/2014/main" id="{91DF6ED6-39C6-8535-E61A-666187EDDA25}"/>
              </a:ext>
            </a:extLst>
          </xdr:cNvPr>
          <xdr:cNvGraphicFramePr/>
        </xdr:nvGraphicFramePr>
        <xdr:xfrm>
          <a:off x="139701" y="3136900"/>
          <a:ext cx="2495550" cy="160655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0" name="TextBox 9">
            <a:extLst>
              <a:ext uri="{FF2B5EF4-FFF2-40B4-BE49-F238E27FC236}">
                <a16:creationId xmlns:a16="http://schemas.microsoft.com/office/drawing/2014/main" id="{D12F8EBC-DCF9-74D9-5073-6A17278544E8}"/>
              </a:ext>
            </a:extLst>
          </xdr:cNvPr>
          <xdr:cNvSpPr txBox="1"/>
        </xdr:nvSpPr>
        <xdr:spPr>
          <a:xfrm>
            <a:off x="266700" y="2921000"/>
            <a:ext cx="22034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002060"/>
                </a:solidFill>
              </a:rPr>
              <a:t>RE/TA(%)</a:t>
            </a:r>
          </a:p>
          <a:p>
            <a:endParaRPr lang="en-US" sz="1100"/>
          </a:p>
        </xdr:txBody>
      </xdr:sp>
      <xdr:cxnSp macro="">
        <xdr:nvCxnSpPr>
          <xdr:cNvPr id="11" name="Straight Connector 10">
            <a:extLst>
              <a:ext uri="{FF2B5EF4-FFF2-40B4-BE49-F238E27FC236}">
                <a16:creationId xmlns:a16="http://schemas.microsoft.com/office/drawing/2014/main" id="{04442995-CBC7-6459-94D7-636D3B3D872F}"/>
              </a:ext>
            </a:extLst>
          </xdr:cNvPr>
          <xdr:cNvCxnSpPr/>
        </xdr:nvCxnSpPr>
        <xdr:spPr>
          <a:xfrm>
            <a:off x="279400" y="2870200"/>
            <a:ext cx="2197100" cy="635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7</xdr:col>
      <xdr:colOff>609600</xdr:colOff>
      <xdr:row>15</xdr:row>
      <xdr:rowOff>158750</xdr:rowOff>
    </xdr:from>
    <xdr:to>
      <xdr:col>11</xdr:col>
      <xdr:colOff>577850</xdr:colOff>
      <xdr:row>28</xdr:row>
      <xdr:rowOff>6350</xdr:rowOff>
    </xdr:to>
    <xdr:grpSp>
      <xdr:nvGrpSpPr>
        <xdr:cNvPr id="12" name="Group 11">
          <a:extLst>
            <a:ext uri="{FF2B5EF4-FFF2-40B4-BE49-F238E27FC236}">
              <a16:creationId xmlns:a16="http://schemas.microsoft.com/office/drawing/2014/main" id="{825B723A-FAE4-45D8-B272-B9FED1F171BB}"/>
            </a:ext>
          </a:extLst>
        </xdr:cNvPr>
        <xdr:cNvGrpSpPr/>
      </xdr:nvGrpSpPr>
      <xdr:grpSpPr>
        <a:xfrm>
          <a:off x="6459706" y="2901410"/>
          <a:ext cx="2832506" cy="2306536"/>
          <a:chOff x="139701" y="2870200"/>
          <a:chExt cx="2495550" cy="1873250"/>
        </a:xfrm>
      </xdr:grpSpPr>
      <xdr:graphicFrame macro="">
        <xdr:nvGraphicFramePr>
          <xdr:cNvPr id="13" name="Chart 12">
            <a:extLst>
              <a:ext uri="{FF2B5EF4-FFF2-40B4-BE49-F238E27FC236}">
                <a16:creationId xmlns:a16="http://schemas.microsoft.com/office/drawing/2014/main" id="{5E9C660C-8A6E-6D31-C90D-0D845451A0CE}"/>
              </a:ext>
            </a:extLst>
          </xdr:cNvPr>
          <xdr:cNvGraphicFramePr/>
        </xdr:nvGraphicFramePr>
        <xdr:xfrm>
          <a:off x="139701" y="3136900"/>
          <a:ext cx="2495550" cy="1606550"/>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4" name="TextBox 13">
            <a:extLst>
              <a:ext uri="{FF2B5EF4-FFF2-40B4-BE49-F238E27FC236}">
                <a16:creationId xmlns:a16="http://schemas.microsoft.com/office/drawing/2014/main" id="{8125415B-BB9E-A480-82BE-6C9FB22BBA37}"/>
              </a:ext>
            </a:extLst>
          </xdr:cNvPr>
          <xdr:cNvSpPr txBox="1"/>
        </xdr:nvSpPr>
        <xdr:spPr>
          <a:xfrm>
            <a:off x="266700" y="2921000"/>
            <a:ext cx="22034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002060"/>
                </a:solidFill>
              </a:rPr>
              <a:t>EBIT/TA(%)</a:t>
            </a:r>
          </a:p>
          <a:p>
            <a:endParaRPr lang="en-US" sz="1100"/>
          </a:p>
        </xdr:txBody>
      </xdr:sp>
      <xdr:cxnSp macro="">
        <xdr:nvCxnSpPr>
          <xdr:cNvPr id="15" name="Straight Connector 14">
            <a:extLst>
              <a:ext uri="{FF2B5EF4-FFF2-40B4-BE49-F238E27FC236}">
                <a16:creationId xmlns:a16="http://schemas.microsoft.com/office/drawing/2014/main" id="{30A9981A-DF5F-D5E4-97D9-538B1F47D330}"/>
              </a:ext>
            </a:extLst>
          </xdr:cNvPr>
          <xdr:cNvCxnSpPr/>
        </xdr:nvCxnSpPr>
        <xdr:spPr>
          <a:xfrm>
            <a:off x="279400" y="2870200"/>
            <a:ext cx="2197100" cy="635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1</xdr:col>
      <xdr:colOff>184150</xdr:colOff>
      <xdr:row>27</xdr:row>
      <xdr:rowOff>107950</xdr:rowOff>
    </xdr:from>
    <xdr:to>
      <xdr:col>3</xdr:col>
      <xdr:colOff>228600</xdr:colOff>
      <xdr:row>40</xdr:row>
      <xdr:rowOff>165100</xdr:rowOff>
    </xdr:to>
    <xdr:grpSp>
      <xdr:nvGrpSpPr>
        <xdr:cNvPr id="16" name="Group 15">
          <a:extLst>
            <a:ext uri="{FF2B5EF4-FFF2-40B4-BE49-F238E27FC236}">
              <a16:creationId xmlns:a16="http://schemas.microsoft.com/office/drawing/2014/main" id="{4E20DA75-4804-4589-AFC7-446CA4761AD8}"/>
            </a:ext>
          </a:extLst>
        </xdr:cNvPr>
        <xdr:cNvGrpSpPr/>
      </xdr:nvGrpSpPr>
      <xdr:grpSpPr>
        <a:xfrm>
          <a:off x="305746" y="5120397"/>
          <a:ext cx="2800620" cy="2516086"/>
          <a:chOff x="139701" y="2870200"/>
          <a:chExt cx="2495550" cy="1873250"/>
        </a:xfrm>
      </xdr:grpSpPr>
      <xdr:graphicFrame macro="">
        <xdr:nvGraphicFramePr>
          <xdr:cNvPr id="17" name="Chart 16">
            <a:extLst>
              <a:ext uri="{FF2B5EF4-FFF2-40B4-BE49-F238E27FC236}">
                <a16:creationId xmlns:a16="http://schemas.microsoft.com/office/drawing/2014/main" id="{B1563F20-E34B-B168-A6A3-4EF0467DC9C8}"/>
              </a:ext>
            </a:extLst>
          </xdr:cNvPr>
          <xdr:cNvGraphicFramePr/>
        </xdr:nvGraphicFramePr>
        <xdr:xfrm>
          <a:off x="139701" y="3136900"/>
          <a:ext cx="2495550" cy="160655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8" name="TextBox 17">
            <a:extLst>
              <a:ext uri="{FF2B5EF4-FFF2-40B4-BE49-F238E27FC236}">
                <a16:creationId xmlns:a16="http://schemas.microsoft.com/office/drawing/2014/main" id="{AA51DB5F-42EB-AD75-83DB-0950497A46FC}"/>
              </a:ext>
            </a:extLst>
          </xdr:cNvPr>
          <xdr:cNvSpPr txBox="1"/>
        </xdr:nvSpPr>
        <xdr:spPr>
          <a:xfrm>
            <a:off x="266700" y="2921000"/>
            <a:ext cx="22034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baseline="0">
                <a:solidFill>
                  <a:srgbClr val="002060"/>
                </a:solidFill>
              </a:rPr>
              <a:t>MCP/LTL </a:t>
            </a:r>
            <a:r>
              <a:rPr lang="en-US" sz="1100" b="1">
                <a:solidFill>
                  <a:srgbClr val="002060"/>
                </a:solidFill>
              </a:rPr>
              <a:t>(%)</a:t>
            </a:r>
          </a:p>
          <a:p>
            <a:endParaRPr lang="en-US" sz="1100"/>
          </a:p>
        </xdr:txBody>
      </xdr:sp>
      <xdr:cxnSp macro="">
        <xdr:nvCxnSpPr>
          <xdr:cNvPr id="19" name="Straight Connector 18">
            <a:extLst>
              <a:ext uri="{FF2B5EF4-FFF2-40B4-BE49-F238E27FC236}">
                <a16:creationId xmlns:a16="http://schemas.microsoft.com/office/drawing/2014/main" id="{E54977A9-CF49-A1CE-9019-BEC7D6BC2125}"/>
              </a:ext>
            </a:extLst>
          </xdr:cNvPr>
          <xdr:cNvCxnSpPr/>
        </xdr:nvCxnSpPr>
        <xdr:spPr>
          <a:xfrm>
            <a:off x="279400" y="2870200"/>
            <a:ext cx="2197100" cy="635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3</xdr:col>
      <xdr:colOff>342900</xdr:colOff>
      <xdr:row>27</xdr:row>
      <xdr:rowOff>82550</xdr:rowOff>
    </xdr:from>
    <xdr:to>
      <xdr:col>7</xdr:col>
      <xdr:colOff>292100</xdr:colOff>
      <xdr:row>40</xdr:row>
      <xdr:rowOff>139700</xdr:rowOff>
    </xdr:to>
    <xdr:grpSp>
      <xdr:nvGrpSpPr>
        <xdr:cNvPr id="20" name="Group 19">
          <a:extLst>
            <a:ext uri="{FF2B5EF4-FFF2-40B4-BE49-F238E27FC236}">
              <a16:creationId xmlns:a16="http://schemas.microsoft.com/office/drawing/2014/main" id="{4EA2223D-DEDA-4B24-BE81-37E5BFA543E2}"/>
            </a:ext>
          </a:extLst>
        </xdr:cNvPr>
        <xdr:cNvGrpSpPr/>
      </xdr:nvGrpSpPr>
      <xdr:grpSpPr>
        <a:xfrm>
          <a:off x="3220666" y="5094997"/>
          <a:ext cx="2921540" cy="2516086"/>
          <a:chOff x="139701" y="2870200"/>
          <a:chExt cx="2495550" cy="1873250"/>
        </a:xfrm>
      </xdr:grpSpPr>
      <xdr:graphicFrame macro="">
        <xdr:nvGraphicFramePr>
          <xdr:cNvPr id="21" name="Chart 20">
            <a:extLst>
              <a:ext uri="{FF2B5EF4-FFF2-40B4-BE49-F238E27FC236}">
                <a16:creationId xmlns:a16="http://schemas.microsoft.com/office/drawing/2014/main" id="{37C8DDFB-2C5B-38A1-F9F8-6CCF8115919D}"/>
              </a:ext>
            </a:extLst>
          </xdr:cNvPr>
          <xdr:cNvGraphicFramePr/>
        </xdr:nvGraphicFramePr>
        <xdr:xfrm>
          <a:off x="139701" y="3136900"/>
          <a:ext cx="2495550" cy="160655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22" name="TextBox 21">
            <a:extLst>
              <a:ext uri="{FF2B5EF4-FFF2-40B4-BE49-F238E27FC236}">
                <a16:creationId xmlns:a16="http://schemas.microsoft.com/office/drawing/2014/main" id="{02658D48-5610-B346-D68D-B1615262C5C6}"/>
              </a:ext>
            </a:extLst>
          </xdr:cNvPr>
          <xdr:cNvSpPr txBox="1"/>
        </xdr:nvSpPr>
        <xdr:spPr>
          <a:xfrm>
            <a:off x="266700" y="2921000"/>
            <a:ext cx="22034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002060"/>
                </a:solidFill>
              </a:rPr>
              <a:t>Sales</a:t>
            </a:r>
            <a:r>
              <a:rPr lang="en-US" sz="1100" b="1" baseline="0">
                <a:solidFill>
                  <a:srgbClr val="002060"/>
                </a:solidFill>
              </a:rPr>
              <a:t>/ TA</a:t>
            </a:r>
            <a:r>
              <a:rPr lang="en-US" sz="1100" b="1">
                <a:solidFill>
                  <a:srgbClr val="002060"/>
                </a:solidFill>
              </a:rPr>
              <a:t>(%)</a:t>
            </a:r>
          </a:p>
          <a:p>
            <a:endParaRPr lang="en-US" sz="1100"/>
          </a:p>
        </xdr:txBody>
      </xdr:sp>
      <xdr:cxnSp macro="">
        <xdr:nvCxnSpPr>
          <xdr:cNvPr id="23" name="Straight Connector 22">
            <a:extLst>
              <a:ext uri="{FF2B5EF4-FFF2-40B4-BE49-F238E27FC236}">
                <a16:creationId xmlns:a16="http://schemas.microsoft.com/office/drawing/2014/main" id="{C3373DE0-E7F0-0D59-1D5F-CDA1272871F1}"/>
              </a:ext>
            </a:extLst>
          </xdr:cNvPr>
          <xdr:cNvCxnSpPr/>
        </xdr:nvCxnSpPr>
        <xdr:spPr>
          <a:xfrm>
            <a:off x="279400" y="2870200"/>
            <a:ext cx="2197100" cy="635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7</xdr:col>
      <xdr:colOff>565150</xdr:colOff>
      <xdr:row>27</xdr:row>
      <xdr:rowOff>165100</xdr:rowOff>
    </xdr:from>
    <xdr:to>
      <xdr:col>11</xdr:col>
      <xdr:colOff>469900</xdr:colOff>
      <xdr:row>41</xdr:row>
      <xdr:rowOff>38100</xdr:rowOff>
    </xdr:to>
    <xdr:grpSp>
      <xdr:nvGrpSpPr>
        <xdr:cNvPr id="24" name="Group 23">
          <a:extLst>
            <a:ext uri="{FF2B5EF4-FFF2-40B4-BE49-F238E27FC236}">
              <a16:creationId xmlns:a16="http://schemas.microsoft.com/office/drawing/2014/main" id="{6E3A418B-5A35-4486-A7A6-E919183F429B}"/>
            </a:ext>
          </a:extLst>
        </xdr:cNvPr>
        <xdr:cNvGrpSpPr/>
      </xdr:nvGrpSpPr>
      <xdr:grpSpPr>
        <a:xfrm>
          <a:off x="6415256" y="5177547"/>
          <a:ext cx="2769006" cy="2521085"/>
          <a:chOff x="139701" y="2870200"/>
          <a:chExt cx="2495550" cy="1873250"/>
        </a:xfrm>
      </xdr:grpSpPr>
      <xdr:graphicFrame macro="">
        <xdr:nvGraphicFramePr>
          <xdr:cNvPr id="25" name="Chart 24">
            <a:extLst>
              <a:ext uri="{FF2B5EF4-FFF2-40B4-BE49-F238E27FC236}">
                <a16:creationId xmlns:a16="http://schemas.microsoft.com/office/drawing/2014/main" id="{3AD61423-0D01-69CE-5E6E-49BB7559DE3D}"/>
              </a:ext>
            </a:extLst>
          </xdr:cNvPr>
          <xdr:cNvGraphicFramePr/>
        </xdr:nvGraphicFramePr>
        <xdr:xfrm>
          <a:off x="139701" y="3136900"/>
          <a:ext cx="2495550" cy="160655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26" name="TextBox 25">
            <a:extLst>
              <a:ext uri="{FF2B5EF4-FFF2-40B4-BE49-F238E27FC236}">
                <a16:creationId xmlns:a16="http://schemas.microsoft.com/office/drawing/2014/main" id="{40E4F6C5-974B-F291-8AF8-6776252DB6ED}"/>
              </a:ext>
            </a:extLst>
          </xdr:cNvPr>
          <xdr:cNvSpPr txBox="1"/>
        </xdr:nvSpPr>
        <xdr:spPr>
          <a:xfrm>
            <a:off x="266700" y="2921000"/>
            <a:ext cx="220345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002060"/>
                </a:solidFill>
              </a:rPr>
              <a:t>Altman's</a:t>
            </a:r>
            <a:r>
              <a:rPr lang="en-US" sz="1100" b="1" baseline="0">
                <a:solidFill>
                  <a:srgbClr val="002060"/>
                </a:solidFill>
              </a:rPr>
              <a:t> Z Score</a:t>
            </a:r>
            <a:endParaRPr lang="en-US" sz="1100" b="1">
              <a:solidFill>
                <a:srgbClr val="002060"/>
              </a:solidFill>
            </a:endParaRPr>
          </a:p>
          <a:p>
            <a:endParaRPr lang="en-US" sz="1100"/>
          </a:p>
        </xdr:txBody>
      </xdr:sp>
      <xdr:cxnSp macro="">
        <xdr:nvCxnSpPr>
          <xdr:cNvPr id="27" name="Straight Connector 26">
            <a:extLst>
              <a:ext uri="{FF2B5EF4-FFF2-40B4-BE49-F238E27FC236}">
                <a16:creationId xmlns:a16="http://schemas.microsoft.com/office/drawing/2014/main" id="{2C20F5F7-949C-9388-BCF0-16C856F6A186}"/>
              </a:ext>
            </a:extLst>
          </xdr:cNvPr>
          <xdr:cNvCxnSpPr/>
        </xdr:nvCxnSpPr>
        <xdr:spPr>
          <a:xfrm>
            <a:off x="279400" y="2870200"/>
            <a:ext cx="2197100" cy="6350"/>
          </a:xfrm>
          <a:prstGeom prst="line">
            <a:avLst/>
          </a:prstGeom>
        </xdr:spPr>
        <xdr:style>
          <a:lnRef idx="1">
            <a:schemeClr val="dk1"/>
          </a:lnRef>
          <a:fillRef idx="0">
            <a:schemeClr val="dk1"/>
          </a:fillRef>
          <a:effectRef idx="0">
            <a:schemeClr val="dk1"/>
          </a:effectRef>
          <a:fontRef idx="minor">
            <a:schemeClr val="tx1"/>
          </a:fontRef>
        </xdr:style>
      </xdr:cxnSp>
    </xdr:grpSp>
    <xdr:clientData/>
  </xdr:twoCellAnchor>
  <xdr:twoCellAnchor>
    <xdr:from>
      <xdr:col>1</xdr:col>
      <xdr:colOff>12700</xdr:colOff>
      <xdr:row>42</xdr:row>
      <xdr:rowOff>0</xdr:rowOff>
    </xdr:from>
    <xdr:to>
      <xdr:col>11</xdr:col>
      <xdr:colOff>349250</xdr:colOff>
      <xdr:row>48</xdr:row>
      <xdr:rowOff>69850</xdr:rowOff>
    </xdr:to>
    <xdr:sp macro="" textlink="">
      <xdr:nvSpPr>
        <xdr:cNvPr id="28" name="TextBox 27">
          <a:extLst>
            <a:ext uri="{FF2B5EF4-FFF2-40B4-BE49-F238E27FC236}">
              <a16:creationId xmlns:a16="http://schemas.microsoft.com/office/drawing/2014/main" id="{3A4A55DE-2081-420B-B7D0-8E57600E479C}"/>
            </a:ext>
          </a:extLst>
        </xdr:cNvPr>
        <xdr:cNvSpPr txBox="1"/>
      </xdr:nvSpPr>
      <xdr:spPr>
        <a:xfrm>
          <a:off x="139700" y="7670800"/>
          <a:ext cx="8839200" cy="11684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b="1"/>
            <a:t>Q1 FY2026–27 Results Announced (9 July 2026)</a:t>
          </a:r>
          <a:r>
            <a:rPr lang="en-US"/>
            <a:t> – TCS reported its financial results for the quarter ended </a:t>
          </a:r>
          <a:r>
            <a:rPr lang="en-US" b="1"/>
            <a:t>30 June 2026</a:t>
          </a:r>
          <a:r>
            <a:rPr lang="en-US"/>
            <a:t> and also announced an </a:t>
          </a:r>
          <a:r>
            <a:rPr lang="en-US" b="1"/>
            <a:t>interim dividend</a:t>
          </a:r>
          <a:r>
            <a:rPr lang="en-US"/>
            <a:t> for shareholders. </a:t>
          </a:r>
        </a:p>
        <a:p>
          <a:pPr lvl="0"/>
          <a:r>
            <a:rPr lang="en-US" b="1"/>
            <a:t>AI Transformation Deals</a:t>
          </a:r>
          <a:r>
            <a:rPr lang="en-US"/>
            <a:t> – TCS started FY27 with continued business growth by winning multiple </a:t>
          </a:r>
          <a:r>
            <a:rPr lang="en-US" b="1"/>
            <a:t>Artificial Intelligence (AI) transformation contracts</a:t>
          </a:r>
          <a:r>
            <a:rPr lang="en-US"/>
            <a:t> across industries. </a:t>
          </a:r>
        </a:p>
        <a:p>
          <a:pPr lvl="0"/>
          <a:r>
            <a:rPr lang="en-US" b="1"/>
            <a:t>Partnership with Google Cloud</a:t>
          </a:r>
          <a:r>
            <a:rPr lang="en-US"/>
            <a:t> – TCS launched a </a:t>
          </a:r>
          <a:r>
            <a:rPr lang="en-US" b="1"/>
            <a:t>Gemini Experience Center</a:t>
          </a:r>
          <a:r>
            <a:rPr lang="en-US"/>
            <a:t> in Kolkata with Google Cloud to help enterprises adopt Generative AI solutions. </a:t>
          </a:r>
        </a:p>
        <a:p>
          <a:endParaRPr lang="en-US" sz="1100"/>
        </a:p>
      </xdr:txBody>
    </xdr:sp>
    <xdr:clientData/>
  </xdr:twoCellAnchor>
  <xdr:twoCellAnchor>
    <xdr:from>
      <xdr:col>0</xdr:col>
      <xdr:colOff>107950</xdr:colOff>
      <xdr:row>88</xdr:row>
      <xdr:rowOff>88900</xdr:rowOff>
    </xdr:from>
    <xdr:to>
      <xdr:col>11</xdr:col>
      <xdr:colOff>304800</xdr:colOff>
      <xdr:row>97</xdr:row>
      <xdr:rowOff>19050</xdr:rowOff>
    </xdr:to>
    <xdr:sp macro="" textlink="">
      <xdr:nvSpPr>
        <xdr:cNvPr id="30" name="TextBox 29">
          <a:extLst>
            <a:ext uri="{FF2B5EF4-FFF2-40B4-BE49-F238E27FC236}">
              <a16:creationId xmlns:a16="http://schemas.microsoft.com/office/drawing/2014/main" id="{9D9EE92D-804C-4353-91EF-832614C49E2D}"/>
            </a:ext>
          </a:extLst>
        </xdr:cNvPr>
        <xdr:cNvSpPr txBox="1"/>
      </xdr:nvSpPr>
      <xdr:spPr>
        <a:xfrm>
          <a:off x="107950" y="16040100"/>
          <a:ext cx="8928100" cy="158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Declaration</a:t>
          </a:r>
        </a:p>
        <a:p>
          <a:r>
            <a:rPr lang="en-US" i="1">
              <a:solidFill>
                <a:schemeClr val="bg1">
                  <a:lumMod val="65000"/>
                </a:schemeClr>
              </a:solidFill>
            </a:rPr>
            <a:t>I hereby declare that this Financial Modelling and Equity Research Report on </a:t>
          </a:r>
          <a:r>
            <a:rPr lang="en-US" b="1" i="1">
              <a:solidFill>
                <a:schemeClr val="bg1">
                  <a:lumMod val="65000"/>
                </a:schemeClr>
              </a:solidFill>
            </a:rPr>
            <a:t>Tata Consultancy Services (TCS)</a:t>
          </a:r>
          <a:r>
            <a:rPr lang="en-US" i="1">
              <a:solidFill>
                <a:schemeClr val="bg1">
                  <a:lumMod val="65000"/>
                </a:schemeClr>
              </a:solidFill>
            </a:rPr>
            <a:t> is my original work. The analysis, financial model, valuation, forecasts, assumptions, interpretations, and conclusions presented in this report have been prepared by me for learning and portfolio purposes.</a:t>
          </a:r>
        </a:p>
        <a:p>
          <a:r>
            <a:rPr lang="en-US" i="1">
              <a:solidFill>
                <a:schemeClr val="bg1">
                  <a:lumMod val="65000"/>
                </a:schemeClr>
              </a:solidFill>
            </a:rPr>
            <a:t>The financial information used in this report has been collected from publicly available sources, including the company's annual reports, investor presentations, stock exchange filings, and other publicly accessible information. All sources have been appropriately referred to wherever applicable.</a:t>
          </a:r>
        </a:p>
        <a:p>
          <a:r>
            <a:rPr lang="en-US" i="1">
              <a:solidFill>
                <a:schemeClr val="bg1">
                  <a:lumMod val="65000"/>
                </a:schemeClr>
              </a:solidFill>
            </a:rPr>
            <a:t>This report has not been submitted for any degree, certification, or commercial purpose. It is intended solely to demonstrate my financial modelling, valuation, and equity research skills. Any investment decisions should not be based solely on this report, as actual results may differ from the assumptions and estimates used in the analysis.</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298450</xdr:colOff>
      <xdr:row>57</xdr:row>
      <xdr:rowOff>88900</xdr:rowOff>
    </xdr:from>
    <xdr:to>
      <xdr:col>2</xdr:col>
      <xdr:colOff>565150</xdr:colOff>
      <xdr:row>63</xdr:row>
      <xdr:rowOff>146050</xdr:rowOff>
    </xdr:to>
    <xdr:sp macro="" textlink="">
      <xdr:nvSpPr>
        <xdr:cNvPr id="2" name="TextBox 1">
          <a:extLst>
            <a:ext uri="{FF2B5EF4-FFF2-40B4-BE49-F238E27FC236}">
              <a16:creationId xmlns:a16="http://schemas.microsoft.com/office/drawing/2014/main" id="{C608792F-D7B0-FBE5-D0CA-E7C67DB686EA}"/>
            </a:ext>
          </a:extLst>
        </xdr:cNvPr>
        <xdr:cNvSpPr txBox="1"/>
      </xdr:nvSpPr>
      <xdr:spPr>
        <a:xfrm>
          <a:off x="2451100" y="10693400"/>
          <a:ext cx="266700" cy="117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a:t>
          </a:r>
        </a:p>
        <a:p>
          <a:r>
            <a:rPr lang="en-US" sz="1100"/>
            <a:t>e</a:t>
          </a:r>
        </a:p>
        <a:p>
          <a:r>
            <a:rPr lang="en-US" sz="1100"/>
            <a:t>v</a:t>
          </a:r>
        </a:p>
        <a:p>
          <a:r>
            <a:rPr lang="en-US" sz="1100"/>
            <a:t>e</a:t>
          </a:r>
        </a:p>
        <a:p>
          <a:r>
            <a:rPr lang="en-US" sz="1100"/>
            <a:t>n</a:t>
          </a:r>
        </a:p>
        <a:p>
          <a:r>
            <a:rPr lang="en-US" sz="1100"/>
            <a:t>u</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c67147f803addd22/Attachments/Desktop/Infosys%20FM.xlsx" TargetMode="External"/><Relationship Id="rId1" Type="http://schemas.openxmlformats.org/officeDocument/2006/relationships/externalLinkPath" Target="Infosys%20F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4"/>
      <sheetName val="Sheet2"/>
      <sheetName val="Profit &amp; Loss"/>
      <sheetName val="Quarters"/>
      <sheetName val="Balance Sheet"/>
      <sheetName val="Cash Flow"/>
      <sheetName val="Customization"/>
      <sheetName val="Ratio Analysis"/>
      <sheetName val="Forcasting"/>
      <sheetName val="WACC"/>
      <sheetName val="Beta-Regretion"/>
      <sheetName val="Instric Growth"/>
      <sheetName val="DCF"/>
      <sheetName val="Comps_Val"/>
      <sheetName val="FootBallFiledValuvetion Analysi"/>
      <sheetName val="VRA"/>
      <sheetName val="Dopint Analysis"/>
      <sheetName val="Data Sheet"/>
      <sheetName val="Altman's Z Score"/>
      <sheetName val="One Page  Profile"/>
      <sheetName val="LBO"/>
      <sheetName val="Historical 3 Financeal Stetment"/>
      <sheetName val="M&amp;A"/>
      <sheetName val="M&amp;A-Infosys And koti tech"/>
      <sheetName val="Commansaiz Statement Analysis"/>
      <sheetName val="Infosys LBO"/>
    </sheetNames>
    <sheetDataSet>
      <sheetData sheetId="0"/>
      <sheetData sheetId="1"/>
      <sheetData sheetId="2">
        <row r="5">
          <cell r="L5">
            <v>5215</v>
          </cell>
          <cell r="N5">
            <v>309904.53999999998</v>
          </cell>
        </row>
        <row r="6">
          <cell r="L6">
            <v>20291</v>
          </cell>
          <cell r="N6">
            <v>171677.17249999999</v>
          </cell>
        </row>
        <row r="7">
          <cell r="L7">
            <v>2186.1999999999998</v>
          </cell>
          <cell r="N7">
            <v>140423.82750000001</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3.bin"/><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screener.in/exce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screener.in/excel/"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8AD36-9F74-4CC0-A7AC-9A981A008496}">
  <dimension ref="A1:Q23"/>
  <sheetViews>
    <sheetView workbookViewId="0">
      <selection activeCell="H6" sqref="H6"/>
    </sheetView>
  </sheetViews>
  <sheetFormatPr defaultRowHeight="14.5" x14ac:dyDescent="0.35"/>
  <cols>
    <col min="1" max="1" width="16.26953125" bestFit="1" customWidth="1"/>
    <col min="3" max="4" width="12.6328125" bestFit="1" customWidth="1"/>
    <col min="5" max="5" width="8.26953125" bestFit="1" customWidth="1"/>
    <col min="6" max="6" width="7.90625" bestFit="1" customWidth="1"/>
  </cols>
  <sheetData>
    <row r="1" spans="1:17" x14ac:dyDescent="0.35">
      <c r="A1" t="s">
        <v>443</v>
      </c>
      <c r="B1" s="198"/>
      <c r="C1" s="198"/>
      <c r="G1" s="196"/>
      <c r="H1" s="196"/>
      <c r="I1" s="198"/>
      <c r="J1" s="198"/>
    </row>
    <row r="2" spans="1:17" ht="29" x14ac:dyDescent="0.35">
      <c r="A2" s="59">
        <v>6841115260.5</v>
      </c>
      <c r="B2" s="200"/>
      <c r="C2" s="196" t="s">
        <v>445</v>
      </c>
      <c r="D2" s="198" t="s">
        <v>423</v>
      </c>
      <c r="E2" s="198" t="s">
        <v>446</v>
      </c>
      <c r="F2" s="198"/>
      <c r="G2" s="199"/>
      <c r="H2" s="199"/>
      <c r="I2" s="197"/>
      <c r="J2" s="197"/>
    </row>
    <row r="3" spans="1:17" ht="43.5" x14ac:dyDescent="0.35">
      <c r="A3" s="59">
        <v>7377769245.8000002</v>
      </c>
      <c r="B3" s="200"/>
      <c r="C3" s="199" t="s">
        <v>448</v>
      </c>
      <c r="D3" s="201">
        <v>2595499419</v>
      </c>
      <c r="E3" s="197" t="s">
        <v>449</v>
      </c>
      <c r="F3" s="197"/>
      <c r="G3" s="199"/>
      <c r="H3" s="199"/>
      <c r="I3" s="197"/>
      <c r="J3" s="197"/>
      <c r="M3" s="196" t="s">
        <v>445</v>
      </c>
      <c r="N3" s="198" t="s">
        <v>422</v>
      </c>
      <c r="O3" s="198" t="s">
        <v>423</v>
      </c>
      <c r="P3" s="198" t="s">
        <v>446</v>
      </c>
      <c r="Q3" s="198" t="s">
        <v>447</v>
      </c>
    </row>
    <row r="4" spans="1:17" ht="29" x14ac:dyDescent="0.35">
      <c r="A4" s="59">
        <v>10269562982.9</v>
      </c>
      <c r="B4" s="200"/>
      <c r="C4" s="199" t="s">
        <v>450</v>
      </c>
      <c r="D4" s="201">
        <v>199553451</v>
      </c>
      <c r="E4" s="197" t="s">
        <v>449</v>
      </c>
      <c r="F4" s="197"/>
      <c r="G4" s="199"/>
      <c r="H4" s="199"/>
      <c r="I4" s="197"/>
      <c r="J4" s="197"/>
      <c r="N4" s="200">
        <v>0.71740000000000004</v>
      </c>
      <c r="P4" s="197" t="s">
        <v>449</v>
      </c>
      <c r="Q4" s="197" t="e" cm="1">
        <f t="array" ref="Q4" xml:space="preserve"> Shares * Share Price</f>
        <v>#NAME?</v>
      </c>
    </row>
    <row r="5" spans="1:17" ht="29" x14ac:dyDescent="0.35">
      <c r="A5" s="59">
        <v>12055719188.1</v>
      </c>
      <c r="B5" s="200"/>
      <c r="C5" s="199" t="s">
        <v>425</v>
      </c>
      <c r="D5" s="201">
        <v>45239395</v>
      </c>
      <c r="E5" s="197" t="s">
        <v>449</v>
      </c>
      <c r="F5" s="197"/>
      <c r="N5" s="200">
        <v>5.5199999999999999E-2</v>
      </c>
      <c r="P5" s="197" t="s">
        <v>449</v>
      </c>
      <c r="Q5" s="197" t="e" cm="1">
        <f t="array" ref="Q5" xml:space="preserve"> Shares * Share Price</f>
        <v>#NAME?</v>
      </c>
    </row>
    <row r="6" spans="1:17" ht="29" x14ac:dyDescent="0.35">
      <c r="A6" s="59">
        <v>17571237330.299999</v>
      </c>
      <c r="B6" s="200"/>
      <c r="C6" s="199" t="s">
        <v>451</v>
      </c>
      <c r="D6" s="201">
        <v>38172688</v>
      </c>
      <c r="E6" s="197" t="s">
        <v>449</v>
      </c>
      <c r="F6" s="197"/>
      <c r="N6" s="200">
        <v>1.2500000000000001E-2</v>
      </c>
      <c r="P6" s="197" t="s">
        <v>449</v>
      </c>
      <c r="Q6" s="197" t="e" cm="1">
        <f t="array" ref="Q6" xml:space="preserve"> Shares * Share Price</f>
        <v>#NAME?</v>
      </c>
    </row>
    <row r="7" spans="1:17" ht="29" x14ac:dyDescent="0.35">
      <c r="A7" s="59">
        <v>19711786830</v>
      </c>
      <c r="B7" s="200"/>
      <c r="C7" s="199" t="s">
        <v>452</v>
      </c>
      <c r="D7" s="201">
        <v>28525843</v>
      </c>
      <c r="E7" s="197" t="s">
        <v>449</v>
      </c>
      <c r="F7" s="197"/>
      <c r="N7" s="200">
        <v>1.06E-2</v>
      </c>
      <c r="P7" s="197" t="s">
        <v>449</v>
      </c>
      <c r="Q7" s="197" t="e" cm="1">
        <f t="array" ref="Q7" xml:space="preserve"> Shares * Share Price</f>
        <v>#NAME?</v>
      </c>
    </row>
    <row r="8" spans="1:17" ht="29" x14ac:dyDescent="0.35">
      <c r="A8" s="59">
        <v>9216295835.2000008</v>
      </c>
      <c r="B8" s="200"/>
      <c r="C8" s="201"/>
      <c r="N8" s="200">
        <v>7.9000000000000008E-3</v>
      </c>
      <c r="P8" s="197" t="s">
        <v>449</v>
      </c>
      <c r="Q8" s="197" t="e" cm="1">
        <f t="array" ref="Q8" xml:space="preserve"> Shares * Share Price</f>
        <v>#NAME?</v>
      </c>
    </row>
    <row r="9" spans="1:17" x14ac:dyDescent="0.35">
      <c r="A9" s="59">
        <v>7213656139.3999996</v>
      </c>
      <c r="B9" s="200"/>
      <c r="C9" s="201"/>
    </row>
    <row r="10" spans="1:17" x14ac:dyDescent="0.35">
      <c r="A10" s="59">
        <v>5585258736.1999998</v>
      </c>
      <c r="B10" s="200"/>
      <c r="C10" s="201"/>
    </row>
    <row r="11" spans="1:17" x14ac:dyDescent="0.35">
      <c r="A11" s="59">
        <v>3537839940.5</v>
      </c>
      <c r="B11" s="200"/>
      <c r="C11" s="201"/>
    </row>
    <row r="12" spans="1:17" x14ac:dyDescent="0.35">
      <c r="A12" s="59">
        <v>5312074629.6999998</v>
      </c>
    </row>
    <row r="13" spans="1:17" x14ac:dyDescent="0.35">
      <c r="A13" s="59">
        <v>4971623639.1999998</v>
      </c>
    </row>
    <row r="14" spans="1:17" x14ac:dyDescent="0.35">
      <c r="A14" s="59">
        <v>12666031000.1</v>
      </c>
    </row>
    <row r="15" spans="1:17" x14ac:dyDescent="0.35">
      <c r="A15" s="59">
        <v>11501044792.200001</v>
      </c>
    </row>
    <row r="16" spans="1:17" x14ac:dyDescent="0.35">
      <c r="A16" s="59">
        <v>11854245157.299999</v>
      </c>
    </row>
    <row r="17" spans="1:1" x14ac:dyDescent="0.35">
      <c r="A17" s="59">
        <v>21005660491.099998</v>
      </c>
    </row>
    <row r="18" spans="1:1" x14ac:dyDescent="0.35">
      <c r="A18" s="59">
        <v>26782359193.5</v>
      </c>
    </row>
    <row r="19" spans="1:1" x14ac:dyDescent="0.35">
      <c r="A19" s="59">
        <v>14020750878.1</v>
      </c>
    </row>
    <row r="20" spans="1:1" x14ac:dyDescent="0.35">
      <c r="A20" s="59">
        <v>7748164028.3999996</v>
      </c>
    </row>
    <row r="21" spans="1:1" x14ac:dyDescent="0.35">
      <c r="A21" s="59">
        <v>7618389000</v>
      </c>
    </row>
    <row r="22" spans="1:1" x14ac:dyDescent="0.35">
      <c r="A22" s="59">
        <v>10007561030.200001</v>
      </c>
    </row>
    <row r="23" spans="1:1" x14ac:dyDescent="0.35">
      <c r="A23" s="59">
        <v>5293619608.8000002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U294"/>
  <sheetViews>
    <sheetView zoomScale="70" zoomScaleNormal="70" zoomScaleSheetLayoutView="100" zoomScalePageLayoutView="120" workbookViewId="0">
      <pane xSplit="1" ySplit="4" topLeftCell="D147" activePane="bottomRight" state="frozen"/>
      <selection activeCell="I2" sqref="I2"/>
      <selection pane="topRight" activeCell="I2" sqref="I2"/>
      <selection pane="bottomLeft" activeCell="I2" sqref="I2"/>
      <selection pane="bottomRight" activeCell="S50" sqref="S50:S171"/>
    </sheetView>
  </sheetViews>
  <sheetFormatPr defaultColWidth="8.81640625" defaultRowHeight="14.5" x14ac:dyDescent="0.35"/>
  <cols>
    <col min="1" max="1" width="20.6328125" customWidth="1"/>
    <col min="2" max="6" width="13.453125" customWidth="1"/>
    <col min="7" max="7" width="14.81640625" bestFit="1" customWidth="1"/>
    <col min="8" max="11" width="13.453125" customWidth="1"/>
    <col min="12" max="12" width="13.36328125" customWidth="1"/>
    <col min="13" max="14" width="12.1796875" customWidth="1"/>
  </cols>
  <sheetData>
    <row r="1" spans="1:14" s="2" customFormat="1" x14ac:dyDescent="0.35">
      <c r="A1" s="2" t="str">
        <f>'Data Sheet'!B1</f>
        <v>TATA CONSULTANCY SERVICES LTD</v>
      </c>
      <c r="H1" t="str">
        <f>UPDATE</f>
        <v/>
      </c>
      <c r="J1" s="3"/>
      <c r="K1" s="3"/>
      <c r="M1" s="2" t="s">
        <v>1</v>
      </c>
    </row>
    <row r="3" spans="1:14" s="2" customFormat="1" x14ac:dyDescent="0.35">
      <c r="A3" s="11" t="s">
        <v>2</v>
      </c>
      <c r="B3" s="12">
        <f>'Data Sheet'!B16</f>
        <v>42825</v>
      </c>
      <c r="C3" s="12">
        <f>'Data Sheet'!C16</f>
        <v>43190</v>
      </c>
      <c r="D3" s="12">
        <f>'Data Sheet'!D16</f>
        <v>43555</v>
      </c>
      <c r="E3" s="12">
        <f>'Data Sheet'!E16</f>
        <v>43921</v>
      </c>
      <c r="F3" s="12">
        <f>'Data Sheet'!F16</f>
        <v>44286</v>
      </c>
      <c r="G3" s="12">
        <f>'Data Sheet'!G16</f>
        <v>44651</v>
      </c>
      <c r="H3" s="12">
        <f>'Data Sheet'!H16</f>
        <v>45016</v>
      </c>
      <c r="I3" s="12">
        <f>'Data Sheet'!I16</f>
        <v>45382</v>
      </c>
      <c r="J3" s="12">
        <f>'Data Sheet'!J16</f>
        <v>45747</v>
      </c>
      <c r="K3" s="12">
        <f>'Data Sheet'!K16</f>
        <v>46112</v>
      </c>
      <c r="L3" s="13" t="s">
        <v>3</v>
      </c>
      <c r="M3" s="13" t="s">
        <v>4</v>
      </c>
      <c r="N3" s="13" t="s">
        <v>5</v>
      </c>
    </row>
    <row r="4" spans="1:14" s="2" customFormat="1" x14ac:dyDescent="0.35">
      <c r="A4" s="2" t="s">
        <v>6</v>
      </c>
      <c r="B4" s="1">
        <f>'Data Sheet'!B17</f>
        <v>117966</v>
      </c>
      <c r="C4" s="1">
        <f>'Data Sheet'!C17</f>
        <v>123104</v>
      </c>
      <c r="D4" s="1">
        <f>'Data Sheet'!D17</f>
        <v>146463</v>
      </c>
      <c r="E4" s="1">
        <f>'Data Sheet'!E17</f>
        <v>156949</v>
      </c>
      <c r="F4" s="1">
        <f>'Data Sheet'!F17</f>
        <v>164177</v>
      </c>
      <c r="G4" s="1">
        <f>'Data Sheet'!G17</f>
        <v>191754</v>
      </c>
      <c r="H4" s="1">
        <f>'Data Sheet'!H17</f>
        <v>225458</v>
      </c>
      <c r="I4" s="1">
        <f>'Data Sheet'!I17</f>
        <v>240893</v>
      </c>
      <c r="J4" s="1">
        <f>'Data Sheet'!J17</f>
        <v>255324</v>
      </c>
      <c r="K4" s="1">
        <f>'Data Sheet'!K17</f>
        <v>267021</v>
      </c>
      <c r="L4" s="1">
        <f>SUM(Quarters!H4:K4)</f>
        <v>275859</v>
      </c>
      <c r="M4" s="1">
        <f>$K4+M23*K4</f>
        <v>282513.15420191351</v>
      </c>
      <c r="N4" s="1">
        <f>$K4+N23*L4</f>
        <v>279658.75721436291</v>
      </c>
    </row>
    <row r="5" spans="1:14" x14ac:dyDescent="0.35">
      <c r="A5" t="s">
        <v>7</v>
      </c>
      <c r="B5" s="6">
        <f>SUM('Data Sheet'!B18,'Data Sheet'!B20:B24, -1*'Data Sheet'!B19)</f>
        <v>85655</v>
      </c>
      <c r="C5" s="6">
        <f>SUM('Data Sheet'!C18,'Data Sheet'!C20:C24, -1*'Data Sheet'!C19)</f>
        <v>90588</v>
      </c>
      <c r="D5" s="6">
        <f>SUM('Data Sheet'!D18,'Data Sheet'!D20:D24, -1*'Data Sheet'!D19)</f>
        <v>106957</v>
      </c>
      <c r="E5" s="6">
        <f>SUM('Data Sheet'!E18,'Data Sheet'!E20:E24, -1*'Data Sheet'!E19)</f>
        <v>114840</v>
      </c>
      <c r="F5" s="6">
        <f>SUM('Data Sheet'!F18,'Data Sheet'!F20:F24, -1*'Data Sheet'!F19)</f>
        <v>117631</v>
      </c>
      <c r="G5" s="6">
        <f>SUM('Data Sheet'!G18,'Data Sheet'!G20:G24, -1*'Data Sheet'!G19)</f>
        <v>138697</v>
      </c>
      <c r="H5" s="6">
        <f>SUM('Data Sheet'!H18,'Data Sheet'!H20:H24, -1*'Data Sheet'!H19)</f>
        <v>166199</v>
      </c>
      <c r="I5" s="6">
        <f>SUM('Data Sheet'!I18,'Data Sheet'!I20:I24, -1*'Data Sheet'!I19)</f>
        <v>176597</v>
      </c>
      <c r="J5" s="6">
        <f>SUM('Data Sheet'!J18,'Data Sheet'!J20:J24, -1*'Data Sheet'!J19)</f>
        <v>187917</v>
      </c>
      <c r="K5" s="6">
        <f>SUM('Data Sheet'!K18,'Data Sheet'!K20:K24, -1*'Data Sheet'!K19)</f>
        <v>194623</v>
      </c>
      <c r="L5" s="6">
        <f>SUM(Quarters!H5:K5)</f>
        <v>201780</v>
      </c>
      <c r="M5" s="6">
        <f t="shared" ref="M5:N5" si="0">M4-M6</f>
        <v>206647.25187455222</v>
      </c>
      <c r="N5" s="6">
        <f t="shared" si="0"/>
        <v>204873.91682878375</v>
      </c>
    </row>
    <row r="6" spans="1:14" s="2" customFormat="1" x14ac:dyDescent="0.35">
      <c r="A6" s="2" t="s">
        <v>8</v>
      </c>
      <c r="B6" s="1">
        <f>B4-B5</f>
        <v>32311</v>
      </c>
      <c r="C6" s="1">
        <f t="shared" ref="C6:K6" si="1">C4-C5</f>
        <v>32516</v>
      </c>
      <c r="D6" s="1">
        <f t="shared" si="1"/>
        <v>39506</v>
      </c>
      <c r="E6" s="1">
        <f t="shared" si="1"/>
        <v>42109</v>
      </c>
      <c r="F6" s="1">
        <f t="shared" si="1"/>
        <v>46546</v>
      </c>
      <c r="G6" s="1">
        <f t="shared" si="1"/>
        <v>53057</v>
      </c>
      <c r="H6" s="1">
        <f t="shared" si="1"/>
        <v>59259</v>
      </c>
      <c r="I6" s="1">
        <f t="shared" si="1"/>
        <v>64296</v>
      </c>
      <c r="J6" s="1">
        <f t="shared" si="1"/>
        <v>67407</v>
      </c>
      <c r="K6" s="1">
        <f t="shared" si="1"/>
        <v>72398</v>
      </c>
      <c r="L6" s="1">
        <f>SUM(Quarters!H6:K6)</f>
        <v>74079</v>
      </c>
      <c r="M6" s="1">
        <f>M4*M24</f>
        <v>75865.902327361269</v>
      </c>
      <c r="N6" s="1">
        <f>N4*N24</f>
        <v>74784.840385579169</v>
      </c>
    </row>
    <row r="7" spans="1:14" x14ac:dyDescent="0.35">
      <c r="A7" t="s">
        <v>9</v>
      </c>
      <c r="B7" s="6">
        <f>'Data Sheet'!B25</f>
        <v>4221</v>
      </c>
      <c r="C7" s="6">
        <f>'Data Sheet'!C25</f>
        <v>3642</v>
      </c>
      <c r="D7" s="6">
        <f>'Data Sheet'!D25</f>
        <v>4311</v>
      </c>
      <c r="E7" s="6">
        <f>'Data Sheet'!E25</f>
        <v>4592</v>
      </c>
      <c r="F7" s="6">
        <f>'Data Sheet'!F25</f>
        <v>1916</v>
      </c>
      <c r="G7" s="6">
        <f>'Data Sheet'!G25</f>
        <v>4018</v>
      </c>
      <c r="H7" s="6">
        <f>'Data Sheet'!H25</f>
        <v>3449</v>
      </c>
      <c r="I7" s="6">
        <f>'Data Sheet'!I25</f>
        <v>3464</v>
      </c>
      <c r="J7" s="6">
        <f>'Data Sheet'!J25</f>
        <v>3962</v>
      </c>
      <c r="K7" s="6">
        <f>'Data Sheet'!K25</f>
        <v>-124</v>
      </c>
      <c r="L7" s="6">
        <f>SUM(Quarters!H7:K7)</f>
        <v>-884</v>
      </c>
      <c r="M7" s="6">
        <v>0</v>
      </c>
      <c r="N7" s="6">
        <v>0</v>
      </c>
    </row>
    <row r="8" spans="1:14" x14ac:dyDescent="0.35">
      <c r="A8" t="s">
        <v>10</v>
      </c>
      <c r="B8" s="6">
        <f>'Data Sheet'!B26</f>
        <v>1987</v>
      </c>
      <c r="C8" s="6">
        <f>'Data Sheet'!C26</f>
        <v>2014</v>
      </c>
      <c r="D8" s="6">
        <f>'Data Sheet'!D26</f>
        <v>2056</v>
      </c>
      <c r="E8" s="6">
        <f>'Data Sheet'!E26</f>
        <v>3529</v>
      </c>
      <c r="F8" s="6">
        <f>'Data Sheet'!F26</f>
        <v>4065</v>
      </c>
      <c r="G8" s="6">
        <f>'Data Sheet'!G26</f>
        <v>4604</v>
      </c>
      <c r="H8" s="6">
        <f>'Data Sheet'!H26</f>
        <v>5022</v>
      </c>
      <c r="I8" s="6">
        <f>'Data Sheet'!I26</f>
        <v>4985</v>
      </c>
      <c r="J8" s="6">
        <f>'Data Sheet'!J26</f>
        <v>5242</v>
      </c>
      <c r="K8" s="6">
        <f>'Data Sheet'!K26</f>
        <v>5560</v>
      </c>
      <c r="L8" s="6">
        <f>SUM(Quarters!H8:K8)</f>
        <v>5438</v>
      </c>
      <c r="M8" s="6">
        <f>+$L8</f>
        <v>5438</v>
      </c>
      <c r="N8" s="6">
        <f>+$L8</f>
        <v>5438</v>
      </c>
    </row>
    <row r="9" spans="1:14" x14ac:dyDescent="0.35">
      <c r="A9" t="s">
        <v>11</v>
      </c>
      <c r="B9" s="6">
        <f>'Data Sheet'!B27</f>
        <v>32</v>
      </c>
      <c r="C9" s="6">
        <f>'Data Sheet'!C27</f>
        <v>52</v>
      </c>
      <c r="D9" s="6">
        <f>'Data Sheet'!D27</f>
        <v>198</v>
      </c>
      <c r="E9" s="6">
        <f>'Data Sheet'!E27</f>
        <v>924</v>
      </c>
      <c r="F9" s="6">
        <f>'Data Sheet'!F27</f>
        <v>637</v>
      </c>
      <c r="G9" s="6">
        <f>'Data Sheet'!G27</f>
        <v>784</v>
      </c>
      <c r="H9" s="6">
        <f>'Data Sheet'!H27</f>
        <v>779</v>
      </c>
      <c r="I9" s="6">
        <f>'Data Sheet'!I27</f>
        <v>778</v>
      </c>
      <c r="J9" s="6">
        <f>'Data Sheet'!J27</f>
        <v>796</v>
      </c>
      <c r="K9" s="6">
        <f>'Data Sheet'!K27</f>
        <v>1227</v>
      </c>
      <c r="L9" s="6">
        <f>SUM(Quarters!H9:K9)</f>
        <v>1305</v>
      </c>
      <c r="M9" s="6">
        <f>+$L9</f>
        <v>1305</v>
      </c>
      <c r="N9" s="6">
        <f>+$L9</f>
        <v>1305</v>
      </c>
    </row>
    <row r="10" spans="1:14" x14ac:dyDescent="0.35">
      <c r="A10" t="s">
        <v>12</v>
      </c>
      <c r="B10" s="6">
        <f>'Data Sheet'!B28</f>
        <v>34513</v>
      </c>
      <c r="C10" s="6">
        <f>'Data Sheet'!C28</f>
        <v>34092</v>
      </c>
      <c r="D10" s="6">
        <f>'Data Sheet'!D28</f>
        <v>41563</v>
      </c>
      <c r="E10" s="6">
        <f>'Data Sheet'!E28</f>
        <v>42248</v>
      </c>
      <c r="F10" s="6">
        <f>'Data Sheet'!F28</f>
        <v>43760</v>
      </c>
      <c r="G10" s="6">
        <f>'Data Sheet'!G28</f>
        <v>51687</v>
      </c>
      <c r="H10" s="6">
        <f>'Data Sheet'!H28</f>
        <v>56907</v>
      </c>
      <c r="I10" s="6">
        <f>'Data Sheet'!I28</f>
        <v>61997</v>
      </c>
      <c r="J10" s="6">
        <f>'Data Sheet'!J28</f>
        <v>65331</v>
      </c>
      <c r="K10" s="6">
        <f>'Data Sheet'!K28</f>
        <v>65487</v>
      </c>
      <c r="L10" s="6">
        <f>SUM(Quarters!H10:K10)</f>
        <v>66452</v>
      </c>
      <c r="M10" s="6">
        <f>M6+M7-SUM(M8:M9)</f>
        <v>69122.902327361269</v>
      </c>
      <c r="N10" s="6">
        <f>N6+N7-SUM(N8:N9)</f>
        <v>68041.840385579169</v>
      </c>
    </row>
    <row r="11" spans="1:14" x14ac:dyDescent="0.35">
      <c r="A11" t="s">
        <v>13</v>
      </c>
      <c r="B11" s="6">
        <f>'Data Sheet'!B29</f>
        <v>8156</v>
      </c>
      <c r="C11" s="6">
        <f>'Data Sheet'!C29</f>
        <v>8212</v>
      </c>
      <c r="D11" s="6">
        <f>'Data Sheet'!D29</f>
        <v>10001</v>
      </c>
      <c r="E11" s="6">
        <f>'Data Sheet'!E29</f>
        <v>9801</v>
      </c>
      <c r="F11" s="6">
        <f>'Data Sheet'!F29</f>
        <v>11198</v>
      </c>
      <c r="G11" s="6">
        <f>'Data Sheet'!G29</f>
        <v>13238</v>
      </c>
      <c r="H11" s="6">
        <f>'Data Sheet'!H29</f>
        <v>14604</v>
      </c>
      <c r="I11" s="6">
        <f>'Data Sheet'!I29</f>
        <v>15898</v>
      </c>
      <c r="J11" s="6">
        <f>'Data Sheet'!J29</f>
        <v>16534</v>
      </c>
      <c r="K11" s="6">
        <f>'Data Sheet'!K29</f>
        <v>16033</v>
      </c>
      <c r="L11" s="6">
        <f>SUM(Quarters!H11:K11)</f>
        <v>16397</v>
      </c>
      <c r="M11" s="7">
        <f>IF($L10&gt;0,$L11/$L10,0)</f>
        <v>0.24674953349786313</v>
      </c>
      <c r="N11" s="7">
        <f>IF($L10&gt;0,$L11/$L10,0)</f>
        <v>0.24674953349786313</v>
      </c>
    </row>
    <row r="12" spans="1:14" s="2" customFormat="1" x14ac:dyDescent="0.35">
      <c r="A12" s="2" t="s">
        <v>14</v>
      </c>
      <c r="B12" s="1">
        <f>'Data Sheet'!B30</f>
        <v>26289</v>
      </c>
      <c r="C12" s="1">
        <f>'Data Sheet'!C30</f>
        <v>25826</v>
      </c>
      <c r="D12" s="1">
        <f>'Data Sheet'!D30</f>
        <v>31472</v>
      </c>
      <c r="E12" s="1">
        <f>'Data Sheet'!E30</f>
        <v>32340</v>
      </c>
      <c r="F12" s="1">
        <f>'Data Sheet'!F30</f>
        <v>32430</v>
      </c>
      <c r="G12" s="1">
        <f>'Data Sheet'!G30</f>
        <v>38327</v>
      </c>
      <c r="H12" s="1">
        <f>'Data Sheet'!H30</f>
        <v>42147</v>
      </c>
      <c r="I12" s="1">
        <f>'Data Sheet'!I30</f>
        <v>45908</v>
      </c>
      <c r="J12" s="1">
        <f>'Data Sheet'!J30</f>
        <v>48553</v>
      </c>
      <c r="K12" s="1">
        <f>'Data Sheet'!K30</f>
        <v>49210</v>
      </c>
      <c r="L12" s="1">
        <f>SUM(Quarters!H12:K12)</f>
        <v>49799</v>
      </c>
      <c r="M12" s="1">
        <f>M10-M11*M10</f>
        <v>52066.858424066522</v>
      </c>
      <c r="N12" s="1">
        <f>N10-N11*N10</f>
        <v>51252.548012101441</v>
      </c>
    </row>
    <row r="13" spans="1:14" x14ac:dyDescent="0.35">
      <c r="A13" t="s">
        <v>57</v>
      </c>
      <c r="B13" s="6">
        <f>IF('Data Sheet'!B93&gt;0,B12/'Data Sheet'!B93,0)</f>
        <v>66.708112360120793</v>
      </c>
      <c r="C13" s="6">
        <f>IF('Data Sheet'!C93&gt;0,C12/'Data Sheet'!C93,0)</f>
        <v>67.455466750248135</v>
      </c>
      <c r="D13" s="6">
        <f>IF('Data Sheet'!D93&gt;0,D12/'Data Sheet'!D93,0)</f>
        <v>83.871655473830074</v>
      </c>
      <c r="E13" s="6">
        <f>IF('Data Sheet'!E93&gt;0,E12/'Data Sheet'!E93,0)</f>
        <v>86.184841701311157</v>
      </c>
      <c r="F13" s="6">
        <f>IF('Data Sheet'!F93&gt;0,F12/'Data Sheet'!F93,0)</f>
        <v>87.669973777405303</v>
      </c>
      <c r="G13" s="6">
        <f>IF('Data Sheet'!G93&gt;0,G12/'Data Sheet'!G93,0)</f>
        <v>104.74433603891667</v>
      </c>
      <c r="H13" s="6">
        <f>IF('Data Sheet'!H93&gt;0,H12/'Data Sheet'!H93,0)</f>
        <v>115.1840616545052</v>
      </c>
      <c r="I13" s="6">
        <f>IF('Data Sheet'!I93&gt;0,I12/'Data Sheet'!I93,0)</f>
        <v>126.88427627760427</v>
      </c>
      <c r="J13" s="6">
        <f>IF('Data Sheet'!J93&gt;0,J12/'Data Sheet'!J93,0)</f>
        <v>134.1947430972057</v>
      </c>
      <c r="K13" s="6">
        <f>IF('Data Sheet'!K93&gt;0,K12/'Data Sheet'!K93,0)</f>
        <v>136.01061330532599</v>
      </c>
      <c r="L13" s="6">
        <f>IF('Data Sheet'!$B6&gt;0,'Profit &amp; Loss'!L12/'Data Sheet'!$B6,0)</f>
        <v>137.63901492657774</v>
      </c>
      <c r="M13" s="6">
        <f>IF('Data Sheet'!$B6&gt;0,'Profit &amp; Loss'!M12/'Data Sheet'!$B6,0)</f>
        <v>143.90712873371157</v>
      </c>
      <c r="N13" s="6">
        <f>IF('Data Sheet'!$B6&gt;0,'Profit &amp; Loss'!N12/'Data Sheet'!$B6,0)</f>
        <v>141.65646340012395</v>
      </c>
    </row>
    <row r="14" spans="1:14" x14ac:dyDescent="0.35">
      <c r="A14" t="s">
        <v>16</v>
      </c>
      <c r="B14" s="6">
        <f>IF(B15&gt;0,B15/B13,"")</f>
        <v>18.227168435467306</v>
      </c>
      <c r="C14" s="6">
        <f t="shared" ref="C14:K14" si="2">IF(C15&gt;0,C15/C13,"")</f>
        <v>21.118822070781381</v>
      </c>
      <c r="D14" s="6">
        <f t="shared" si="2"/>
        <v>23.865631227758012</v>
      </c>
      <c r="E14" s="6">
        <f t="shared" si="2"/>
        <v>21.188180705009277</v>
      </c>
      <c r="F14" s="6">
        <f t="shared" si="2"/>
        <v>36.247872139993838</v>
      </c>
      <c r="G14" s="6">
        <f t="shared" si="2"/>
        <v>35.705510593054505</v>
      </c>
      <c r="H14" s="6">
        <f t="shared" si="2"/>
        <v>27.832843832301233</v>
      </c>
      <c r="I14" s="6">
        <f t="shared" si="2"/>
        <v>30.549884617060208</v>
      </c>
      <c r="J14" s="6">
        <f t="shared" si="2"/>
        <v>26.872513160875748</v>
      </c>
      <c r="K14" s="6">
        <f t="shared" si="2"/>
        <v>17.343499471652105</v>
      </c>
      <c r="L14" s="6">
        <f t="shared" ref="L14" si="3">IF(L13&gt;0,L15/L13,0)</f>
        <v>17.186987288901388</v>
      </c>
      <c r="M14" s="6">
        <f>M25</f>
        <v>22.988221134622364</v>
      </c>
      <c r="N14" s="6">
        <f>N25</f>
        <v>17.186987288901388</v>
      </c>
    </row>
    <row r="15" spans="1:14" s="2" customFormat="1" x14ac:dyDescent="0.35">
      <c r="A15" s="2" t="s">
        <v>58</v>
      </c>
      <c r="B15" s="1">
        <f>'Data Sheet'!B90</f>
        <v>1215.9000000000001</v>
      </c>
      <c r="C15" s="1">
        <f>'Data Sheet'!C90</f>
        <v>1424.58</v>
      </c>
      <c r="D15" s="1">
        <f>'Data Sheet'!D90</f>
        <v>2001.65</v>
      </c>
      <c r="E15" s="1">
        <f>'Data Sheet'!E90</f>
        <v>1826.1</v>
      </c>
      <c r="F15" s="1">
        <f>'Data Sheet'!F90</f>
        <v>3177.85</v>
      </c>
      <c r="G15" s="1">
        <f>'Data Sheet'!G90</f>
        <v>3739.95</v>
      </c>
      <c r="H15" s="1">
        <f>'Data Sheet'!H90</f>
        <v>3205.9</v>
      </c>
      <c r="I15" s="1">
        <f>'Data Sheet'!I90</f>
        <v>3876.3</v>
      </c>
      <c r="J15" s="1">
        <f>'Data Sheet'!J90</f>
        <v>3606.15</v>
      </c>
      <c r="K15" s="1">
        <f>'Data Sheet'!K90</f>
        <v>2358.9</v>
      </c>
      <c r="L15" s="1">
        <f>'Data Sheet'!B8</f>
        <v>2365.6</v>
      </c>
      <c r="M15" s="8">
        <f>M13*M14</f>
        <v>3308.1688981791299</v>
      </c>
      <c r="N15" s="9">
        <f>N13*N14</f>
        <v>2434.6478358486552</v>
      </c>
    </row>
    <row r="17" spans="1:14" s="2" customFormat="1" x14ac:dyDescent="0.35">
      <c r="A17" s="2" t="s">
        <v>15</v>
      </c>
    </row>
    <row r="18" spans="1:14" x14ac:dyDescent="0.35">
      <c r="A18" t="s">
        <v>17</v>
      </c>
      <c r="B18" s="5">
        <f>IF('Data Sheet'!B30&gt;0, 'Data Sheet'!B31/'Data Sheet'!B30, 0)</f>
        <v>0.35220054014987257</v>
      </c>
      <c r="C18" s="5">
        <f>IF('Data Sheet'!C30&gt;0, 'Data Sheet'!C31/'Data Sheet'!C30, 0)</f>
        <v>0.36978238983969641</v>
      </c>
      <c r="D18" s="5">
        <f>IF('Data Sheet'!D30&gt;0, 'Data Sheet'!D31/'Data Sheet'!D30, 0)</f>
        <v>0.3574605998983223</v>
      </c>
      <c r="E18" s="5">
        <f>IF('Data Sheet'!E30&gt;0, 'Data Sheet'!E31/'Data Sheet'!E30, 0)</f>
        <v>0.84647495361781078</v>
      </c>
      <c r="F18" s="5">
        <f>IF('Data Sheet'!F30&gt;0, 'Data Sheet'!F31/'Data Sheet'!F30, 0)</f>
        <v>0.4335491828553808</v>
      </c>
      <c r="G18" s="5">
        <f>IF('Data Sheet'!G30&gt;0, 'Data Sheet'!G31/'Data Sheet'!G30, 0)</f>
        <v>0.41062436402536073</v>
      </c>
      <c r="H18" s="5">
        <f>IF('Data Sheet'!H30&gt;0, 'Data Sheet'!H31/'Data Sheet'!H30, 0)</f>
        <v>0.99864759057584174</v>
      </c>
      <c r="I18" s="5">
        <f>IF('Data Sheet'!I30&gt;0, 'Data Sheet'!I31/'Data Sheet'!I30, 0)</f>
        <v>0.57562951990938394</v>
      </c>
      <c r="J18" s="5">
        <f>IF('Data Sheet'!J30&gt;0, 'Data Sheet'!J31/'Data Sheet'!J30, 0)</f>
        <v>0.93942701789796712</v>
      </c>
      <c r="K18" s="5">
        <f>IF('Data Sheet'!K30&gt;0, 'Data Sheet'!K31/'Data Sheet'!K30, 0)</f>
        <v>0.80918512497459871</v>
      </c>
    </row>
    <row r="19" spans="1:14" x14ac:dyDescent="0.35">
      <c r="A19" t="s">
        <v>18</v>
      </c>
      <c r="B19" s="5">
        <f t="shared" ref="B19:L19" si="4">IF(B6&gt;0,B6/B4,0)</f>
        <v>0.27390095451231711</v>
      </c>
      <c r="C19" s="5">
        <f t="shared" ref="C19:K19" si="5">IF(C6&gt;0,C6/C4,0)</f>
        <v>0.26413439043410447</v>
      </c>
      <c r="D19" s="5">
        <f t="shared" si="5"/>
        <v>0.26973365286795981</v>
      </c>
      <c r="E19" s="5">
        <f t="shared" si="5"/>
        <v>0.26829734499741953</v>
      </c>
      <c r="F19" s="5">
        <f t="shared" si="5"/>
        <v>0.28351108864213626</v>
      </c>
      <c r="G19" s="5">
        <f t="shared" si="5"/>
        <v>0.27669305464292793</v>
      </c>
      <c r="H19" s="5">
        <f t="shared" si="5"/>
        <v>0.26283831134845514</v>
      </c>
      <c r="I19" s="5">
        <f t="shared" si="5"/>
        <v>0.26690688396923118</v>
      </c>
      <c r="J19" s="5">
        <f t="shared" si="5"/>
        <v>0.26400573389105608</v>
      </c>
      <c r="K19" s="5">
        <f t="shared" si="5"/>
        <v>0.27113223304534101</v>
      </c>
      <c r="L19" s="5">
        <f t="shared" si="4"/>
        <v>0.26853936250040783</v>
      </c>
    </row>
    <row r="20" spans="1:14" x14ac:dyDescent="0.35">
      <c r="B20" s="5"/>
      <c r="C20" s="5"/>
      <c r="D20" s="5"/>
      <c r="E20" s="5"/>
      <c r="F20" s="5"/>
      <c r="G20" s="5"/>
      <c r="H20" s="5"/>
      <c r="I20" s="5"/>
      <c r="J20" s="5"/>
      <c r="K20" s="5"/>
      <c r="L20" s="5"/>
    </row>
    <row r="21" spans="1:14" x14ac:dyDescent="0.35">
      <c r="B21" s="5"/>
      <c r="C21" s="5"/>
      <c r="D21" s="5"/>
      <c r="E21" s="5"/>
      <c r="F21" s="5"/>
      <c r="G21" s="5"/>
      <c r="H21" s="5"/>
      <c r="I21" s="5"/>
      <c r="J21" s="5"/>
      <c r="K21" s="5"/>
      <c r="L21" s="5"/>
    </row>
    <row r="22" spans="1:14" s="2" customFormat="1" x14ac:dyDescent="0.35">
      <c r="A22" s="11"/>
      <c r="B22" s="12"/>
      <c r="C22" s="12"/>
      <c r="D22" s="12"/>
      <c r="E22" s="12"/>
      <c r="F22" s="12"/>
      <c r="G22" s="12" t="s">
        <v>19</v>
      </c>
      <c r="H22" s="12" t="s">
        <v>65</v>
      </c>
      <c r="I22" s="12" t="s">
        <v>66</v>
      </c>
      <c r="J22" s="12" t="s">
        <v>67</v>
      </c>
      <c r="K22" s="12" t="s">
        <v>68</v>
      </c>
      <c r="L22" s="13" t="s">
        <v>69</v>
      </c>
      <c r="M22" s="13" t="s">
        <v>20</v>
      </c>
      <c r="N22" s="13" t="s">
        <v>21</v>
      </c>
    </row>
    <row r="23" spans="1:14" s="2" customFormat="1" x14ac:dyDescent="0.35">
      <c r="A23"/>
      <c r="B23"/>
      <c r="C23"/>
      <c r="D23"/>
      <c r="E23"/>
      <c r="F23"/>
      <c r="G23" t="s">
        <v>22</v>
      </c>
      <c r="H23" s="5">
        <f>IF(B4=0,"",POWER($K4/B4,1/9)-1)</f>
        <v>9.5017226945995237E-2</v>
      </c>
      <c r="I23" s="5">
        <f>IF(D4=0,"",POWER($K4/D4,1/7)-1)</f>
        <v>8.9581301888085552E-2</v>
      </c>
      <c r="J23" s="5">
        <f>IF(F4=0,"",POWER($K4/F4,1/5)-1)</f>
        <v>0.1021650124358422</v>
      </c>
      <c r="K23" s="5">
        <f>IF(H4=0,"",POWER($K4/H4, 1/3)-1)</f>
        <v>5.8018486193645913E-2</v>
      </c>
      <c r="L23" s="5">
        <f>IF(ISERROR(MAX(IF(J4=0,"",(K4-J4)/J4),IF(K4=0,"",(L4-K4)/K4))),"",MAX(IF(J4=0,"",(K4-J4)/J4),IF(K4=0,"",(L4-K4)/K4)))</f>
        <v>4.5812379564788272E-2</v>
      </c>
      <c r="M23" s="16">
        <f>MAX(K23:L23)</f>
        <v>5.8018486193645913E-2</v>
      </c>
      <c r="N23" s="16">
        <f>MIN(H23:L23)</f>
        <v>4.5812379564788272E-2</v>
      </c>
    </row>
    <row r="24" spans="1:14" x14ac:dyDescent="0.35">
      <c r="G24" t="s">
        <v>18</v>
      </c>
      <c r="H24" s="5">
        <f>IF(SUM(B4:$K$4)=0,"",SUMPRODUCT(B19:$K$19,B4:$K$4)/SUM(B4:$K$4))</f>
        <v>0.26965357742724216</v>
      </c>
      <c r="I24" s="5">
        <f>IF(SUM(E4:$K$4)=0,"",SUMPRODUCT(E19:$K$19,E4:$K$4)/SUM(E4:$K$4))</f>
        <v>0.26976456736122578</v>
      </c>
      <c r="J24" s="5">
        <f>IF(SUM(G4:$K$4)=0,"",SUMPRODUCT(G19:$K$19,G4:$K$4)/SUM(G4:$K$4))</f>
        <v>0.2680477783895972</v>
      </c>
      <c r="K24" s="5">
        <f>IF(SUM(I4:$K$4)=0, "", SUMPRODUCT(I19:$K$19,I4:$K$4)/SUM(I4:$K$4))</f>
        <v>0.26741462034123037</v>
      </c>
      <c r="L24" s="5">
        <f>L19</f>
        <v>0.26853936250040783</v>
      </c>
      <c r="M24" s="16">
        <f>MAX(K24:L24)</f>
        <v>0.26853936250040783</v>
      </c>
      <c r="N24" s="16">
        <f>MIN(H24:L24)</f>
        <v>0.26741462034123037</v>
      </c>
    </row>
    <row r="25" spans="1:14" x14ac:dyDescent="0.35">
      <c r="G25" t="s">
        <v>23</v>
      </c>
      <c r="H25" s="6">
        <f>IF(ISERROR(AVERAGEIF(B14:$L14,"&gt;0")),"",AVERAGEIF(B14:$L14,"&gt;0"))</f>
        <v>25.103537594804994</v>
      </c>
      <c r="I25" s="6">
        <f>IF(ISERROR(AVERAGEIF(E14:$L14,"&gt;0")),"",AVERAGEIF(E14:$L14,"&gt;0"))</f>
        <v>26.615911476106039</v>
      </c>
      <c r="J25" s="6">
        <f>IF(ISERROR(AVERAGEIF(G14:$L14,"&gt;0")),"",AVERAGEIF(G14:$L14,"&gt;0"))</f>
        <v>25.915206493974196</v>
      </c>
      <c r="K25" s="6">
        <f>IF(ISERROR(AVERAGEIF(I14:$L14,"&gt;0")),"",AVERAGEIF(I14:$L14,"&gt;0"))</f>
        <v>22.988221134622364</v>
      </c>
      <c r="L25" s="6">
        <f>L14</f>
        <v>17.186987288901388</v>
      </c>
      <c r="M25" s="1">
        <f>MAX(K25:L25)</f>
        <v>22.988221134622364</v>
      </c>
      <c r="N25" s="1">
        <f>MIN(H25:L25)</f>
        <v>17.186987288901388</v>
      </c>
    </row>
    <row r="49" spans="5:21" x14ac:dyDescent="0.35">
      <c r="E49" t="s">
        <v>208</v>
      </c>
      <c r="F49" t="s">
        <v>209</v>
      </c>
      <c r="G49" t="s">
        <v>210</v>
      </c>
      <c r="H49" t="s">
        <v>211</v>
      </c>
      <c r="I49" t="s">
        <v>212</v>
      </c>
      <c r="J49" t="s">
        <v>213</v>
      </c>
      <c r="K49" t="s">
        <v>214</v>
      </c>
      <c r="L49" t="s">
        <v>215</v>
      </c>
      <c r="N49" t="s">
        <v>208</v>
      </c>
      <c r="O49" t="s">
        <v>209</v>
      </c>
      <c r="P49" t="s">
        <v>210</v>
      </c>
      <c r="Q49" t="s">
        <v>211</v>
      </c>
      <c r="R49" t="s">
        <v>212</v>
      </c>
      <c r="S49" t="s">
        <v>221</v>
      </c>
      <c r="T49" t="s">
        <v>220</v>
      </c>
      <c r="U49" t="s">
        <v>219</v>
      </c>
    </row>
    <row r="50" spans="5:21" x14ac:dyDescent="0.35">
      <c r="E50" s="98">
        <v>46234</v>
      </c>
      <c r="F50">
        <v>24361.45</v>
      </c>
      <c r="G50">
        <v>24429.4</v>
      </c>
      <c r="H50">
        <v>24299.7</v>
      </c>
      <c r="I50">
        <v>24383.599999999999</v>
      </c>
      <c r="J50">
        <v>411693361</v>
      </c>
      <c r="K50">
        <v>34459.53</v>
      </c>
      <c r="N50" s="98">
        <v>45931</v>
      </c>
      <c r="O50">
        <v>11.065</v>
      </c>
      <c r="P50">
        <v>11.255000000000001</v>
      </c>
      <c r="Q50">
        <v>10.1525</v>
      </c>
      <c r="R50">
        <v>10.29</v>
      </c>
      <c r="S50">
        <v>11.065</v>
      </c>
      <c r="T50">
        <v>-0.78</v>
      </c>
      <c r="U50">
        <v>-7</v>
      </c>
    </row>
    <row r="51" spans="5:21" x14ac:dyDescent="0.35">
      <c r="E51" s="98">
        <v>46233</v>
      </c>
      <c r="F51">
        <v>24249.55</v>
      </c>
      <c r="G51">
        <v>24342.95</v>
      </c>
      <c r="H51">
        <v>24187.1</v>
      </c>
      <c r="I51">
        <v>24317.15</v>
      </c>
      <c r="J51">
        <v>400636260</v>
      </c>
      <c r="K51">
        <v>33566.22</v>
      </c>
      <c r="N51" s="98">
        <v>45933</v>
      </c>
      <c r="O51">
        <v>10.2875</v>
      </c>
      <c r="P51">
        <v>10.6225</v>
      </c>
      <c r="Q51">
        <v>9.9450000000000003</v>
      </c>
      <c r="R51">
        <v>10.06</v>
      </c>
      <c r="S51">
        <v>10.2875</v>
      </c>
      <c r="T51">
        <v>-0.23</v>
      </c>
      <c r="U51">
        <v>-2.21</v>
      </c>
    </row>
    <row r="52" spans="5:21" x14ac:dyDescent="0.35">
      <c r="E52" s="98">
        <v>46232</v>
      </c>
      <c r="F52">
        <v>24176.65</v>
      </c>
      <c r="G52">
        <v>24283.55</v>
      </c>
      <c r="H52">
        <v>24136.75</v>
      </c>
      <c r="I52">
        <v>24250.2</v>
      </c>
      <c r="J52">
        <v>424150311</v>
      </c>
      <c r="K52">
        <v>34189.33</v>
      </c>
      <c r="N52" s="98">
        <v>45936</v>
      </c>
      <c r="O52">
        <v>10.06</v>
      </c>
      <c r="P52">
        <v>10.5375</v>
      </c>
      <c r="Q52">
        <v>9.6575000000000006</v>
      </c>
      <c r="R52">
        <v>10.19</v>
      </c>
      <c r="S52">
        <v>10.06</v>
      </c>
      <c r="T52">
        <v>0.13</v>
      </c>
      <c r="U52">
        <v>1.29</v>
      </c>
    </row>
    <row r="53" spans="5:21" x14ac:dyDescent="0.35">
      <c r="E53" s="98">
        <v>46231</v>
      </c>
      <c r="F53">
        <v>23971.25</v>
      </c>
      <c r="G53">
        <v>24041.15</v>
      </c>
      <c r="H53">
        <v>23954.6</v>
      </c>
      <c r="I53">
        <v>23985.35</v>
      </c>
      <c r="J53">
        <v>437827320</v>
      </c>
      <c r="K53">
        <v>35846.870000000003</v>
      </c>
      <c r="N53" s="98">
        <v>45937</v>
      </c>
      <c r="O53">
        <v>10.192500000000001</v>
      </c>
      <c r="P53">
        <v>10.45</v>
      </c>
      <c r="Q53">
        <v>10</v>
      </c>
      <c r="R53">
        <v>10.050000000000001</v>
      </c>
      <c r="S53">
        <v>10.192500000000001</v>
      </c>
      <c r="T53">
        <v>-0.14000000000000001</v>
      </c>
      <c r="U53">
        <v>-1.4</v>
      </c>
    </row>
    <row r="54" spans="5:21" x14ac:dyDescent="0.35">
      <c r="E54" s="98">
        <v>46230</v>
      </c>
      <c r="F54">
        <v>23928.400000000001</v>
      </c>
      <c r="G54">
        <v>24011.599999999999</v>
      </c>
      <c r="H54">
        <v>23891.55</v>
      </c>
      <c r="I54">
        <v>23995.95</v>
      </c>
      <c r="J54">
        <v>319367545</v>
      </c>
      <c r="K54">
        <v>25340.46</v>
      </c>
      <c r="N54" s="98">
        <v>45938</v>
      </c>
      <c r="O54">
        <v>10.050000000000001</v>
      </c>
      <c r="P54">
        <v>10.522500000000001</v>
      </c>
      <c r="Q54">
        <v>9.6875</v>
      </c>
      <c r="R54">
        <v>10.31</v>
      </c>
      <c r="S54">
        <v>10.050000000000001</v>
      </c>
      <c r="T54">
        <v>0.26</v>
      </c>
      <c r="U54">
        <v>2.59</v>
      </c>
    </row>
    <row r="55" spans="5:21" x14ac:dyDescent="0.35">
      <c r="E55" s="98">
        <v>46227</v>
      </c>
      <c r="F55">
        <v>23666.35</v>
      </c>
      <c r="G55">
        <v>23823.599999999999</v>
      </c>
      <c r="H55">
        <v>23606.3</v>
      </c>
      <c r="I55">
        <v>23767.45</v>
      </c>
      <c r="J55">
        <v>333870912</v>
      </c>
      <c r="K55">
        <v>28825.72</v>
      </c>
      <c r="N55" s="98">
        <v>45939</v>
      </c>
      <c r="O55">
        <v>10.3125</v>
      </c>
      <c r="P55">
        <v>10.565</v>
      </c>
      <c r="Q55">
        <v>9.9975000000000005</v>
      </c>
      <c r="R55">
        <v>10.119999999999999</v>
      </c>
      <c r="S55">
        <v>10.3125</v>
      </c>
      <c r="T55">
        <v>-0.19</v>
      </c>
      <c r="U55">
        <v>-1.87</v>
      </c>
    </row>
    <row r="56" spans="5:21" x14ac:dyDescent="0.35">
      <c r="E56" s="98">
        <v>46226</v>
      </c>
      <c r="F56">
        <v>23904.799999999999</v>
      </c>
      <c r="G56">
        <v>23990.75</v>
      </c>
      <c r="H56">
        <v>23807.200000000001</v>
      </c>
      <c r="I56">
        <v>23869.599999999999</v>
      </c>
      <c r="J56">
        <v>344042832</v>
      </c>
      <c r="K56">
        <v>28259.45</v>
      </c>
      <c r="N56" s="98">
        <v>45940</v>
      </c>
      <c r="O56">
        <v>10.119999999999999</v>
      </c>
      <c r="P56">
        <v>10.342499999999999</v>
      </c>
      <c r="Q56">
        <v>9.7100000000000009</v>
      </c>
      <c r="R56">
        <v>10.1</v>
      </c>
      <c r="S56">
        <v>10.119999999999999</v>
      </c>
      <c r="T56">
        <v>-0.02</v>
      </c>
      <c r="U56">
        <v>-0.2</v>
      </c>
    </row>
    <row r="57" spans="5:21" x14ac:dyDescent="0.35">
      <c r="E57" s="98">
        <v>46225</v>
      </c>
      <c r="F57">
        <v>24150.45</v>
      </c>
      <c r="G57">
        <v>24166.3</v>
      </c>
      <c r="H57">
        <v>23961.4</v>
      </c>
      <c r="I57">
        <v>23996.25</v>
      </c>
      <c r="J57">
        <v>304745142</v>
      </c>
      <c r="K57">
        <v>25211.83</v>
      </c>
      <c r="N57" s="98">
        <v>45943</v>
      </c>
      <c r="O57">
        <v>10.102499999999999</v>
      </c>
      <c r="P57">
        <v>11.2575</v>
      </c>
      <c r="Q57">
        <v>9.7774999999999999</v>
      </c>
      <c r="R57">
        <v>11.01</v>
      </c>
      <c r="S57">
        <v>10.102499999999999</v>
      </c>
      <c r="T57">
        <v>0.91</v>
      </c>
      <c r="U57">
        <v>8.98</v>
      </c>
    </row>
    <row r="58" spans="5:21" x14ac:dyDescent="0.35">
      <c r="E58" s="98">
        <v>46224</v>
      </c>
      <c r="F58">
        <v>24216.05</v>
      </c>
      <c r="G58">
        <v>24262.2</v>
      </c>
      <c r="H58">
        <v>24135.65</v>
      </c>
      <c r="I58">
        <v>24187.7</v>
      </c>
      <c r="J58">
        <v>315560285</v>
      </c>
      <c r="K58">
        <v>28361.57</v>
      </c>
      <c r="N58" s="98">
        <v>45944</v>
      </c>
      <c r="O58">
        <v>11.0075</v>
      </c>
      <c r="P58">
        <v>11.6675</v>
      </c>
      <c r="Q58">
        <v>10.012499999999999</v>
      </c>
      <c r="R58">
        <v>11.16</v>
      </c>
      <c r="S58">
        <v>11.0075</v>
      </c>
      <c r="T58">
        <v>0.15</v>
      </c>
      <c r="U58">
        <v>1.39</v>
      </c>
    </row>
    <row r="59" spans="5:21" x14ac:dyDescent="0.35">
      <c r="E59" s="98">
        <v>46223</v>
      </c>
      <c r="F59">
        <v>24190.05</v>
      </c>
      <c r="G59">
        <v>24266.1</v>
      </c>
      <c r="H59">
        <v>24135.85</v>
      </c>
      <c r="I59">
        <v>24238.5</v>
      </c>
      <c r="J59">
        <v>353095939</v>
      </c>
      <c r="K59">
        <v>31370.66</v>
      </c>
      <c r="N59" s="98">
        <v>45945</v>
      </c>
      <c r="O59">
        <v>11.154999999999999</v>
      </c>
      <c r="P59">
        <v>11.154999999999999</v>
      </c>
      <c r="Q59">
        <v>10.432499999999999</v>
      </c>
      <c r="R59">
        <v>10.53</v>
      </c>
      <c r="S59">
        <v>11.154999999999999</v>
      </c>
      <c r="T59">
        <v>-0.63</v>
      </c>
      <c r="U59">
        <v>-5.6</v>
      </c>
    </row>
    <row r="60" spans="5:21" x14ac:dyDescent="0.35">
      <c r="E60" s="98">
        <v>46220</v>
      </c>
      <c r="F60">
        <v>24127.599999999999</v>
      </c>
      <c r="G60">
        <v>24367.3</v>
      </c>
      <c r="H60">
        <v>24099.05</v>
      </c>
      <c r="I60">
        <v>24334.3</v>
      </c>
      <c r="J60">
        <v>387772135</v>
      </c>
      <c r="K60">
        <v>28825.71</v>
      </c>
      <c r="N60" s="98">
        <v>45946</v>
      </c>
      <c r="O60">
        <v>10.53</v>
      </c>
      <c r="P60">
        <v>11.057499999999999</v>
      </c>
      <c r="Q60">
        <v>10.3825</v>
      </c>
      <c r="R60">
        <v>10.87</v>
      </c>
      <c r="S60">
        <v>10.53</v>
      </c>
      <c r="T60">
        <v>0.34</v>
      </c>
      <c r="U60">
        <v>3.23</v>
      </c>
    </row>
    <row r="61" spans="5:21" x14ac:dyDescent="0.35">
      <c r="E61" s="98">
        <v>46219</v>
      </c>
      <c r="F61">
        <v>24142.1</v>
      </c>
      <c r="G61">
        <v>24186.5</v>
      </c>
      <c r="H61">
        <v>24050</v>
      </c>
      <c r="I61">
        <v>24072.75</v>
      </c>
      <c r="J61">
        <v>264271962</v>
      </c>
      <c r="K61">
        <v>24244.17</v>
      </c>
      <c r="N61" s="98">
        <v>45947</v>
      </c>
      <c r="O61">
        <v>10.865</v>
      </c>
      <c r="P61">
        <v>11.81</v>
      </c>
      <c r="Q61">
        <v>9.7750000000000004</v>
      </c>
      <c r="R61">
        <v>11.63</v>
      </c>
      <c r="S61">
        <v>10.865</v>
      </c>
      <c r="T61">
        <v>0.77</v>
      </c>
      <c r="U61">
        <v>7.04</v>
      </c>
    </row>
    <row r="62" spans="5:21" x14ac:dyDescent="0.35">
      <c r="E62" s="98">
        <v>46218</v>
      </c>
      <c r="F62">
        <v>24085.85</v>
      </c>
      <c r="G62">
        <v>24220.35</v>
      </c>
      <c r="H62">
        <v>24010.55</v>
      </c>
      <c r="I62">
        <v>24078.5</v>
      </c>
      <c r="J62">
        <v>306924577</v>
      </c>
      <c r="K62">
        <v>26842</v>
      </c>
      <c r="N62" s="98">
        <v>45950</v>
      </c>
      <c r="O62">
        <v>11.625</v>
      </c>
      <c r="P62">
        <v>11.8775</v>
      </c>
      <c r="Q62">
        <v>10.6675</v>
      </c>
      <c r="R62">
        <v>11.36</v>
      </c>
      <c r="S62">
        <v>11.625</v>
      </c>
      <c r="T62">
        <v>-0.27</v>
      </c>
      <c r="U62">
        <v>-2.2799999999999998</v>
      </c>
    </row>
    <row r="63" spans="5:21" x14ac:dyDescent="0.35">
      <c r="E63" s="98">
        <v>46217</v>
      </c>
      <c r="F63">
        <v>24068</v>
      </c>
      <c r="G63">
        <v>24157.1</v>
      </c>
      <c r="H63">
        <v>24023.7</v>
      </c>
      <c r="I63">
        <v>24052.05</v>
      </c>
      <c r="J63">
        <v>355829008</v>
      </c>
      <c r="K63">
        <v>31700.080000000002</v>
      </c>
      <c r="N63" s="98">
        <v>45951</v>
      </c>
      <c r="O63">
        <v>11.355</v>
      </c>
      <c r="P63">
        <v>11.595000000000001</v>
      </c>
      <c r="Q63">
        <v>10.7</v>
      </c>
      <c r="R63">
        <v>11.3</v>
      </c>
      <c r="S63">
        <v>11.355</v>
      </c>
      <c r="T63">
        <v>-0.06</v>
      </c>
      <c r="U63">
        <v>-0.48</v>
      </c>
    </row>
    <row r="64" spans="5:21" x14ac:dyDescent="0.35">
      <c r="E64" s="98">
        <v>46216</v>
      </c>
      <c r="F64">
        <v>24039.4</v>
      </c>
      <c r="G64">
        <v>24259.8</v>
      </c>
      <c r="H64">
        <v>24000.2</v>
      </c>
      <c r="I64">
        <v>24211</v>
      </c>
      <c r="J64">
        <v>322678968</v>
      </c>
      <c r="K64">
        <v>27998.31</v>
      </c>
      <c r="N64" s="98">
        <v>45953</v>
      </c>
      <c r="O64">
        <v>11.297499999999999</v>
      </c>
      <c r="P64">
        <v>12.05</v>
      </c>
      <c r="Q64">
        <v>10.737500000000001</v>
      </c>
      <c r="R64">
        <v>11.73</v>
      </c>
      <c r="S64">
        <v>11.297499999999999</v>
      </c>
      <c r="T64">
        <v>0.43</v>
      </c>
      <c r="U64">
        <v>3.83</v>
      </c>
    </row>
    <row r="65" spans="5:21" x14ac:dyDescent="0.35">
      <c r="E65" s="98">
        <v>46213</v>
      </c>
      <c r="F65">
        <v>24124.7</v>
      </c>
      <c r="G65">
        <v>24228.45</v>
      </c>
      <c r="H65">
        <v>24120.35</v>
      </c>
      <c r="I65">
        <v>24206.9</v>
      </c>
      <c r="J65">
        <v>313072212</v>
      </c>
      <c r="K65">
        <v>24577.43</v>
      </c>
      <c r="N65" s="98">
        <v>45954</v>
      </c>
      <c r="O65">
        <v>11.7325</v>
      </c>
      <c r="P65">
        <v>11.94</v>
      </c>
      <c r="Q65">
        <v>11.4375</v>
      </c>
      <c r="R65">
        <v>11.59</v>
      </c>
      <c r="S65">
        <v>11.7325</v>
      </c>
      <c r="T65">
        <v>-0.14000000000000001</v>
      </c>
      <c r="U65">
        <v>-1.21</v>
      </c>
    </row>
    <row r="66" spans="5:21" x14ac:dyDescent="0.35">
      <c r="E66" s="98">
        <v>46212</v>
      </c>
      <c r="F66">
        <v>23928.95</v>
      </c>
      <c r="G66">
        <v>24134.7</v>
      </c>
      <c r="H66">
        <v>23925.7</v>
      </c>
      <c r="I66">
        <v>23962.799999999999</v>
      </c>
      <c r="J66">
        <v>384795241</v>
      </c>
      <c r="K66">
        <v>33799.64</v>
      </c>
      <c r="N66" s="98">
        <v>45957</v>
      </c>
      <c r="O66">
        <v>11.59</v>
      </c>
      <c r="P66">
        <v>12.727499999999999</v>
      </c>
      <c r="Q66">
        <v>11.2775</v>
      </c>
      <c r="R66">
        <v>11.86</v>
      </c>
      <c r="S66">
        <v>11.59</v>
      </c>
      <c r="T66">
        <v>0.27</v>
      </c>
      <c r="U66">
        <v>2.33</v>
      </c>
    </row>
    <row r="67" spans="5:21" x14ac:dyDescent="0.35">
      <c r="E67" s="98">
        <v>46211</v>
      </c>
      <c r="F67">
        <v>24259.55</v>
      </c>
      <c r="G67">
        <v>24300</v>
      </c>
      <c r="H67">
        <v>23805.200000000001</v>
      </c>
      <c r="I67">
        <v>23882.05</v>
      </c>
      <c r="J67">
        <v>420531527</v>
      </c>
      <c r="K67">
        <v>32939.279999999999</v>
      </c>
      <c r="N67" s="98">
        <v>45958</v>
      </c>
      <c r="O67">
        <v>11.8575</v>
      </c>
      <c r="P67">
        <v>12.635</v>
      </c>
      <c r="Q67">
        <v>10.705</v>
      </c>
      <c r="R67">
        <v>11.95</v>
      </c>
      <c r="S67">
        <v>11.8575</v>
      </c>
      <c r="T67">
        <v>0.09</v>
      </c>
      <c r="U67">
        <v>0.78</v>
      </c>
    </row>
    <row r="68" spans="5:21" x14ac:dyDescent="0.35">
      <c r="E68" s="98">
        <v>46210</v>
      </c>
      <c r="F68">
        <v>24464.45</v>
      </c>
      <c r="G68">
        <v>24530.9</v>
      </c>
      <c r="H68">
        <v>24348.95</v>
      </c>
      <c r="I68">
        <v>24398.7</v>
      </c>
      <c r="J68">
        <v>412624457</v>
      </c>
      <c r="K68">
        <v>36436.58</v>
      </c>
      <c r="N68" s="98">
        <v>45959</v>
      </c>
      <c r="O68">
        <v>11.952500000000001</v>
      </c>
      <c r="P68">
        <v>12.102499999999999</v>
      </c>
      <c r="Q68">
        <v>11.227499999999999</v>
      </c>
      <c r="R68">
        <v>11.97</v>
      </c>
      <c r="S68">
        <v>11.952500000000001</v>
      </c>
      <c r="T68">
        <v>0.02</v>
      </c>
      <c r="U68">
        <v>0.15</v>
      </c>
    </row>
    <row r="69" spans="5:21" x14ac:dyDescent="0.35">
      <c r="E69" s="98">
        <v>46209</v>
      </c>
      <c r="F69">
        <v>24306.85</v>
      </c>
      <c r="G69">
        <v>24458.65</v>
      </c>
      <c r="H69">
        <v>24287.1</v>
      </c>
      <c r="I69">
        <v>24430.35</v>
      </c>
      <c r="J69">
        <v>329356507</v>
      </c>
      <c r="K69">
        <v>24862.07</v>
      </c>
      <c r="N69" s="98">
        <v>45960</v>
      </c>
      <c r="O69">
        <v>11.9725</v>
      </c>
      <c r="P69">
        <v>12.272500000000001</v>
      </c>
      <c r="Q69">
        <v>11.705</v>
      </c>
      <c r="R69">
        <v>12.07</v>
      </c>
      <c r="S69">
        <v>11.9725</v>
      </c>
      <c r="T69">
        <v>0.1</v>
      </c>
      <c r="U69">
        <v>0.81</v>
      </c>
    </row>
    <row r="70" spans="5:21" x14ac:dyDescent="0.35">
      <c r="E70" s="98">
        <v>46206</v>
      </c>
      <c r="F70">
        <v>24375.65</v>
      </c>
      <c r="G70">
        <v>24378.15</v>
      </c>
      <c r="H70">
        <v>24252.35</v>
      </c>
      <c r="I70">
        <v>24270.85</v>
      </c>
      <c r="J70">
        <v>326634751</v>
      </c>
      <c r="K70">
        <v>25955.73</v>
      </c>
      <c r="N70" s="98">
        <v>45961</v>
      </c>
      <c r="O70">
        <v>12.067500000000001</v>
      </c>
      <c r="P70">
        <v>12.2875</v>
      </c>
      <c r="Q70">
        <v>11.77</v>
      </c>
      <c r="R70">
        <v>12.15</v>
      </c>
      <c r="S70">
        <v>12.067500000000001</v>
      </c>
      <c r="T70">
        <v>0.08</v>
      </c>
      <c r="U70">
        <v>0.68</v>
      </c>
    </row>
    <row r="71" spans="5:21" x14ac:dyDescent="0.35">
      <c r="E71" s="98">
        <v>46205</v>
      </c>
      <c r="F71">
        <v>24062.2</v>
      </c>
      <c r="G71">
        <v>24194.55</v>
      </c>
      <c r="H71">
        <v>24058.799999999999</v>
      </c>
      <c r="I71">
        <v>24175.7</v>
      </c>
      <c r="J71">
        <v>372941283</v>
      </c>
      <c r="K71">
        <v>30789.57</v>
      </c>
      <c r="N71" s="98">
        <v>45964</v>
      </c>
      <c r="O71">
        <v>12.1525</v>
      </c>
      <c r="P71">
        <v>12.94</v>
      </c>
      <c r="Q71">
        <v>11.7875</v>
      </c>
      <c r="R71">
        <v>12.67</v>
      </c>
      <c r="S71">
        <v>12.1525</v>
      </c>
      <c r="T71">
        <v>0.52</v>
      </c>
      <c r="U71">
        <v>4.26</v>
      </c>
    </row>
    <row r="72" spans="5:21" x14ac:dyDescent="0.35">
      <c r="E72" s="98">
        <v>46204</v>
      </c>
      <c r="F72">
        <v>23897.65</v>
      </c>
      <c r="G72">
        <v>24049.9</v>
      </c>
      <c r="H72">
        <v>23895.1</v>
      </c>
      <c r="I72">
        <v>24005.85</v>
      </c>
      <c r="J72">
        <v>352148975</v>
      </c>
      <c r="K72">
        <v>27760.09</v>
      </c>
      <c r="N72" s="98">
        <v>45965</v>
      </c>
      <c r="O72">
        <v>12.664999999999999</v>
      </c>
      <c r="P72">
        <v>12.935</v>
      </c>
      <c r="Q72">
        <v>10.98</v>
      </c>
      <c r="R72">
        <v>12.65</v>
      </c>
      <c r="S72">
        <v>12.664999999999999</v>
      </c>
      <c r="T72">
        <v>-0.02</v>
      </c>
      <c r="U72">
        <v>-0.12</v>
      </c>
    </row>
    <row r="73" spans="5:21" x14ac:dyDescent="0.35">
      <c r="E73" s="98">
        <v>46203</v>
      </c>
      <c r="F73">
        <v>24032.05</v>
      </c>
      <c r="G73">
        <v>24035.55</v>
      </c>
      <c r="H73">
        <v>23829.200000000001</v>
      </c>
      <c r="I73">
        <v>23865.75</v>
      </c>
      <c r="J73">
        <v>449044753</v>
      </c>
      <c r="K73">
        <v>39507.019999999997</v>
      </c>
      <c r="N73" s="98">
        <v>45967</v>
      </c>
      <c r="O73">
        <v>12.6525</v>
      </c>
      <c r="P73">
        <v>12.865</v>
      </c>
      <c r="Q73">
        <v>12.057499999999999</v>
      </c>
      <c r="R73">
        <v>12.41</v>
      </c>
      <c r="S73">
        <v>12.6525</v>
      </c>
      <c r="T73">
        <v>-0.24</v>
      </c>
      <c r="U73">
        <v>-1.92</v>
      </c>
    </row>
    <row r="74" spans="5:21" x14ac:dyDescent="0.35">
      <c r="E74" s="98">
        <v>46202</v>
      </c>
      <c r="F74">
        <v>24061.75</v>
      </c>
      <c r="G74">
        <v>24120</v>
      </c>
      <c r="H74">
        <v>23924.55</v>
      </c>
      <c r="I74">
        <v>23946.25</v>
      </c>
      <c r="J74">
        <v>588498045</v>
      </c>
      <c r="K74">
        <v>47361.14</v>
      </c>
      <c r="N74" s="98">
        <v>45968</v>
      </c>
      <c r="O74">
        <v>12.41</v>
      </c>
      <c r="P74">
        <v>12.6675</v>
      </c>
      <c r="Q74">
        <v>11.9575</v>
      </c>
      <c r="R74">
        <v>12.56</v>
      </c>
      <c r="S74">
        <v>12.41</v>
      </c>
      <c r="T74">
        <v>0.15</v>
      </c>
      <c r="U74">
        <v>1.21</v>
      </c>
    </row>
    <row r="75" spans="5:21" x14ac:dyDescent="0.35">
      <c r="E75" s="98">
        <v>46198</v>
      </c>
      <c r="F75">
        <v>24125.85</v>
      </c>
      <c r="G75">
        <v>24261.599999999999</v>
      </c>
      <c r="H75">
        <v>24039</v>
      </c>
      <c r="I75">
        <v>24056</v>
      </c>
      <c r="J75">
        <v>448752143</v>
      </c>
      <c r="K75">
        <v>40015.4</v>
      </c>
      <c r="N75" s="98">
        <v>45971</v>
      </c>
      <c r="O75">
        <v>12.557499999999999</v>
      </c>
      <c r="P75">
        <v>12.9275</v>
      </c>
      <c r="Q75">
        <v>11.404999999999999</v>
      </c>
      <c r="R75">
        <v>12.3</v>
      </c>
      <c r="S75">
        <v>12.557499999999999</v>
      </c>
      <c r="T75">
        <v>-0.26</v>
      </c>
      <c r="U75">
        <v>-2.0499999999999998</v>
      </c>
    </row>
    <row r="76" spans="5:21" x14ac:dyDescent="0.35">
      <c r="E76" s="98">
        <v>46197</v>
      </c>
      <c r="F76">
        <v>23795.8</v>
      </c>
      <c r="G76">
        <v>24090.05</v>
      </c>
      <c r="H76">
        <v>23789.25</v>
      </c>
      <c r="I76">
        <v>24021.65</v>
      </c>
      <c r="J76">
        <v>395578738</v>
      </c>
      <c r="K76">
        <v>31302.799999999999</v>
      </c>
      <c r="N76" s="98">
        <v>45972</v>
      </c>
      <c r="O76">
        <v>12.3</v>
      </c>
      <c r="P76">
        <v>13.005000000000001</v>
      </c>
      <c r="Q76">
        <v>11.9925</v>
      </c>
      <c r="R76">
        <v>12.49</v>
      </c>
      <c r="S76">
        <v>12.3</v>
      </c>
      <c r="T76">
        <v>0.19</v>
      </c>
      <c r="U76">
        <v>1.54</v>
      </c>
    </row>
    <row r="77" spans="5:21" x14ac:dyDescent="0.35">
      <c r="E77" s="98">
        <v>46196</v>
      </c>
      <c r="F77">
        <v>24071.3</v>
      </c>
      <c r="G77">
        <v>24135.5</v>
      </c>
      <c r="H77">
        <v>23784.95</v>
      </c>
      <c r="I77">
        <v>23824.1</v>
      </c>
      <c r="J77">
        <v>340090069</v>
      </c>
      <c r="K77">
        <v>28997.57</v>
      </c>
      <c r="N77" s="98">
        <v>45973</v>
      </c>
      <c r="O77">
        <v>12.49</v>
      </c>
      <c r="P77">
        <v>12.7125</v>
      </c>
      <c r="Q77">
        <v>11.442500000000001</v>
      </c>
      <c r="R77">
        <v>12.11</v>
      </c>
      <c r="S77">
        <v>12.49</v>
      </c>
      <c r="T77">
        <v>-0.38</v>
      </c>
      <c r="U77">
        <v>-3.04</v>
      </c>
    </row>
    <row r="78" spans="5:21" x14ac:dyDescent="0.35">
      <c r="E78" s="98">
        <v>46195</v>
      </c>
      <c r="F78">
        <v>24106.6</v>
      </c>
      <c r="G78">
        <v>24168.05</v>
      </c>
      <c r="H78">
        <v>24073.15</v>
      </c>
      <c r="I78">
        <v>24102.9</v>
      </c>
      <c r="J78">
        <v>252821156</v>
      </c>
      <c r="K78">
        <v>21763.919999999998</v>
      </c>
      <c r="N78" s="98">
        <v>45974</v>
      </c>
      <c r="O78">
        <v>12.11</v>
      </c>
      <c r="P78">
        <v>12.272500000000001</v>
      </c>
      <c r="Q78">
        <v>11.23</v>
      </c>
      <c r="R78">
        <v>12.16</v>
      </c>
      <c r="S78">
        <v>12.11</v>
      </c>
      <c r="T78">
        <v>0.05</v>
      </c>
      <c r="U78">
        <v>0.41</v>
      </c>
    </row>
    <row r="79" spans="5:21" x14ac:dyDescent="0.35">
      <c r="E79" s="98">
        <v>46192</v>
      </c>
      <c r="F79">
        <v>23991.200000000001</v>
      </c>
      <c r="G79">
        <v>24047.200000000001</v>
      </c>
      <c r="H79">
        <v>23901.9</v>
      </c>
      <c r="I79">
        <v>24013.1</v>
      </c>
      <c r="J79">
        <v>447858148</v>
      </c>
      <c r="K79">
        <v>40191.19</v>
      </c>
      <c r="N79" s="98">
        <v>45975</v>
      </c>
      <c r="O79">
        <v>12.1625</v>
      </c>
      <c r="P79">
        <v>12.445</v>
      </c>
      <c r="Q79">
        <v>11.8025</v>
      </c>
      <c r="R79">
        <v>11.94</v>
      </c>
      <c r="S79">
        <v>12.1625</v>
      </c>
      <c r="T79">
        <v>-0.22</v>
      </c>
      <c r="U79">
        <v>-1.83</v>
      </c>
    </row>
    <row r="80" spans="5:21" x14ac:dyDescent="0.35">
      <c r="E80" s="98">
        <v>46191</v>
      </c>
      <c r="F80">
        <v>24073.8</v>
      </c>
      <c r="G80">
        <v>24189.25</v>
      </c>
      <c r="H80">
        <v>24036.95</v>
      </c>
      <c r="I80">
        <v>24168</v>
      </c>
      <c r="J80">
        <v>339988612</v>
      </c>
      <c r="K80">
        <v>28654.85</v>
      </c>
      <c r="N80" s="98">
        <v>45978</v>
      </c>
      <c r="O80">
        <v>11.9375</v>
      </c>
      <c r="P80">
        <v>12.28</v>
      </c>
      <c r="Q80">
        <v>10.895</v>
      </c>
      <c r="R80">
        <v>11.79</v>
      </c>
      <c r="S80">
        <v>11.9375</v>
      </c>
      <c r="T80">
        <v>-0.15</v>
      </c>
      <c r="U80">
        <v>-1.24</v>
      </c>
    </row>
    <row r="81" spans="5:21" x14ac:dyDescent="0.35">
      <c r="E81" s="98">
        <v>46190</v>
      </c>
      <c r="F81">
        <v>24044.5</v>
      </c>
      <c r="G81">
        <v>24108.2</v>
      </c>
      <c r="H81">
        <v>23969.7</v>
      </c>
      <c r="I81">
        <v>24085.7</v>
      </c>
      <c r="J81">
        <v>352665809</v>
      </c>
      <c r="K81">
        <v>26947.5</v>
      </c>
      <c r="N81" s="98">
        <v>45979</v>
      </c>
      <c r="O81">
        <v>11.7875</v>
      </c>
      <c r="P81">
        <v>12.29</v>
      </c>
      <c r="Q81">
        <v>10.94</v>
      </c>
      <c r="R81">
        <v>12.1</v>
      </c>
      <c r="S81">
        <v>11.7875</v>
      </c>
      <c r="T81">
        <v>0.31</v>
      </c>
      <c r="U81">
        <v>2.65</v>
      </c>
    </row>
    <row r="82" spans="5:21" x14ac:dyDescent="0.35">
      <c r="E82" s="98">
        <v>46189</v>
      </c>
      <c r="F82">
        <v>23923.9</v>
      </c>
      <c r="G82">
        <v>24002.6</v>
      </c>
      <c r="H82">
        <v>23888.2</v>
      </c>
      <c r="I82">
        <v>23989.15</v>
      </c>
      <c r="J82">
        <v>327307262</v>
      </c>
      <c r="K82">
        <v>27953.23</v>
      </c>
      <c r="N82" s="98">
        <v>45980</v>
      </c>
      <c r="O82">
        <v>12.095000000000001</v>
      </c>
      <c r="P82">
        <v>12.375</v>
      </c>
      <c r="Q82">
        <v>10.765000000000001</v>
      </c>
      <c r="R82">
        <v>11.97</v>
      </c>
      <c r="S82">
        <v>12.095000000000001</v>
      </c>
      <c r="T82">
        <v>-0.13</v>
      </c>
      <c r="U82">
        <v>-1.03</v>
      </c>
    </row>
    <row r="83" spans="5:21" x14ac:dyDescent="0.35">
      <c r="E83" s="98">
        <v>46188</v>
      </c>
      <c r="F83">
        <v>23984.85</v>
      </c>
      <c r="G83">
        <v>24011.4</v>
      </c>
      <c r="H83">
        <v>23817.8</v>
      </c>
      <c r="I83">
        <v>23853.9</v>
      </c>
      <c r="J83">
        <v>398913735</v>
      </c>
      <c r="K83">
        <v>34783.089999999997</v>
      </c>
      <c r="N83" s="98">
        <v>45981</v>
      </c>
      <c r="O83">
        <v>11.9725</v>
      </c>
      <c r="P83">
        <v>12.3775</v>
      </c>
      <c r="Q83">
        <v>11.055</v>
      </c>
      <c r="R83">
        <v>12.14</v>
      </c>
      <c r="S83">
        <v>11.9725</v>
      </c>
      <c r="T83">
        <v>0.17</v>
      </c>
      <c r="U83">
        <v>1.4</v>
      </c>
    </row>
    <row r="84" spans="5:21" x14ac:dyDescent="0.35">
      <c r="E84" s="98">
        <v>46185</v>
      </c>
      <c r="F84">
        <v>23412.55</v>
      </c>
      <c r="G84">
        <v>23645.35</v>
      </c>
      <c r="H84">
        <v>23313.9</v>
      </c>
      <c r="I84">
        <v>23622.9</v>
      </c>
      <c r="J84">
        <v>351944432</v>
      </c>
      <c r="K84">
        <v>29593.119999999999</v>
      </c>
      <c r="N84" s="98">
        <v>45982</v>
      </c>
      <c r="O84">
        <v>12.135</v>
      </c>
      <c r="P84">
        <v>13.85</v>
      </c>
      <c r="Q84">
        <v>12.135</v>
      </c>
      <c r="R84">
        <v>13.63</v>
      </c>
      <c r="S84">
        <v>12.135</v>
      </c>
      <c r="T84">
        <v>1.5</v>
      </c>
      <c r="U84">
        <v>12.32</v>
      </c>
    </row>
    <row r="85" spans="5:21" x14ac:dyDescent="0.35">
      <c r="E85" s="98">
        <v>46184</v>
      </c>
      <c r="F85">
        <v>23104.400000000001</v>
      </c>
      <c r="G85">
        <v>23327.45</v>
      </c>
      <c r="H85">
        <v>23072.05</v>
      </c>
      <c r="I85">
        <v>23161.599999999999</v>
      </c>
      <c r="J85">
        <v>362996956</v>
      </c>
      <c r="K85">
        <v>28529.75</v>
      </c>
      <c r="N85" s="98">
        <v>45985</v>
      </c>
      <c r="O85">
        <v>13.63</v>
      </c>
      <c r="P85">
        <v>13.63</v>
      </c>
      <c r="Q85">
        <v>11.9375</v>
      </c>
      <c r="R85">
        <v>13.24</v>
      </c>
      <c r="S85">
        <v>13.63</v>
      </c>
      <c r="T85">
        <v>-0.39</v>
      </c>
      <c r="U85">
        <v>-2.86</v>
      </c>
    </row>
    <row r="86" spans="5:21" x14ac:dyDescent="0.35">
      <c r="E86" s="98">
        <v>46183</v>
      </c>
      <c r="F86">
        <v>23233.95</v>
      </c>
      <c r="G86">
        <v>23425.35</v>
      </c>
      <c r="H86">
        <v>23184.6</v>
      </c>
      <c r="I86">
        <v>23214.95</v>
      </c>
      <c r="J86">
        <v>380030627</v>
      </c>
      <c r="K86">
        <v>31906.68</v>
      </c>
      <c r="N86" s="98">
        <v>45986</v>
      </c>
      <c r="O86">
        <v>13.234999999999999</v>
      </c>
      <c r="P86">
        <v>13.234999999999999</v>
      </c>
      <c r="Q86">
        <v>10.855</v>
      </c>
      <c r="R86">
        <v>12.24</v>
      </c>
      <c r="S86">
        <v>13.234999999999999</v>
      </c>
      <c r="T86">
        <v>-1</v>
      </c>
      <c r="U86">
        <v>-7.52</v>
      </c>
    </row>
    <row r="87" spans="5:21" x14ac:dyDescent="0.35">
      <c r="E87" s="98">
        <v>46182</v>
      </c>
      <c r="F87">
        <v>23259.05</v>
      </c>
      <c r="G87">
        <v>23279.4</v>
      </c>
      <c r="H87">
        <v>23104.45</v>
      </c>
      <c r="I87">
        <v>23242.1</v>
      </c>
      <c r="J87">
        <v>402552937</v>
      </c>
      <c r="K87">
        <v>32911.17</v>
      </c>
      <c r="N87" s="98">
        <v>45987</v>
      </c>
      <c r="O87">
        <v>12.2425</v>
      </c>
      <c r="P87">
        <v>12.5725</v>
      </c>
      <c r="Q87">
        <v>11.585000000000001</v>
      </c>
      <c r="R87">
        <v>11.97</v>
      </c>
      <c r="S87">
        <v>12.2425</v>
      </c>
      <c r="T87">
        <v>-0.27</v>
      </c>
      <c r="U87">
        <v>-2.23</v>
      </c>
    </row>
    <row r="88" spans="5:21" x14ac:dyDescent="0.35">
      <c r="E88" s="98">
        <v>46181</v>
      </c>
      <c r="F88">
        <v>23080.7</v>
      </c>
      <c r="G88">
        <v>23267.3</v>
      </c>
      <c r="H88">
        <v>23070.15</v>
      </c>
      <c r="I88">
        <v>23123</v>
      </c>
      <c r="J88">
        <v>375730763</v>
      </c>
      <c r="K88">
        <v>26550.42</v>
      </c>
      <c r="N88" s="98">
        <v>45988</v>
      </c>
      <c r="O88">
        <v>11.967499999999999</v>
      </c>
      <c r="P88">
        <v>12.2425</v>
      </c>
      <c r="Q88">
        <v>11.5075</v>
      </c>
      <c r="R88">
        <v>11.79</v>
      </c>
      <c r="S88">
        <v>11.967499999999999</v>
      </c>
      <c r="T88">
        <v>-0.18</v>
      </c>
      <c r="U88">
        <v>-1.48</v>
      </c>
    </row>
    <row r="89" spans="5:21" x14ac:dyDescent="0.35">
      <c r="E89" s="98">
        <v>46178</v>
      </c>
      <c r="F89">
        <v>23478.95</v>
      </c>
      <c r="G89">
        <v>23516.35</v>
      </c>
      <c r="H89">
        <v>23282.65</v>
      </c>
      <c r="I89">
        <v>23366.7</v>
      </c>
      <c r="J89">
        <v>366208223</v>
      </c>
      <c r="K89">
        <v>28432.83</v>
      </c>
      <c r="N89" s="98">
        <v>45989</v>
      </c>
      <c r="O89">
        <v>11.785</v>
      </c>
      <c r="P89">
        <v>11.785</v>
      </c>
      <c r="Q89">
        <v>10.817500000000001</v>
      </c>
      <c r="R89">
        <v>11.62</v>
      </c>
      <c r="S89">
        <v>11.785</v>
      </c>
      <c r="T89">
        <v>-0.17</v>
      </c>
      <c r="U89">
        <v>-1.4</v>
      </c>
    </row>
    <row r="90" spans="5:21" x14ac:dyDescent="0.35">
      <c r="E90" s="98">
        <v>46177</v>
      </c>
      <c r="F90">
        <v>23282.45</v>
      </c>
      <c r="G90">
        <v>23465.3</v>
      </c>
      <c r="H90">
        <v>23247.3</v>
      </c>
      <c r="I90">
        <v>23416.55</v>
      </c>
      <c r="J90">
        <v>412505524</v>
      </c>
      <c r="K90">
        <v>32848.46</v>
      </c>
      <c r="N90" s="98">
        <v>45992</v>
      </c>
      <c r="O90">
        <v>11.6175</v>
      </c>
      <c r="P90">
        <v>12.01</v>
      </c>
      <c r="Q90">
        <v>10.9</v>
      </c>
      <c r="R90">
        <v>11.63</v>
      </c>
      <c r="S90">
        <v>11.6175</v>
      </c>
      <c r="T90">
        <v>0.01</v>
      </c>
      <c r="U90">
        <v>0.11</v>
      </c>
    </row>
    <row r="91" spans="5:21" x14ac:dyDescent="0.35">
      <c r="E91" s="98">
        <v>46176</v>
      </c>
      <c r="F91">
        <v>23415.95</v>
      </c>
      <c r="G91">
        <v>23459.65</v>
      </c>
      <c r="H91">
        <v>23151.5</v>
      </c>
      <c r="I91">
        <v>23405.599999999999</v>
      </c>
      <c r="J91">
        <v>450089851</v>
      </c>
      <c r="K91">
        <v>36726.559999999998</v>
      </c>
      <c r="N91" s="98">
        <v>45993</v>
      </c>
      <c r="O91">
        <v>11.625</v>
      </c>
      <c r="P91">
        <v>11.94</v>
      </c>
      <c r="Q91">
        <v>11.03</v>
      </c>
      <c r="R91">
        <v>11.23</v>
      </c>
      <c r="S91">
        <v>11.625</v>
      </c>
      <c r="T91">
        <v>-0.4</v>
      </c>
      <c r="U91">
        <v>-3.4</v>
      </c>
    </row>
    <row r="92" spans="5:21" x14ac:dyDescent="0.35">
      <c r="E92" s="98">
        <v>46175</v>
      </c>
      <c r="F92">
        <v>23229.15</v>
      </c>
      <c r="G92">
        <v>23556.95</v>
      </c>
      <c r="H92">
        <v>23229.15</v>
      </c>
      <c r="I92">
        <v>23483.55</v>
      </c>
      <c r="J92">
        <v>511852817</v>
      </c>
      <c r="K92">
        <v>43063.5</v>
      </c>
      <c r="N92" s="98">
        <v>45994</v>
      </c>
      <c r="O92">
        <v>11.227499999999999</v>
      </c>
      <c r="P92">
        <v>11.3725</v>
      </c>
      <c r="Q92">
        <v>10.914999999999999</v>
      </c>
      <c r="R92">
        <v>11.21</v>
      </c>
      <c r="S92">
        <v>11.227499999999999</v>
      </c>
      <c r="T92">
        <v>-0.02</v>
      </c>
      <c r="U92">
        <v>-0.16</v>
      </c>
    </row>
    <row r="93" spans="5:21" x14ac:dyDescent="0.35">
      <c r="E93" s="98">
        <v>46174</v>
      </c>
      <c r="F93">
        <v>23654.5</v>
      </c>
      <c r="G93">
        <v>23733.7</v>
      </c>
      <c r="H93">
        <v>23357.95</v>
      </c>
      <c r="I93">
        <v>23382.6</v>
      </c>
      <c r="J93">
        <v>421691204</v>
      </c>
      <c r="K93">
        <v>33843.74</v>
      </c>
      <c r="N93" s="98">
        <v>45995</v>
      </c>
      <c r="O93">
        <v>11.2125</v>
      </c>
      <c r="P93">
        <v>11.27</v>
      </c>
      <c r="Q93">
        <v>10.58</v>
      </c>
      <c r="R93">
        <v>10.82</v>
      </c>
      <c r="S93">
        <v>11.2125</v>
      </c>
      <c r="T93">
        <v>-0.39</v>
      </c>
      <c r="U93">
        <v>-3.5</v>
      </c>
    </row>
    <row r="94" spans="5:21" x14ac:dyDescent="0.35">
      <c r="E94" s="98">
        <v>46171</v>
      </c>
      <c r="F94">
        <v>23902.15</v>
      </c>
      <c r="G94">
        <v>24002.799999999999</v>
      </c>
      <c r="H94">
        <v>23484.75</v>
      </c>
      <c r="I94">
        <v>23547.75</v>
      </c>
      <c r="J94">
        <v>1198023438</v>
      </c>
      <c r="K94">
        <v>101439</v>
      </c>
      <c r="N94" s="98">
        <v>45996</v>
      </c>
      <c r="O94">
        <v>10.817500000000001</v>
      </c>
      <c r="P94">
        <v>10.8675</v>
      </c>
      <c r="Q94">
        <v>10.157500000000001</v>
      </c>
      <c r="R94">
        <v>10.32</v>
      </c>
      <c r="S94">
        <v>10.817500000000001</v>
      </c>
      <c r="T94">
        <v>-0.5</v>
      </c>
      <c r="U94">
        <v>-4.5999999999999996</v>
      </c>
    </row>
    <row r="95" spans="5:21" x14ac:dyDescent="0.35">
      <c r="E95" s="98">
        <v>46169</v>
      </c>
      <c r="F95">
        <v>23880.35</v>
      </c>
      <c r="G95">
        <v>23983.200000000001</v>
      </c>
      <c r="H95">
        <v>23858.25</v>
      </c>
      <c r="I95">
        <v>23907.15</v>
      </c>
      <c r="J95">
        <v>531572650</v>
      </c>
      <c r="K95">
        <v>34903.35</v>
      </c>
      <c r="N95" s="98">
        <v>45999</v>
      </c>
      <c r="O95">
        <v>10.315</v>
      </c>
      <c r="P95">
        <v>11.61</v>
      </c>
      <c r="Q95">
        <v>10.135</v>
      </c>
      <c r="R95">
        <v>11.13</v>
      </c>
      <c r="S95">
        <v>10.315</v>
      </c>
      <c r="T95">
        <v>0.82</v>
      </c>
      <c r="U95">
        <v>7.9</v>
      </c>
    </row>
    <row r="96" spans="5:21" x14ac:dyDescent="0.35">
      <c r="E96" s="98">
        <v>46168</v>
      </c>
      <c r="F96">
        <v>24004.1</v>
      </c>
      <c r="G96">
        <v>24089.8</v>
      </c>
      <c r="H96">
        <v>23885.45</v>
      </c>
      <c r="I96">
        <v>23913.7</v>
      </c>
      <c r="J96">
        <v>387932940</v>
      </c>
      <c r="K96">
        <v>29835.11</v>
      </c>
      <c r="N96" s="98">
        <v>46000</v>
      </c>
      <c r="O96">
        <v>11.125</v>
      </c>
      <c r="P96">
        <v>11.8825</v>
      </c>
      <c r="Q96">
        <v>10.455</v>
      </c>
      <c r="R96">
        <v>10.95</v>
      </c>
      <c r="S96">
        <v>11.125</v>
      </c>
      <c r="T96">
        <v>-0.18</v>
      </c>
      <c r="U96">
        <v>-1.57</v>
      </c>
    </row>
    <row r="97" spans="5:21" x14ac:dyDescent="0.35">
      <c r="E97" s="98">
        <v>46167</v>
      </c>
      <c r="F97">
        <v>23940.25</v>
      </c>
      <c r="G97">
        <v>24054.45</v>
      </c>
      <c r="H97">
        <v>23922.85</v>
      </c>
      <c r="I97">
        <v>24031.7</v>
      </c>
      <c r="J97">
        <v>351224048</v>
      </c>
      <c r="K97">
        <v>27301.94</v>
      </c>
      <c r="N97" s="98">
        <v>46001</v>
      </c>
      <c r="O97">
        <v>10.952500000000001</v>
      </c>
      <c r="P97">
        <v>11.422499999999999</v>
      </c>
      <c r="Q97">
        <v>10.49</v>
      </c>
      <c r="R97">
        <v>10.91</v>
      </c>
      <c r="S97">
        <v>10.952500000000001</v>
      </c>
      <c r="T97">
        <v>-0.04</v>
      </c>
      <c r="U97">
        <v>-0.39</v>
      </c>
    </row>
    <row r="98" spans="5:21" x14ac:dyDescent="0.35">
      <c r="E98" s="98">
        <v>46164</v>
      </c>
      <c r="F98">
        <v>23671.200000000001</v>
      </c>
      <c r="G98">
        <v>23835.65</v>
      </c>
      <c r="H98">
        <v>23671</v>
      </c>
      <c r="I98">
        <v>23719.3</v>
      </c>
      <c r="J98">
        <v>336108649</v>
      </c>
      <c r="K98">
        <v>24993.16</v>
      </c>
      <c r="N98" s="98">
        <v>46002</v>
      </c>
      <c r="O98">
        <v>10.9125</v>
      </c>
      <c r="P98">
        <v>11.192500000000001</v>
      </c>
      <c r="Q98">
        <v>10.317500000000001</v>
      </c>
      <c r="R98">
        <v>10.4</v>
      </c>
      <c r="S98">
        <v>10.9125</v>
      </c>
      <c r="T98">
        <v>-0.51</v>
      </c>
      <c r="U98">
        <v>-4.7</v>
      </c>
    </row>
    <row r="99" spans="5:21" x14ac:dyDescent="0.35">
      <c r="E99" s="98">
        <v>46163</v>
      </c>
      <c r="F99">
        <v>23830.05</v>
      </c>
      <c r="G99">
        <v>23859.9</v>
      </c>
      <c r="H99">
        <v>23596.6</v>
      </c>
      <c r="I99">
        <v>23654.7</v>
      </c>
      <c r="J99">
        <v>348183907</v>
      </c>
      <c r="K99">
        <v>29930.79</v>
      </c>
      <c r="N99" s="98">
        <v>46003</v>
      </c>
      <c r="O99">
        <v>10.4</v>
      </c>
      <c r="P99">
        <v>10.4</v>
      </c>
      <c r="Q99">
        <v>9.9625000000000004</v>
      </c>
      <c r="R99">
        <v>10.11</v>
      </c>
      <c r="S99">
        <v>10.4</v>
      </c>
      <c r="T99">
        <v>-0.28999999999999998</v>
      </c>
      <c r="U99">
        <v>-2.79</v>
      </c>
    </row>
    <row r="100" spans="5:21" x14ac:dyDescent="0.35">
      <c r="E100" s="98">
        <v>46162</v>
      </c>
      <c r="F100">
        <v>23457.25</v>
      </c>
      <c r="G100">
        <v>23690.9</v>
      </c>
      <c r="H100">
        <v>23397.3</v>
      </c>
      <c r="I100">
        <v>23659</v>
      </c>
      <c r="J100">
        <v>344050591</v>
      </c>
      <c r="K100">
        <v>26163.78</v>
      </c>
      <c r="N100" s="98">
        <v>46006</v>
      </c>
      <c r="O100">
        <v>10.1075</v>
      </c>
      <c r="P100">
        <v>10.842499999999999</v>
      </c>
      <c r="Q100">
        <v>10.047499999999999</v>
      </c>
      <c r="R100">
        <v>10.25</v>
      </c>
      <c r="S100">
        <v>10.1075</v>
      </c>
      <c r="T100">
        <v>0.14000000000000001</v>
      </c>
      <c r="U100">
        <v>1.41</v>
      </c>
    </row>
    <row r="101" spans="5:21" x14ac:dyDescent="0.35">
      <c r="E101" s="98">
        <v>46161</v>
      </c>
      <c r="F101">
        <v>23675.3</v>
      </c>
      <c r="G101">
        <v>23782.3</v>
      </c>
      <c r="H101">
        <v>23587.200000000001</v>
      </c>
      <c r="I101">
        <v>23618</v>
      </c>
      <c r="J101">
        <v>441953184</v>
      </c>
      <c r="K101">
        <v>39325.730000000003</v>
      </c>
      <c r="N101" s="98">
        <v>46007</v>
      </c>
      <c r="O101">
        <v>10.25</v>
      </c>
      <c r="P101">
        <v>10.4275</v>
      </c>
      <c r="Q101">
        <v>9.6624999999999996</v>
      </c>
      <c r="R101">
        <v>10.06</v>
      </c>
      <c r="S101">
        <v>10.25</v>
      </c>
      <c r="T101">
        <v>-0.19</v>
      </c>
      <c r="U101">
        <v>-1.85</v>
      </c>
    </row>
    <row r="102" spans="5:21" x14ac:dyDescent="0.35">
      <c r="E102" s="98">
        <v>46160</v>
      </c>
      <c r="F102">
        <v>23482.2</v>
      </c>
      <c r="G102">
        <v>23695.65</v>
      </c>
      <c r="H102">
        <v>23317.1</v>
      </c>
      <c r="I102">
        <v>23649.95</v>
      </c>
      <c r="J102">
        <v>391968426</v>
      </c>
      <c r="K102">
        <v>30029.02</v>
      </c>
      <c r="N102" s="98">
        <v>46008</v>
      </c>
      <c r="O102">
        <v>10.0625</v>
      </c>
      <c r="P102">
        <v>10.1775</v>
      </c>
      <c r="Q102">
        <v>9.4824999999999999</v>
      </c>
      <c r="R102">
        <v>9.84</v>
      </c>
      <c r="S102">
        <v>10.0625</v>
      </c>
      <c r="T102">
        <v>-0.22</v>
      </c>
      <c r="U102">
        <v>-2.21</v>
      </c>
    </row>
    <row r="103" spans="5:21" x14ac:dyDescent="0.35">
      <c r="E103" s="98">
        <v>46157</v>
      </c>
      <c r="F103">
        <v>23731.4</v>
      </c>
      <c r="G103">
        <v>23839.3</v>
      </c>
      <c r="H103">
        <v>23610.3</v>
      </c>
      <c r="I103">
        <v>23643.5</v>
      </c>
      <c r="J103">
        <v>408864566</v>
      </c>
      <c r="K103">
        <v>35052.32</v>
      </c>
      <c r="N103" s="98">
        <v>46009</v>
      </c>
      <c r="O103">
        <v>9.8375000000000004</v>
      </c>
      <c r="P103">
        <v>9.9474999999999998</v>
      </c>
      <c r="Q103">
        <v>9.6125000000000007</v>
      </c>
      <c r="R103">
        <v>9.7100000000000009</v>
      </c>
      <c r="S103">
        <v>9.8375000000000004</v>
      </c>
      <c r="T103">
        <v>-0.13</v>
      </c>
      <c r="U103">
        <v>-1.3</v>
      </c>
    </row>
    <row r="104" spans="5:21" x14ac:dyDescent="0.35">
      <c r="E104" s="98">
        <v>46156</v>
      </c>
      <c r="F104">
        <v>23530.25</v>
      </c>
      <c r="G104">
        <v>23777.200000000001</v>
      </c>
      <c r="H104">
        <v>23426.55</v>
      </c>
      <c r="I104">
        <v>23689.599999999999</v>
      </c>
      <c r="J104">
        <v>428735424</v>
      </c>
      <c r="K104">
        <v>38828.33</v>
      </c>
      <c r="N104" s="98">
        <v>46010</v>
      </c>
      <c r="O104">
        <v>9.7074999999999996</v>
      </c>
      <c r="P104">
        <v>10.307499999999999</v>
      </c>
      <c r="Q104">
        <v>9.4350000000000005</v>
      </c>
      <c r="R104">
        <v>9.52</v>
      </c>
      <c r="S104">
        <v>9.7074999999999996</v>
      </c>
      <c r="T104">
        <v>-0.19</v>
      </c>
      <c r="U104">
        <v>-1.93</v>
      </c>
    </row>
    <row r="105" spans="5:21" x14ac:dyDescent="0.35">
      <c r="E105" s="98">
        <v>46155</v>
      </c>
      <c r="F105">
        <v>23362.45</v>
      </c>
      <c r="G105">
        <v>23582.95</v>
      </c>
      <c r="H105">
        <v>23262.55</v>
      </c>
      <c r="I105">
        <v>23412.6</v>
      </c>
      <c r="J105">
        <v>415359044</v>
      </c>
      <c r="K105">
        <v>33693.480000000003</v>
      </c>
      <c r="N105" s="98">
        <v>46013</v>
      </c>
      <c r="O105">
        <v>9.5225000000000009</v>
      </c>
      <c r="P105">
        <v>9.8975000000000009</v>
      </c>
      <c r="Q105">
        <v>8.8625000000000007</v>
      </c>
      <c r="R105">
        <v>9.68</v>
      </c>
      <c r="S105">
        <v>9.5225000000000009</v>
      </c>
      <c r="T105">
        <v>0.16</v>
      </c>
      <c r="U105">
        <v>1.65</v>
      </c>
    </row>
    <row r="106" spans="5:21" x14ac:dyDescent="0.35">
      <c r="E106" s="98">
        <v>46154</v>
      </c>
      <c r="F106">
        <v>23722.6</v>
      </c>
      <c r="G106">
        <v>23757.55</v>
      </c>
      <c r="H106">
        <v>23348.400000000001</v>
      </c>
      <c r="I106">
        <v>23379.55</v>
      </c>
      <c r="J106">
        <v>447518189</v>
      </c>
      <c r="K106">
        <v>36200.589999999997</v>
      </c>
      <c r="N106" s="98">
        <v>46014</v>
      </c>
      <c r="O106">
        <v>9.6750000000000007</v>
      </c>
      <c r="P106">
        <v>9.7850000000000001</v>
      </c>
      <c r="Q106">
        <v>9.3224999999999998</v>
      </c>
      <c r="R106">
        <v>9.3800000000000008</v>
      </c>
      <c r="S106">
        <v>9.6750000000000007</v>
      </c>
      <c r="T106">
        <v>-0.3</v>
      </c>
      <c r="U106">
        <v>-3.05</v>
      </c>
    </row>
    <row r="107" spans="5:21" x14ac:dyDescent="0.35">
      <c r="E107" s="98">
        <v>46153</v>
      </c>
      <c r="F107">
        <v>23970.1</v>
      </c>
      <c r="G107">
        <v>23997.45</v>
      </c>
      <c r="H107">
        <v>23799.1</v>
      </c>
      <c r="I107">
        <v>23815.85</v>
      </c>
      <c r="J107">
        <v>390108343</v>
      </c>
      <c r="K107">
        <v>37404.28</v>
      </c>
      <c r="N107" s="98">
        <v>46015</v>
      </c>
      <c r="O107">
        <v>9.3774999999999995</v>
      </c>
      <c r="P107">
        <v>9.68</v>
      </c>
      <c r="Q107">
        <v>8.8825000000000003</v>
      </c>
      <c r="R107">
        <v>9.19</v>
      </c>
      <c r="S107">
        <v>9.3774999999999995</v>
      </c>
      <c r="T107">
        <v>-0.19</v>
      </c>
      <c r="U107">
        <v>-2</v>
      </c>
    </row>
    <row r="108" spans="5:21" x14ac:dyDescent="0.35">
      <c r="E108" s="98">
        <v>46150</v>
      </c>
      <c r="F108">
        <v>24233.65</v>
      </c>
      <c r="G108">
        <v>24253.8</v>
      </c>
      <c r="H108">
        <v>24126.65</v>
      </c>
      <c r="I108">
        <v>24176.15</v>
      </c>
      <c r="J108">
        <v>335887188</v>
      </c>
      <c r="K108">
        <v>31217.1</v>
      </c>
      <c r="N108" s="98">
        <v>46017</v>
      </c>
      <c r="O108">
        <v>9.19</v>
      </c>
      <c r="P108">
        <v>9.3949999999999996</v>
      </c>
      <c r="Q108">
        <v>9.02</v>
      </c>
      <c r="R108">
        <v>9.15</v>
      </c>
      <c r="S108">
        <v>9.19</v>
      </c>
      <c r="T108">
        <v>-0.04</v>
      </c>
      <c r="U108">
        <v>-0.44</v>
      </c>
    </row>
    <row r="109" spans="5:21" x14ac:dyDescent="0.35">
      <c r="E109" s="98">
        <v>46149</v>
      </c>
      <c r="F109">
        <v>24398.5</v>
      </c>
      <c r="G109">
        <v>24482.1</v>
      </c>
      <c r="H109">
        <v>24284</v>
      </c>
      <c r="I109">
        <v>24326.65</v>
      </c>
      <c r="J109">
        <v>440621691</v>
      </c>
      <c r="K109">
        <v>39529.1</v>
      </c>
      <c r="N109" s="98">
        <v>46020</v>
      </c>
      <c r="O109">
        <v>9.15</v>
      </c>
      <c r="P109">
        <v>9.77</v>
      </c>
      <c r="Q109">
        <v>9.0474999999999994</v>
      </c>
      <c r="R109">
        <v>9.7200000000000006</v>
      </c>
      <c r="S109">
        <v>9.15</v>
      </c>
      <c r="T109">
        <v>0.56999999999999995</v>
      </c>
      <c r="U109">
        <v>6.23</v>
      </c>
    </row>
    <row r="110" spans="5:21" x14ac:dyDescent="0.35">
      <c r="E110" s="98">
        <v>46148</v>
      </c>
      <c r="F110">
        <v>24171</v>
      </c>
      <c r="G110">
        <v>24356.5</v>
      </c>
      <c r="H110">
        <v>23997.9</v>
      </c>
      <c r="I110">
        <v>24330.95</v>
      </c>
      <c r="J110">
        <v>429190144</v>
      </c>
      <c r="K110">
        <v>38826.870000000003</v>
      </c>
      <c r="N110" s="98">
        <v>46021</v>
      </c>
      <c r="O110">
        <v>9.7200000000000006</v>
      </c>
      <c r="P110">
        <v>9.9875000000000007</v>
      </c>
      <c r="Q110">
        <v>9.5875000000000004</v>
      </c>
      <c r="R110">
        <v>9.68</v>
      </c>
      <c r="S110">
        <v>9.7200000000000006</v>
      </c>
      <c r="T110">
        <v>-0.04</v>
      </c>
      <c r="U110">
        <v>-0.41</v>
      </c>
    </row>
    <row r="111" spans="5:21" x14ac:dyDescent="0.35">
      <c r="E111" s="98">
        <v>46147</v>
      </c>
      <c r="F111">
        <v>24052.6</v>
      </c>
      <c r="G111">
        <v>24081.7</v>
      </c>
      <c r="H111">
        <v>23882.05</v>
      </c>
      <c r="I111">
        <v>24032.799999999999</v>
      </c>
      <c r="J111">
        <v>363297728</v>
      </c>
      <c r="K111">
        <v>33650.36</v>
      </c>
      <c r="N111" s="98">
        <v>46022</v>
      </c>
      <c r="O111">
        <v>9.6775000000000002</v>
      </c>
      <c r="P111">
        <v>9.73</v>
      </c>
      <c r="Q111">
        <v>9.3125</v>
      </c>
      <c r="R111">
        <v>9.48</v>
      </c>
      <c r="S111">
        <v>9.6775000000000002</v>
      </c>
      <c r="T111">
        <v>-0.2</v>
      </c>
      <c r="U111">
        <v>-2.04</v>
      </c>
    </row>
    <row r="112" spans="5:21" x14ac:dyDescent="0.35">
      <c r="E112" s="98">
        <v>46146</v>
      </c>
      <c r="F112">
        <v>24063.55</v>
      </c>
      <c r="G112">
        <v>24290.2</v>
      </c>
      <c r="H112">
        <v>24004.75</v>
      </c>
      <c r="I112">
        <v>24119.3</v>
      </c>
      <c r="J112">
        <v>419069793</v>
      </c>
      <c r="K112">
        <v>35790.21</v>
      </c>
      <c r="N112" s="98">
        <v>46023</v>
      </c>
      <c r="O112">
        <v>9.4749999999999996</v>
      </c>
      <c r="P112">
        <v>9.4749999999999996</v>
      </c>
      <c r="Q112">
        <v>8.7200000000000006</v>
      </c>
      <c r="R112">
        <v>9.19</v>
      </c>
      <c r="S112">
        <v>9.4749999999999996</v>
      </c>
      <c r="T112">
        <v>-0.28999999999999998</v>
      </c>
      <c r="U112">
        <v>-3.01</v>
      </c>
    </row>
    <row r="113" spans="5:21" x14ac:dyDescent="0.35">
      <c r="E113" s="98">
        <v>46142</v>
      </c>
      <c r="F113">
        <v>23996.95</v>
      </c>
      <c r="G113">
        <v>24087.45</v>
      </c>
      <c r="H113">
        <v>23796.85</v>
      </c>
      <c r="I113">
        <v>23997.55</v>
      </c>
      <c r="J113">
        <v>505520648</v>
      </c>
      <c r="K113">
        <v>44420.83</v>
      </c>
      <c r="N113" s="98">
        <v>46024</v>
      </c>
      <c r="O113">
        <v>9.1850000000000005</v>
      </c>
      <c r="P113">
        <v>9.5549999999999997</v>
      </c>
      <c r="Q113">
        <v>8.9674999999999994</v>
      </c>
      <c r="R113">
        <v>9.4499999999999993</v>
      </c>
      <c r="S113">
        <v>9.1850000000000005</v>
      </c>
      <c r="T113">
        <v>0.27</v>
      </c>
      <c r="U113">
        <v>2.89</v>
      </c>
    </row>
    <row r="114" spans="5:21" x14ac:dyDescent="0.35">
      <c r="E114" s="98">
        <v>46141</v>
      </c>
      <c r="F114">
        <v>24096.9</v>
      </c>
      <c r="G114">
        <v>24334.7</v>
      </c>
      <c r="H114">
        <v>24059.95</v>
      </c>
      <c r="I114">
        <v>24177.65</v>
      </c>
      <c r="J114">
        <v>531122966</v>
      </c>
      <c r="K114">
        <v>38035.47</v>
      </c>
      <c r="N114" s="98">
        <v>46027</v>
      </c>
      <c r="O114">
        <v>9.4499999999999993</v>
      </c>
      <c r="P114">
        <v>10.215</v>
      </c>
      <c r="Q114">
        <v>9.2925000000000004</v>
      </c>
      <c r="R114">
        <v>10.02</v>
      </c>
      <c r="S114">
        <v>9.4499999999999993</v>
      </c>
      <c r="T114">
        <v>0.56999999999999995</v>
      </c>
      <c r="U114">
        <v>6.03</v>
      </c>
    </row>
    <row r="115" spans="5:21" x14ac:dyDescent="0.35">
      <c r="E115" s="98">
        <v>46140</v>
      </c>
      <c r="F115">
        <v>24049.9</v>
      </c>
      <c r="G115">
        <v>24181.8</v>
      </c>
      <c r="H115">
        <v>23957.05</v>
      </c>
      <c r="I115">
        <v>23995.7</v>
      </c>
      <c r="J115">
        <v>554134344</v>
      </c>
      <c r="K115">
        <v>43390.29</v>
      </c>
      <c r="N115" s="98">
        <v>46028</v>
      </c>
      <c r="O115">
        <v>10.022500000000001</v>
      </c>
      <c r="P115">
        <v>10.285</v>
      </c>
      <c r="Q115">
        <v>9.6475000000000009</v>
      </c>
      <c r="R115">
        <v>10.02</v>
      </c>
      <c r="S115">
        <v>10.022500000000001</v>
      </c>
      <c r="T115">
        <v>0</v>
      </c>
      <c r="U115">
        <v>-0.02</v>
      </c>
    </row>
    <row r="116" spans="5:21" x14ac:dyDescent="0.35">
      <c r="E116" s="98">
        <v>46139</v>
      </c>
      <c r="F116">
        <v>23945.45</v>
      </c>
      <c r="G116">
        <v>24130.7</v>
      </c>
      <c r="H116">
        <v>23936.2</v>
      </c>
      <c r="I116">
        <v>24092.7</v>
      </c>
      <c r="J116">
        <v>430297937</v>
      </c>
      <c r="K116">
        <v>36685.279999999999</v>
      </c>
      <c r="N116" s="98">
        <v>46029</v>
      </c>
      <c r="O116">
        <v>10.0175</v>
      </c>
      <c r="P116">
        <v>10.24</v>
      </c>
      <c r="Q116">
        <v>9.7449999999999992</v>
      </c>
      <c r="R116">
        <v>9.9499999999999993</v>
      </c>
      <c r="S116">
        <v>10.0175</v>
      </c>
      <c r="T116">
        <v>-7.0000000000000007E-2</v>
      </c>
      <c r="U116">
        <v>-0.67</v>
      </c>
    </row>
    <row r="117" spans="5:21" x14ac:dyDescent="0.35">
      <c r="E117" s="98">
        <v>46136</v>
      </c>
      <c r="F117">
        <v>24100.55</v>
      </c>
      <c r="G117">
        <v>24206</v>
      </c>
      <c r="H117">
        <v>23813.65</v>
      </c>
      <c r="I117">
        <v>23897.95</v>
      </c>
      <c r="J117">
        <v>438433486</v>
      </c>
      <c r="K117">
        <v>36898.39</v>
      </c>
      <c r="N117" s="98">
        <v>46030</v>
      </c>
      <c r="O117">
        <v>9.9499999999999993</v>
      </c>
      <c r="P117">
        <v>10.99</v>
      </c>
      <c r="Q117">
        <v>9.4749999999999996</v>
      </c>
      <c r="R117">
        <v>10.6</v>
      </c>
      <c r="S117">
        <v>9.9499999999999993</v>
      </c>
      <c r="T117">
        <v>0.65</v>
      </c>
      <c r="U117">
        <v>6.53</v>
      </c>
    </row>
    <row r="118" spans="5:21" x14ac:dyDescent="0.35">
      <c r="E118" s="98">
        <v>46135</v>
      </c>
      <c r="F118">
        <v>24202.35</v>
      </c>
      <c r="G118">
        <v>24310.2</v>
      </c>
      <c r="H118">
        <v>24134.799999999999</v>
      </c>
      <c r="I118">
        <v>24173.05</v>
      </c>
      <c r="J118">
        <v>467549860</v>
      </c>
      <c r="K118">
        <v>39616.97</v>
      </c>
      <c r="N118" s="98">
        <v>46031</v>
      </c>
      <c r="O118">
        <v>10.6</v>
      </c>
      <c r="P118">
        <v>11.035</v>
      </c>
      <c r="Q118">
        <v>10.217499999999999</v>
      </c>
      <c r="R118">
        <v>10.93</v>
      </c>
      <c r="S118">
        <v>10.6</v>
      </c>
      <c r="T118">
        <v>0.33</v>
      </c>
      <c r="U118">
        <v>3.11</v>
      </c>
    </row>
    <row r="119" spans="5:21" x14ac:dyDescent="0.35">
      <c r="E119" s="98">
        <v>46134</v>
      </c>
      <c r="F119">
        <v>24470.85</v>
      </c>
      <c r="G119">
        <v>24515.95</v>
      </c>
      <c r="H119">
        <v>24352.9</v>
      </c>
      <c r="I119">
        <v>24378.1</v>
      </c>
      <c r="J119">
        <v>440524292</v>
      </c>
      <c r="K119">
        <v>38980.03</v>
      </c>
      <c r="N119" s="98">
        <v>46034</v>
      </c>
      <c r="O119">
        <v>10.925000000000001</v>
      </c>
      <c r="P119">
        <v>11.945</v>
      </c>
      <c r="Q119">
        <v>10.5175</v>
      </c>
      <c r="R119">
        <v>11.37</v>
      </c>
      <c r="S119">
        <v>10.925000000000001</v>
      </c>
      <c r="T119">
        <v>0.45</v>
      </c>
      <c r="U119">
        <v>4.07</v>
      </c>
    </row>
    <row r="120" spans="5:21" x14ac:dyDescent="0.35">
      <c r="E120" s="98">
        <v>46133</v>
      </c>
      <c r="F120">
        <v>24374.55</v>
      </c>
      <c r="G120">
        <v>24601.7</v>
      </c>
      <c r="H120">
        <v>24354.9</v>
      </c>
      <c r="I120">
        <v>24576.6</v>
      </c>
      <c r="J120">
        <v>425826834</v>
      </c>
      <c r="K120">
        <v>37315.699999999997</v>
      </c>
      <c r="N120" s="98">
        <v>46035</v>
      </c>
      <c r="O120">
        <v>11.3675</v>
      </c>
      <c r="P120">
        <v>11.68</v>
      </c>
      <c r="Q120">
        <v>10.637499999999999</v>
      </c>
      <c r="R120">
        <v>11.2</v>
      </c>
      <c r="S120">
        <v>11.3675</v>
      </c>
      <c r="T120">
        <v>-0.17</v>
      </c>
      <c r="U120">
        <v>-1.47</v>
      </c>
    </row>
    <row r="121" spans="5:21" x14ac:dyDescent="0.35">
      <c r="E121" s="98">
        <v>46132</v>
      </c>
      <c r="F121">
        <v>24391.5</v>
      </c>
      <c r="G121">
        <v>24480.65</v>
      </c>
      <c r="H121">
        <v>24241.25</v>
      </c>
      <c r="I121">
        <v>24364.85</v>
      </c>
      <c r="J121">
        <v>415942883</v>
      </c>
      <c r="K121">
        <v>35042.31</v>
      </c>
      <c r="N121" s="98">
        <v>46036</v>
      </c>
      <c r="O121">
        <v>11.1975</v>
      </c>
      <c r="P121">
        <v>11.4725</v>
      </c>
      <c r="Q121">
        <v>11.012499999999999</v>
      </c>
      <c r="R121">
        <v>11.32</v>
      </c>
      <c r="S121">
        <v>11.1975</v>
      </c>
      <c r="T121">
        <v>0.12</v>
      </c>
      <c r="U121">
        <v>1.0900000000000001</v>
      </c>
    </row>
    <row r="122" spans="5:21" x14ac:dyDescent="0.35">
      <c r="E122" s="98">
        <v>46129</v>
      </c>
      <c r="F122">
        <v>24165.9</v>
      </c>
      <c r="G122">
        <v>24371.9</v>
      </c>
      <c r="H122">
        <v>24096.05</v>
      </c>
      <c r="I122">
        <v>24353.55</v>
      </c>
      <c r="J122">
        <v>498625189</v>
      </c>
      <c r="K122">
        <v>35373.29</v>
      </c>
      <c r="N122" s="98">
        <v>46038</v>
      </c>
      <c r="O122">
        <v>11.32</v>
      </c>
      <c r="P122">
        <v>11.574999999999999</v>
      </c>
      <c r="Q122">
        <v>10.875</v>
      </c>
      <c r="R122">
        <v>11.37</v>
      </c>
      <c r="S122">
        <v>11.32</v>
      </c>
      <c r="T122">
        <v>0.05</v>
      </c>
      <c r="U122">
        <v>0.44</v>
      </c>
    </row>
    <row r="123" spans="5:21" x14ac:dyDescent="0.35">
      <c r="E123" s="98">
        <v>46128</v>
      </c>
      <c r="F123">
        <v>24385.200000000001</v>
      </c>
      <c r="G123">
        <v>24400.95</v>
      </c>
      <c r="H123">
        <v>24102.799999999999</v>
      </c>
      <c r="I123">
        <v>24196.75</v>
      </c>
      <c r="J123">
        <v>508017772</v>
      </c>
      <c r="K123">
        <v>44634.35</v>
      </c>
      <c r="N123" s="98">
        <v>46041</v>
      </c>
      <c r="O123">
        <v>11.3725</v>
      </c>
      <c r="P123">
        <v>12.125</v>
      </c>
      <c r="Q123">
        <v>10.3925</v>
      </c>
      <c r="R123">
        <v>11.83</v>
      </c>
      <c r="S123">
        <v>11.3725</v>
      </c>
      <c r="T123">
        <v>0.46</v>
      </c>
      <c r="U123">
        <v>4.0199999999999996</v>
      </c>
    </row>
    <row r="124" spans="5:21" x14ac:dyDescent="0.35">
      <c r="E124" s="98">
        <v>46127</v>
      </c>
      <c r="F124">
        <v>24163.8</v>
      </c>
      <c r="G124">
        <v>24280.9</v>
      </c>
      <c r="H124">
        <v>24145.8</v>
      </c>
      <c r="I124">
        <v>24231.3</v>
      </c>
      <c r="J124">
        <v>460334041</v>
      </c>
      <c r="K124">
        <v>38376.839999999997</v>
      </c>
      <c r="N124" s="98">
        <v>46042</v>
      </c>
      <c r="O124">
        <v>11.827500000000001</v>
      </c>
      <c r="P124">
        <v>12.9025</v>
      </c>
      <c r="Q124">
        <v>10.994999999999999</v>
      </c>
      <c r="R124">
        <v>12.73</v>
      </c>
      <c r="S124">
        <v>11.827500000000001</v>
      </c>
      <c r="T124">
        <v>0.9</v>
      </c>
      <c r="U124">
        <v>7.63</v>
      </c>
    </row>
    <row r="125" spans="5:21" x14ac:dyDescent="0.35">
      <c r="E125" s="98">
        <v>46125</v>
      </c>
      <c r="F125">
        <v>23589.599999999999</v>
      </c>
      <c r="G125">
        <v>23907.4</v>
      </c>
      <c r="H125">
        <v>23555.599999999999</v>
      </c>
      <c r="I125">
        <v>23842.65</v>
      </c>
      <c r="J125">
        <v>488844789</v>
      </c>
      <c r="K125">
        <v>41931.51</v>
      </c>
      <c r="N125" s="98">
        <v>46043</v>
      </c>
      <c r="O125">
        <v>12.73</v>
      </c>
      <c r="P125">
        <v>14.43</v>
      </c>
      <c r="Q125">
        <v>12.432499999999999</v>
      </c>
      <c r="R125">
        <v>13.78</v>
      </c>
      <c r="S125">
        <v>12.73</v>
      </c>
      <c r="T125">
        <v>1.05</v>
      </c>
      <c r="U125">
        <v>8.25</v>
      </c>
    </row>
    <row r="126" spans="5:21" x14ac:dyDescent="0.35">
      <c r="E126" s="98">
        <v>46122</v>
      </c>
      <c r="F126">
        <v>23880.55</v>
      </c>
      <c r="G126">
        <v>24074.05</v>
      </c>
      <c r="H126">
        <v>23856.35</v>
      </c>
      <c r="I126">
        <v>24050.6</v>
      </c>
      <c r="J126">
        <v>481302436</v>
      </c>
      <c r="K126">
        <v>40109.22</v>
      </c>
      <c r="N126" s="98">
        <v>46044</v>
      </c>
      <c r="O126">
        <v>13.78</v>
      </c>
      <c r="P126">
        <v>14.327500000000001</v>
      </c>
      <c r="Q126">
        <v>12.907500000000001</v>
      </c>
      <c r="R126">
        <v>13.35</v>
      </c>
      <c r="S126">
        <v>13.78</v>
      </c>
      <c r="T126">
        <v>-0.43</v>
      </c>
      <c r="U126">
        <v>-3.12</v>
      </c>
    </row>
    <row r="127" spans="5:21" x14ac:dyDescent="0.35">
      <c r="E127" s="98">
        <v>46121</v>
      </c>
      <c r="F127">
        <v>23909.05</v>
      </c>
      <c r="G127">
        <v>23990.75</v>
      </c>
      <c r="H127">
        <v>23682.799999999999</v>
      </c>
      <c r="I127">
        <v>23775.1</v>
      </c>
      <c r="J127">
        <v>466587329</v>
      </c>
      <c r="K127">
        <v>40443.589999999997</v>
      </c>
      <c r="N127" s="98">
        <v>46045</v>
      </c>
      <c r="O127">
        <v>13.35</v>
      </c>
      <c r="P127">
        <v>14.432499999999999</v>
      </c>
      <c r="Q127">
        <v>12.282500000000001</v>
      </c>
      <c r="R127">
        <v>14.19</v>
      </c>
      <c r="S127">
        <v>13.35</v>
      </c>
      <c r="T127">
        <v>0.84</v>
      </c>
      <c r="U127">
        <v>6.29</v>
      </c>
    </row>
    <row r="128" spans="5:21" x14ac:dyDescent="0.35">
      <c r="E128" s="98">
        <v>46120</v>
      </c>
      <c r="F128">
        <v>23855.15</v>
      </c>
      <c r="G128">
        <v>24025.15</v>
      </c>
      <c r="H128">
        <v>23828.5</v>
      </c>
      <c r="I128">
        <v>23997.35</v>
      </c>
      <c r="J128">
        <v>639257993</v>
      </c>
      <c r="K128">
        <v>56557.11</v>
      </c>
      <c r="N128" s="98">
        <v>46049</v>
      </c>
      <c r="O128">
        <v>14.192500000000001</v>
      </c>
      <c r="P128">
        <v>16.057500000000001</v>
      </c>
      <c r="Q128">
        <v>13.922499999999999</v>
      </c>
      <c r="R128">
        <v>14.45</v>
      </c>
      <c r="S128">
        <v>14.192500000000001</v>
      </c>
      <c r="T128">
        <v>0.26</v>
      </c>
      <c r="U128">
        <v>1.81</v>
      </c>
    </row>
    <row r="129" spans="5:21" x14ac:dyDescent="0.35">
      <c r="E129" s="98">
        <v>46119</v>
      </c>
      <c r="F129">
        <v>22838.7</v>
      </c>
      <c r="G129">
        <v>23153.85</v>
      </c>
      <c r="H129">
        <v>22719.3</v>
      </c>
      <c r="I129">
        <v>23123.65</v>
      </c>
      <c r="J129">
        <v>476981883</v>
      </c>
      <c r="K129">
        <v>38940.47</v>
      </c>
      <c r="N129" s="98">
        <v>46050</v>
      </c>
      <c r="O129">
        <v>14.452500000000001</v>
      </c>
      <c r="P129">
        <v>14.51</v>
      </c>
      <c r="Q129">
        <v>13.44</v>
      </c>
      <c r="R129">
        <v>13.53</v>
      </c>
      <c r="S129">
        <v>14.452500000000001</v>
      </c>
      <c r="T129">
        <v>-0.92</v>
      </c>
      <c r="U129">
        <v>-6.38</v>
      </c>
    </row>
    <row r="130" spans="5:21" x14ac:dyDescent="0.35">
      <c r="E130" s="98">
        <v>46118</v>
      </c>
      <c r="F130">
        <v>22780.3</v>
      </c>
      <c r="G130">
        <v>22998.35</v>
      </c>
      <c r="H130">
        <v>22542.95</v>
      </c>
      <c r="I130">
        <v>22968.25</v>
      </c>
      <c r="J130">
        <v>426416812</v>
      </c>
      <c r="K130">
        <v>35893.160000000003</v>
      </c>
      <c r="N130" s="98">
        <v>46051</v>
      </c>
      <c r="O130">
        <v>13.525</v>
      </c>
      <c r="P130">
        <v>14.192500000000001</v>
      </c>
      <c r="Q130">
        <v>13.0725</v>
      </c>
      <c r="R130">
        <v>13.37</v>
      </c>
      <c r="S130">
        <v>13.525</v>
      </c>
      <c r="T130">
        <v>-0.16</v>
      </c>
      <c r="U130">
        <v>-1.1499999999999999</v>
      </c>
    </row>
    <row r="131" spans="5:21" x14ac:dyDescent="0.35">
      <c r="E131" s="98">
        <v>46114</v>
      </c>
      <c r="F131">
        <v>22383.4</v>
      </c>
      <c r="G131">
        <v>22782.3</v>
      </c>
      <c r="H131">
        <v>22182.55</v>
      </c>
      <c r="I131">
        <v>22713.1</v>
      </c>
      <c r="J131">
        <v>495121035</v>
      </c>
      <c r="K131">
        <v>38669.56</v>
      </c>
      <c r="N131" s="98">
        <v>46052</v>
      </c>
      <c r="O131">
        <v>13.37</v>
      </c>
      <c r="P131">
        <v>14.23</v>
      </c>
      <c r="Q131">
        <v>12.8825</v>
      </c>
      <c r="R131">
        <v>13.63</v>
      </c>
      <c r="S131">
        <v>13.37</v>
      </c>
      <c r="T131">
        <v>0.26</v>
      </c>
      <c r="U131">
        <v>1.94</v>
      </c>
    </row>
    <row r="132" spans="5:21" x14ac:dyDescent="0.35">
      <c r="E132" s="98">
        <v>46113</v>
      </c>
      <c r="F132">
        <v>22899</v>
      </c>
      <c r="G132">
        <v>22941.3</v>
      </c>
      <c r="H132">
        <v>22618.6</v>
      </c>
      <c r="I132">
        <v>22679.4</v>
      </c>
      <c r="J132">
        <v>517954448</v>
      </c>
      <c r="K132">
        <v>41192.199999999997</v>
      </c>
      <c r="N132" s="98">
        <v>46054</v>
      </c>
      <c r="O132">
        <v>13.6325</v>
      </c>
      <c r="P132">
        <v>16.112500000000001</v>
      </c>
      <c r="Q132">
        <v>13.3475</v>
      </c>
      <c r="R132">
        <v>15.1</v>
      </c>
      <c r="S132">
        <v>13.6325</v>
      </c>
      <c r="T132">
        <v>1.47</v>
      </c>
      <c r="U132">
        <v>10.76</v>
      </c>
    </row>
    <row r="133" spans="5:21" x14ac:dyDescent="0.35">
      <c r="E133" s="98">
        <v>46111</v>
      </c>
      <c r="F133">
        <v>22549.65</v>
      </c>
      <c r="G133">
        <v>22714.1</v>
      </c>
      <c r="H133">
        <v>22283.85</v>
      </c>
      <c r="I133">
        <v>22331.4</v>
      </c>
      <c r="J133">
        <v>698599891</v>
      </c>
      <c r="K133">
        <v>53093.7</v>
      </c>
      <c r="N133" s="98">
        <v>46055</v>
      </c>
      <c r="O133">
        <v>15.095000000000001</v>
      </c>
      <c r="P133">
        <v>15.5525</v>
      </c>
      <c r="Q133">
        <v>13.58</v>
      </c>
      <c r="R133">
        <v>13.87</v>
      </c>
      <c r="S133">
        <v>15.095000000000001</v>
      </c>
      <c r="T133">
        <v>-1.23</v>
      </c>
      <c r="U133">
        <v>-8.1199999999999992</v>
      </c>
    </row>
    <row r="134" spans="5:21" x14ac:dyDescent="0.35">
      <c r="E134" s="98">
        <v>46108</v>
      </c>
      <c r="F134">
        <v>23173.55</v>
      </c>
      <c r="G134">
        <v>23186.1</v>
      </c>
      <c r="H134">
        <v>22804.55</v>
      </c>
      <c r="I134">
        <v>22819.599999999999</v>
      </c>
      <c r="J134">
        <v>612556883</v>
      </c>
      <c r="K134">
        <v>47239.199999999997</v>
      </c>
      <c r="N134" s="98">
        <v>46056</v>
      </c>
      <c r="O134">
        <v>13.865</v>
      </c>
      <c r="P134">
        <v>15.465</v>
      </c>
      <c r="Q134">
        <v>11.85</v>
      </c>
      <c r="R134">
        <v>12.9</v>
      </c>
      <c r="S134">
        <v>13.865</v>
      </c>
      <c r="T134">
        <v>-0.97</v>
      </c>
      <c r="U134">
        <v>-6.96</v>
      </c>
    </row>
    <row r="135" spans="5:21" x14ac:dyDescent="0.35">
      <c r="E135" s="98">
        <v>46106</v>
      </c>
      <c r="F135">
        <v>23064.400000000001</v>
      </c>
      <c r="G135">
        <v>23465.35</v>
      </c>
      <c r="H135">
        <v>23063.200000000001</v>
      </c>
      <c r="I135">
        <v>23306.45</v>
      </c>
      <c r="J135">
        <v>505418973</v>
      </c>
      <c r="K135">
        <v>40733.980000000003</v>
      </c>
      <c r="N135" s="98">
        <v>46057</v>
      </c>
      <c r="O135">
        <v>12.895</v>
      </c>
      <c r="P135">
        <v>13.145</v>
      </c>
      <c r="Q135">
        <v>12.06</v>
      </c>
      <c r="R135">
        <v>12.25</v>
      </c>
      <c r="S135">
        <v>12.895</v>
      </c>
      <c r="T135">
        <v>-0.65</v>
      </c>
      <c r="U135">
        <v>-5</v>
      </c>
    </row>
    <row r="136" spans="5:21" x14ac:dyDescent="0.35">
      <c r="E136" s="98">
        <v>46105</v>
      </c>
      <c r="F136">
        <v>22878.45</v>
      </c>
      <c r="G136">
        <v>23057.3</v>
      </c>
      <c r="H136">
        <v>22624.2</v>
      </c>
      <c r="I136">
        <v>22912.400000000001</v>
      </c>
      <c r="J136">
        <v>538098322</v>
      </c>
      <c r="K136">
        <v>43385.04</v>
      </c>
      <c r="N136" s="98">
        <v>46058</v>
      </c>
      <c r="O136">
        <v>12.2525</v>
      </c>
      <c r="P136">
        <v>12.545</v>
      </c>
      <c r="Q136">
        <v>10.935</v>
      </c>
      <c r="R136">
        <v>12.17</v>
      </c>
      <c r="S136">
        <v>12.2525</v>
      </c>
      <c r="T136">
        <v>-0.08</v>
      </c>
      <c r="U136">
        <v>-0.67</v>
      </c>
    </row>
    <row r="137" spans="5:21" x14ac:dyDescent="0.35">
      <c r="E137" s="98">
        <v>46104</v>
      </c>
      <c r="F137">
        <v>22824.35</v>
      </c>
      <c r="G137">
        <v>22851.7</v>
      </c>
      <c r="H137">
        <v>22471.25</v>
      </c>
      <c r="I137">
        <v>22512.65</v>
      </c>
      <c r="J137">
        <v>550275334</v>
      </c>
      <c r="K137">
        <v>41002.589999999997</v>
      </c>
      <c r="N137" s="98">
        <v>46059</v>
      </c>
      <c r="O137">
        <v>12.1675</v>
      </c>
      <c r="P137">
        <v>12.345000000000001</v>
      </c>
      <c r="Q137">
        <v>11.16</v>
      </c>
      <c r="R137">
        <v>11.94</v>
      </c>
      <c r="S137">
        <v>12.1675</v>
      </c>
      <c r="T137">
        <v>-0.23</v>
      </c>
      <c r="U137">
        <v>-1.87</v>
      </c>
    </row>
    <row r="138" spans="5:21" x14ac:dyDescent="0.35">
      <c r="E138" s="98">
        <v>46101</v>
      </c>
      <c r="F138">
        <v>23110.15</v>
      </c>
      <c r="G138">
        <v>23345.15</v>
      </c>
      <c r="H138">
        <v>23067.599999999999</v>
      </c>
      <c r="I138">
        <v>23114.5</v>
      </c>
      <c r="J138">
        <v>663289390</v>
      </c>
      <c r="K138">
        <v>50308.33</v>
      </c>
      <c r="N138" s="98">
        <v>46062</v>
      </c>
      <c r="O138">
        <v>11.94</v>
      </c>
      <c r="P138">
        <v>12.28</v>
      </c>
      <c r="Q138">
        <v>10.67</v>
      </c>
      <c r="R138">
        <v>12.19</v>
      </c>
      <c r="S138">
        <v>11.94</v>
      </c>
      <c r="T138">
        <v>0.25</v>
      </c>
      <c r="U138">
        <v>2.09</v>
      </c>
    </row>
    <row r="139" spans="5:21" x14ac:dyDescent="0.35">
      <c r="E139" s="98">
        <v>46100</v>
      </c>
      <c r="F139">
        <v>23197.75</v>
      </c>
      <c r="G139">
        <v>23378.7</v>
      </c>
      <c r="H139">
        <v>22930.35</v>
      </c>
      <c r="I139">
        <v>23002.15</v>
      </c>
      <c r="J139">
        <v>550147401</v>
      </c>
      <c r="K139">
        <v>42000.27</v>
      </c>
      <c r="N139" s="98">
        <v>46063</v>
      </c>
      <c r="O139">
        <v>12.19</v>
      </c>
      <c r="P139">
        <v>12.19</v>
      </c>
      <c r="Q139">
        <v>10.355</v>
      </c>
      <c r="R139">
        <v>11.67</v>
      </c>
      <c r="S139">
        <v>12.19</v>
      </c>
      <c r="T139">
        <v>-0.52</v>
      </c>
      <c r="U139">
        <v>-4.2699999999999996</v>
      </c>
    </row>
    <row r="140" spans="5:21" x14ac:dyDescent="0.35">
      <c r="E140" s="98">
        <v>46099</v>
      </c>
      <c r="F140">
        <v>23632.9</v>
      </c>
      <c r="G140">
        <v>23862.25</v>
      </c>
      <c r="H140">
        <v>23618.45</v>
      </c>
      <c r="I140">
        <v>23777.8</v>
      </c>
      <c r="J140">
        <v>382876401</v>
      </c>
      <c r="K140">
        <v>28805.599999999999</v>
      </c>
      <c r="N140" s="98">
        <v>46064</v>
      </c>
      <c r="O140">
        <v>11.664999999999999</v>
      </c>
      <c r="P140">
        <v>11.7125</v>
      </c>
      <c r="Q140">
        <v>10.557499999999999</v>
      </c>
      <c r="R140">
        <v>11.55</v>
      </c>
      <c r="S140">
        <v>11.664999999999999</v>
      </c>
      <c r="T140">
        <v>-0.12</v>
      </c>
      <c r="U140">
        <v>-0.99</v>
      </c>
    </row>
    <row r="141" spans="5:21" x14ac:dyDescent="0.35">
      <c r="E141" s="98">
        <v>46098</v>
      </c>
      <c r="F141">
        <v>23493.200000000001</v>
      </c>
      <c r="G141">
        <v>23656.799999999999</v>
      </c>
      <c r="H141">
        <v>23346.6</v>
      </c>
      <c r="I141">
        <v>23581.15</v>
      </c>
      <c r="J141">
        <v>458788167</v>
      </c>
      <c r="K141">
        <v>34495.730000000003</v>
      </c>
      <c r="N141" s="98">
        <v>46065</v>
      </c>
      <c r="O141">
        <v>11.547499999999999</v>
      </c>
      <c r="P141">
        <v>12.1075</v>
      </c>
      <c r="Q141">
        <v>10.8475</v>
      </c>
      <c r="R141">
        <v>11.73</v>
      </c>
      <c r="S141">
        <v>11.547499999999999</v>
      </c>
      <c r="T141">
        <v>0.18</v>
      </c>
      <c r="U141">
        <v>1.58</v>
      </c>
    </row>
    <row r="142" spans="5:21" x14ac:dyDescent="0.35">
      <c r="E142" s="98">
        <v>46097</v>
      </c>
      <c r="F142">
        <v>23116.1</v>
      </c>
      <c r="G142">
        <v>23502</v>
      </c>
      <c r="H142">
        <v>22955.25</v>
      </c>
      <c r="I142">
        <v>23408.799999999999</v>
      </c>
      <c r="J142">
        <v>540293230</v>
      </c>
      <c r="K142">
        <v>44710.21</v>
      </c>
      <c r="N142" s="98">
        <v>46066</v>
      </c>
      <c r="O142">
        <v>11.725</v>
      </c>
      <c r="P142">
        <v>13.5825</v>
      </c>
      <c r="Q142">
        <v>10.9625</v>
      </c>
      <c r="R142">
        <v>13.29</v>
      </c>
      <c r="S142">
        <v>11.725</v>
      </c>
      <c r="T142">
        <v>1.57</v>
      </c>
      <c r="U142">
        <v>13.35</v>
      </c>
    </row>
    <row r="143" spans="5:21" x14ac:dyDescent="0.35">
      <c r="E143" s="98">
        <v>46094</v>
      </c>
      <c r="F143">
        <v>23462.5</v>
      </c>
      <c r="G143">
        <v>23492.400000000001</v>
      </c>
      <c r="H143">
        <v>23112</v>
      </c>
      <c r="I143">
        <v>23151.1</v>
      </c>
      <c r="J143">
        <v>519776752</v>
      </c>
      <c r="K143">
        <v>40786.699999999997</v>
      </c>
      <c r="N143" s="98">
        <v>46069</v>
      </c>
      <c r="O143">
        <v>13.2925</v>
      </c>
      <c r="P143">
        <v>13.8325</v>
      </c>
      <c r="Q143">
        <v>13.234999999999999</v>
      </c>
      <c r="R143">
        <v>13.33</v>
      </c>
      <c r="S143">
        <v>13.2925</v>
      </c>
      <c r="T143">
        <v>0.04</v>
      </c>
      <c r="U143">
        <v>0.28000000000000003</v>
      </c>
    </row>
    <row r="144" spans="5:21" x14ac:dyDescent="0.35">
      <c r="E144" s="98">
        <v>46093</v>
      </c>
      <c r="F144">
        <v>23674.85</v>
      </c>
      <c r="G144">
        <v>23833.15</v>
      </c>
      <c r="H144">
        <v>23556.3</v>
      </c>
      <c r="I144">
        <v>23639.15</v>
      </c>
      <c r="J144">
        <v>501004098</v>
      </c>
      <c r="K144">
        <v>40147.620000000003</v>
      </c>
      <c r="N144" s="98">
        <v>46070</v>
      </c>
      <c r="O144">
        <v>13.33</v>
      </c>
      <c r="P144">
        <v>13.477499999999999</v>
      </c>
      <c r="Q144">
        <v>11.625</v>
      </c>
      <c r="R144">
        <v>12.67</v>
      </c>
      <c r="S144">
        <v>13.33</v>
      </c>
      <c r="T144">
        <v>-0.66</v>
      </c>
      <c r="U144">
        <v>-4.95</v>
      </c>
    </row>
    <row r="145" spans="5:21" x14ac:dyDescent="0.35">
      <c r="E145" s="98">
        <v>46092</v>
      </c>
      <c r="F145">
        <v>24231.85</v>
      </c>
      <c r="G145">
        <v>24299</v>
      </c>
      <c r="H145">
        <v>23834.3</v>
      </c>
      <c r="I145">
        <v>23866.85</v>
      </c>
      <c r="J145">
        <v>407400643</v>
      </c>
      <c r="K145">
        <v>32549.4</v>
      </c>
      <c r="N145" s="98">
        <v>46071</v>
      </c>
      <c r="O145">
        <v>12.672499999999999</v>
      </c>
      <c r="P145">
        <v>12.7675</v>
      </c>
      <c r="Q145">
        <v>11.352499999999999</v>
      </c>
      <c r="R145">
        <v>12.22</v>
      </c>
      <c r="S145">
        <v>12.672499999999999</v>
      </c>
      <c r="T145">
        <v>-0.45</v>
      </c>
      <c r="U145">
        <v>-3.57</v>
      </c>
    </row>
    <row r="146" spans="5:21" x14ac:dyDescent="0.35">
      <c r="E146" s="98">
        <v>46091</v>
      </c>
      <c r="F146">
        <v>24280.799999999999</v>
      </c>
      <c r="G146">
        <v>24303.8</v>
      </c>
      <c r="H146">
        <v>24079.95</v>
      </c>
      <c r="I146">
        <v>24261.599999999999</v>
      </c>
      <c r="J146">
        <v>444283436</v>
      </c>
      <c r="K146">
        <v>36657.53</v>
      </c>
      <c r="N146" s="98">
        <v>46072</v>
      </c>
      <c r="O146">
        <v>12.2225</v>
      </c>
      <c r="P146">
        <v>13.68</v>
      </c>
      <c r="Q146">
        <v>9.73</v>
      </c>
      <c r="R146">
        <v>13.46</v>
      </c>
      <c r="S146">
        <v>12.2225</v>
      </c>
      <c r="T146">
        <v>1.24</v>
      </c>
      <c r="U146">
        <v>10.119999999999999</v>
      </c>
    </row>
    <row r="147" spans="5:21" x14ac:dyDescent="0.35">
      <c r="E147" s="98">
        <v>46090</v>
      </c>
      <c r="F147">
        <v>23868.05</v>
      </c>
      <c r="G147">
        <v>24078.15</v>
      </c>
      <c r="H147">
        <v>23697.8</v>
      </c>
      <c r="I147">
        <v>24028.05</v>
      </c>
      <c r="J147">
        <v>526901605</v>
      </c>
      <c r="K147">
        <v>40569.31</v>
      </c>
      <c r="N147" s="98">
        <v>46073</v>
      </c>
      <c r="O147">
        <v>13.46</v>
      </c>
      <c r="P147">
        <v>14.782500000000001</v>
      </c>
      <c r="Q147">
        <v>13.095000000000001</v>
      </c>
      <c r="R147">
        <v>14.36</v>
      </c>
      <c r="S147">
        <v>13.46</v>
      </c>
      <c r="T147">
        <v>0.9</v>
      </c>
      <c r="U147">
        <v>6.69</v>
      </c>
    </row>
    <row r="148" spans="5:21" x14ac:dyDescent="0.35">
      <c r="E148" s="98">
        <v>46087</v>
      </c>
      <c r="F148">
        <v>24656.400000000001</v>
      </c>
      <c r="G148">
        <v>24700.799999999999</v>
      </c>
      <c r="H148">
        <v>24415.75</v>
      </c>
      <c r="I148">
        <v>24450.45</v>
      </c>
      <c r="J148">
        <v>433408256</v>
      </c>
      <c r="K148">
        <v>35453.32</v>
      </c>
      <c r="N148" s="98">
        <v>46076</v>
      </c>
      <c r="O148">
        <v>14.362500000000001</v>
      </c>
      <c r="P148">
        <v>14.477499999999999</v>
      </c>
      <c r="Q148">
        <v>12.772500000000001</v>
      </c>
      <c r="R148">
        <v>14.17</v>
      </c>
      <c r="S148">
        <v>14.362500000000001</v>
      </c>
      <c r="T148">
        <v>-0.19</v>
      </c>
      <c r="U148">
        <v>-1.34</v>
      </c>
    </row>
    <row r="149" spans="5:21" x14ac:dyDescent="0.35">
      <c r="E149" s="98">
        <v>46086</v>
      </c>
      <c r="F149">
        <v>24615.95</v>
      </c>
      <c r="G149">
        <v>24854.2</v>
      </c>
      <c r="H149">
        <v>24529.4</v>
      </c>
      <c r="I149">
        <v>24765.9</v>
      </c>
      <c r="J149">
        <v>504339053</v>
      </c>
      <c r="K149">
        <v>40011.879999999997</v>
      </c>
      <c r="N149" s="98">
        <v>46077</v>
      </c>
      <c r="O149">
        <v>14.1675</v>
      </c>
      <c r="P149">
        <v>14.9475</v>
      </c>
      <c r="Q149">
        <v>12.3475</v>
      </c>
      <c r="R149">
        <v>14.15</v>
      </c>
      <c r="S149">
        <v>14.1675</v>
      </c>
      <c r="T149">
        <v>-0.02</v>
      </c>
      <c r="U149">
        <v>-0.12</v>
      </c>
    </row>
    <row r="150" spans="5:21" x14ac:dyDescent="0.35">
      <c r="E150" s="98">
        <v>46085</v>
      </c>
      <c r="F150">
        <v>24388.799999999999</v>
      </c>
      <c r="G150">
        <v>24602.45</v>
      </c>
      <c r="H150">
        <v>24305.4</v>
      </c>
      <c r="I150">
        <v>24480.5</v>
      </c>
      <c r="J150">
        <v>598993881</v>
      </c>
      <c r="K150">
        <v>47700.19</v>
      </c>
      <c r="N150" s="98">
        <v>46078</v>
      </c>
      <c r="O150">
        <v>14.15</v>
      </c>
      <c r="P150">
        <v>14.15</v>
      </c>
      <c r="Q150">
        <v>12.8375</v>
      </c>
      <c r="R150">
        <v>13.49</v>
      </c>
      <c r="S150">
        <v>14.15</v>
      </c>
      <c r="T150">
        <v>-0.66</v>
      </c>
      <c r="U150">
        <v>-4.66</v>
      </c>
    </row>
    <row r="151" spans="5:21" x14ac:dyDescent="0.35">
      <c r="E151" s="98">
        <v>46083</v>
      </c>
      <c r="F151">
        <v>24659.25</v>
      </c>
      <c r="G151">
        <v>24989.35</v>
      </c>
      <c r="H151">
        <v>24603.5</v>
      </c>
      <c r="I151">
        <v>24865.7</v>
      </c>
      <c r="J151">
        <v>519228821</v>
      </c>
      <c r="K151">
        <v>41306.370000000003</v>
      </c>
      <c r="N151" s="98">
        <v>46079</v>
      </c>
      <c r="O151">
        <v>13.487500000000001</v>
      </c>
      <c r="P151">
        <v>13.605</v>
      </c>
      <c r="Q151">
        <v>11.8125</v>
      </c>
      <c r="R151">
        <v>13.06</v>
      </c>
      <c r="S151">
        <v>13.487500000000001</v>
      </c>
      <c r="T151">
        <v>-0.43</v>
      </c>
      <c r="U151">
        <v>-3.17</v>
      </c>
    </row>
    <row r="152" spans="5:21" x14ac:dyDescent="0.35">
      <c r="E152" s="98">
        <v>46080</v>
      </c>
      <c r="F152">
        <v>25459.85</v>
      </c>
      <c r="G152">
        <v>25476.400000000001</v>
      </c>
      <c r="H152">
        <v>25141.3</v>
      </c>
      <c r="I152">
        <v>25178.65</v>
      </c>
      <c r="J152">
        <v>438924282</v>
      </c>
      <c r="K152">
        <v>38634.68</v>
      </c>
      <c r="N152" s="98">
        <v>46080</v>
      </c>
      <c r="O152">
        <v>13.0625</v>
      </c>
      <c r="P152">
        <v>14.035</v>
      </c>
      <c r="Q152">
        <v>11.2</v>
      </c>
      <c r="R152">
        <v>13.7</v>
      </c>
      <c r="S152">
        <v>13.0625</v>
      </c>
      <c r="T152">
        <v>0.64</v>
      </c>
      <c r="U152">
        <v>4.88</v>
      </c>
    </row>
    <row r="153" spans="5:21" x14ac:dyDescent="0.35">
      <c r="E153" s="98">
        <v>46079</v>
      </c>
      <c r="F153">
        <v>25556.3</v>
      </c>
      <c r="G153">
        <v>25572.95</v>
      </c>
      <c r="H153">
        <v>25400.95</v>
      </c>
      <c r="I153">
        <v>25496.55</v>
      </c>
      <c r="J153">
        <v>405219244</v>
      </c>
      <c r="K153">
        <v>33155.5</v>
      </c>
      <c r="N153" s="98">
        <v>46083</v>
      </c>
      <c r="O153">
        <v>13.702500000000001</v>
      </c>
      <c r="P153">
        <v>17.8125</v>
      </c>
      <c r="Q153">
        <v>12.824999999999999</v>
      </c>
      <c r="R153">
        <v>17.13</v>
      </c>
      <c r="S153">
        <v>13.702500000000001</v>
      </c>
      <c r="T153">
        <v>3.43</v>
      </c>
      <c r="U153">
        <v>25.01</v>
      </c>
    </row>
    <row r="154" spans="5:21" x14ac:dyDescent="0.35">
      <c r="E154" s="98">
        <v>46078</v>
      </c>
      <c r="F154">
        <v>25512.6</v>
      </c>
      <c r="G154">
        <v>25652.6</v>
      </c>
      <c r="H154">
        <v>25428.2</v>
      </c>
      <c r="I154">
        <v>25482.5</v>
      </c>
      <c r="J154">
        <v>414215742</v>
      </c>
      <c r="K154">
        <v>31084.17</v>
      </c>
      <c r="N154" s="98">
        <v>46085</v>
      </c>
      <c r="O154">
        <v>17.13</v>
      </c>
      <c r="P154">
        <v>21.3675</v>
      </c>
      <c r="Q154">
        <v>16.967500000000001</v>
      </c>
      <c r="R154">
        <v>21.14</v>
      </c>
      <c r="S154">
        <v>17.13</v>
      </c>
      <c r="T154">
        <v>4.01</v>
      </c>
      <c r="U154">
        <v>23.41</v>
      </c>
    </row>
    <row r="155" spans="5:21" x14ac:dyDescent="0.35">
      <c r="E155" s="98">
        <v>46077</v>
      </c>
      <c r="F155">
        <v>25641.8</v>
      </c>
      <c r="G155">
        <v>25641.8</v>
      </c>
      <c r="H155">
        <v>25327.599999999999</v>
      </c>
      <c r="I155">
        <v>25424.65</v>
      </c>
      <c r="J155">
        <v>439068188</v>
      </c>
      <c r="K155">
        <v>36735.379999999997</v>
      </c>
      <c r="N155" s="98">
        <v>46086</v>
      </c>
      <c r="O155">
        <v>21.14</v>
      </c>
      <c r="P155">
        <v>21.14</v>
      </c>
      <c r="Q155">
        <v>17.302499999999998</v>
      </c>
      <c r="R155">
        <v>17.86</v>
      </c>
      <c r="S155">
        <v>21.14</v>
      </c>
      <c r="T155">
        <v>-3.28</v>
      </c>
      <c r="U155">
        <v>-15.52</v>
      </c>
    </row>
    <row r="156" spans="5:21" x14ac:dyDescent="0.35">
      <c r="E156" s="98">
        <v>46076</v>
      </c>
      <c r="F156">
        <v>25678.400000000001</v>
      </c>
      <c r="G156">
        <v>25771.45</v>
      </c>
      <c r="H156">
        <v>25609.35</v>
      </c>
      <c r="I156">
        <v>25713</v>
      </c>
      <c r="J156">
        <v>399135843</v>
      </c>
      <c r="K156">
        <v>25494.639999999999</v>
      </c>
      <c r="N156" s="98">
        <v>46087</v>
      </c>
      <c r="O156">
        <v>17.857500000000002</v>
      </c>
      <c r="P156">
        <v>20.142499999999998</v>
      </c>
      <c r="Q156">
        <v>17.197500000000002</v>
      </c>
      <c r="R156">
        <v>19.88</v>
      </c>
      <c r="S156">
        <v>17.857500000000002</v>
      </c>
      <c r="T156">
        <v>2.02</v>
      </c>
      <c r="U156">
        <v>11.33</v>
      </c>
    </row>
    <row r="157" spans="5:21" x14ac:dyDescent="0.35">
      <c r="E157" s="98">
        <v>46073</v>
      </c>
      <c r="F157">
        <v>25406.55</v>
      </c>
      <c r="G157">
        <v>25663.55</v>
      </c>
      <c r="H157">
        <v>25379.75</v>
      </c>
      <c r="I157">
        <v>25571.25</v>
      </c>
      <c r="J157">
        <v>309373691</v>
      </c>
      <c r="K157">
        <v>24024.7</v>
      </c>
      <c r="N157" s="98">
        <v>46090</v>
      </c>
      <c r="O157">
        <v>19.88</v>
      </c>
      <c r="P157">
        <v>24.4925</v>
      </c>
      <c r="Q157">
        <v>19.217500000000001</v>
      </c>
      <c r="R157">
        <v>23.36</v>
      </c>
      <c r="S157">
        <v>19.88</v>
      </c>
      <c r="T157">
        <v>3.48</v>
      </c>
      <c r="U157">
        <v>17.510000000000002</v>
      </c>
    </row>
    <row r="158" spans="5:21" x14ac:dyDescent="0.35">
      <c r="E158" s="98">
        <v>46072</v>
      </c>
      <c r="F158">
        <v>25873.35</v>
      </c>
      <c r="G158">
        <v>25885.3</v>
      </c>
      <c r="H158">
        <v>25388.75</v>
      </c>
      <c r="I158">
        <v>25454.35</v>
      </c>
      <c r="J158">
        <v>333658812</v>
      </c>
      <c r="K158">
        <v>24756.87</v>
      </c>
      <c r="N158" s="98">
        <v>46091</v>
      </c>
      <c r="O158">
        <v>23.362500000000001</v>
      </c>
      <c r="P158">
        <v>23.362500000000001</v>
      </c>
      <c r="Q158">
        <v>18.7775</v>
      </c>
      <c r="R158">
        <v>18.91</v>
      </c>
      <c r="S158">
        <v>23.362500000000001</v>
      </c>
      <c r="T158">
        <v>-4.45</v>
      </c>
      <c r="U158">
        <v>-19.059999999999999</v>
      </c>
    </row>
    <row r="159" spans="5:21" x14ac:dyDescent="0.35">
      <c r="E159" s="98">
        <v>46071</v>
      </c>
      <c r="F159">
        <v>25752.65</v>
      </c>
      <c r="G159">
        <v>25828.05</v>
      </c>
      <c r="H159">
        <v>25645.15</v>
      </c>
      <c r="I159">
        <v>25819.35</v>
      </c>
      <c r="J159">
        <v>400807585</v>
      </c>
      <c r="K159">
        <v>22228.22</v>
      </c>
      <c r="N159" s="98">
        <v>46092</v>
      </c>
      <c r="O159">
        <v>18.905000000000001</v>
      </c>
      <c r="P159">
        <v>21.385000000000002</v>
      </c>
      <c r="Q159">
        <v>17.239999999999998</v>
      </c>
      <c r="R159">
        <v>21.06</v>
      </c>
      <c r="S159">
        <v>18.905000000000001</v>
      </c>
      <c r="T159">
        <v>2.16</v>
      </c>
      <c r="U159">
        <v>11.4</v>
      </c>
    </row>
    <row r="160" spans="5:21" x14ac:dyDescent="0.35">
      <c r="E160" s="98">
        <v>46070</v>
      </c>
      <c r="F160">
        <v>25637.95</v>
      </c>
      <c r="G160">
        <v>25764.400000000001</v>
      </c>
      <c r="H160">
        <v>25570.3</v>
      </c>
      <c r="I160">
        <v>25725.4</v>
      </c>
      <c r="J160">
        <v>378436265</v>
      </c>
      <c r="K160">
        <v>27818.81</v>
      </c>
      <c r="N160" s="98">
        <v>46093</v>
      </c>
      <c r="O160">
        <v>21.0625</v>
      </c>
      <c r="P160">
        <v>22.355</v>
      </c>
      <c r="Q160">
        <v>20.822500000000002</v>
      </c>
      <c r="R160">
        <v>21.52</v>
      </c>
      <c r="S160">
        <v>21.0625</v>
      </c>
      <c r="T160">
        <v>0.46</v>
      </c>
      <c r="U160">
        <v>2.17</v>
      </c>
    </row>
    <row r="161" spans="5:21" x14ac:dyDescent="0.35">
      <c r="E161" s="98">
        <v>46069</v>
      </c>
      <c r="F161">
        <v>25423.599999999999</v>
      </c>
      <c r="G161">
        <v>25697</v>
      </c>
      <c r="H161">
        <v>25372.7</v>
      </c>
      <c r="I161">
        <v>25682.75</v>
      </c>
      <c r="J161">
        <v>325487729</v>
      </c>
      <c r="K161">
        <v>22205.919999999998</v>
      </c>
      <c r="N161" s="98">
        <v>46094</v>
      </c>
      <c r="O161">
        <v>21.517499999999998</v>
      </c>
      <c r="P161">
        <v>22.8825</v>
      </c>
      <c r="Q161">
        <v>21.247499999999999</v>
      </c>
      <c r="R161">
        <v>22.65</v>
      </c>
      <c r="S161">
        <v>21.517499999999998</v>
      </c>
      <c r="T161">
        <v>1.1299999999999999</v>
      </c>
      <c r="U161">
        <v>5.26</v>
      </c>
    </row>
    <row r="162" spans="5:21" x14ac:dyDescent="0.35">
      <c r="E162" s="98">
        <v>46066</v>
      </c>
      <c r="F162">
        <v>25571.15</v>
      </c>
      <c r="G162">
        <v>25630.35</v>
      </c>
      <c r="H162">
        <v>25444.3</v>
      </c>
      <c r="I162">
        <v>25471.1</v>
      </c>
      <c r="J162">
        <v>453523192</v>
      </c>
      <c r="K162">
        <v>40137.15</v>
      </c>
      <c r="N162" s="98">
        <v>46097</v>
      </c>
      <c r="O162">
        <v>22.645</v>
      </c>
      <c r="P162">
        <v>22.875</v>
      </c>
      <c r="Q162">
        <v>19.82</v>
      </c>
      <c r="R162">
        <v>21.6</v>
      </c>
      <c r="S162">
        <v>22.645</v>
      </c>
      <c r="T162">
        <v>-1.05</v>
      </c>
      <c r="U162">
        <v>-4.6100000000000003</v>
      </c>
    </row>
    <row r="163" spans="5:21" x14ac:dyDescent="0.35">
      <c r="E163" s="98">
        <v>46065</v>
      </c>
      <c r="F163">
        <v>25906.7</v>
      </c>
      <c r="G163">
        <v>25906.7</v>
      </c>
      <c r="H163">
        <v>25752.400000000001</v>
      </c>
      <c r="I163">
        <v>25807.200000000001</v>
      </c>
      <c r="J163">
        <v>419388014</v>
      </c>
      <c r="K163">
        <v>38977.68</v>
      </c>
      <c r="N163" s="98">
        <v>46098</v>
      </c>
      <c r="O163">
        <v>21.602499999999999</v>
      </c>
      <c r="P163">
        <v>21.602499999999999</v>
      </c>
      <c r="Q163">
        <v>19.627500000000001</v>
      </c>
      <c r="R163">
        <v>19.79</v>
      </c>
      <c r="S163">
        <v>21.602499999999999</v>
      </c>
      <c r="T163">
        <v>-1.81</v>
      </c>
      <c r="U163">
        <v>-8.39</v>
      </c>
    </row>
    <row r="164" spans="5:21" x14ac:dyDescent="0.35">
      <c r="E164" s="98">
        <v>46064</v>
      </c>
      <c r="F164">
        <v>25997.45</v>
      </c>
      <c r="G164">
        <v>26009.4</v>
      </c>
      <c r="H164">
        <v>25899.8</v>
      </c>
      <c r="I164">
        <v>25953.85</v>
      </c>
      <c r="J164">
        <v>331389240</v>
      </c>
      <c r="K164">
        <v>31456.05</v>
      </c>
      <c r="N164" s="98">
        <v>46099</v>
      </c>
      <c r="O164">
        <v>19.79</v>
      </c>
      <c r="P164">
        <v>19.79</v>
      </c>
      <c r="Q164">
        <v>18.592500000000001</v>
      </c>
      <c r="R164">
        <v>18.72</v>
      </c>
      <c r="S164">
        <v>19.79</v>
      </c>
      <c r="T164">
        <v>-1.07</v>
      </c>
      <c r="U164">
        <v>-5.41</v>
      </c>
    </row>
    <row r="165" spans="5:21" x14ac:dyDescent="0.35">
      <c r="E165" s="98">
        <v>46063</v>
      </c>
      <c r="F165">
        <v>25922.65</v>
      </c>
      <c r="G165">
        <v>25989.45</v>
      </c>
      <c r="H165">
        <v>25870.45</v>
      </c>
      <c r="I165">
        <v>25935.15</v>
      </c>
      <c r="J165">
        <v>460878237</v>
      </c>
      <c r="K165">
        <v>32795.1</v>
      </c>
      <c r="N165" s="98">
        <v>46100</v>
      </c>
      <c r="O165">
        <v>18.7225</v>
      </c>
      <c r="P165">
        <v>23.195</v>
      </c>
      <c r="Q165">
        <v>18.7225</v>
      </c>
      <c r="R165">
        <v>22.8</v>
      </c>
      <c r="S165">
        <v>18.7225</v>
      </c>
      <c r="T165">
        <v>4.08</v>
      </c>
      <c r="U165">
        <v>21.78</v>
      </c>
    </row>
    <row r="166" spans="5:21" x14ac:dyDescent="0.35">
      <c r="E166" s="98">
        <v>46062</v>
      </c>
      <c r="F166">
        <v>25888.7</v>
      </c>
      <c r="G166">
        <v>25922.25</v>
      </c>
      <c r="H166">
        <v>25780.9</v>
      </c>
      <c r="I166">
        <v>25867.3</v>
      </c>
      <c r="J166">
        <v>359386006</v>
      </c>
      <c r="K166">
        <v>28449.55</v>
      </c>
      <c r="N166" s="98">
        <v>46101</v>
      </c>
      <c r="O166">
        <v>22.802499999999998</v>
      </c>
      <c r="P166">
        <v>23.137499999999999</v>
      </c>
      <c r="Q166">
        <v>21.684999999999999</v>
      </c>
      <c r="R166">
        <v>22.81</v>
      </c>
      <c r="S166">
        <v>22.802499999999998</v>
      </c>
      <c r="T166">
        <v>0.01</v>
      </c>
      <c r="U166">
        <v>0.03</v>
      </c>
    </row>
    <row r="167" spans="5:21" x14ac:dyDescent="0.35">
      <c r="E167" s="98">
        <v>46059</v>
      </c>
      <c r="F167">
        <v>25605.8</v>
      </c>
      <c r="G167">
        <v>25703.95</v>
      </c>
      <c r="H167">
        <v>25491.9</v>
      </c>
      <c r="I167">
        <v>25693.7</v>
      </c>
      <c r="J167">
        <v>375476124</v>
      </c>
      <c r="K167">
        <v>29777.45</v>
      </c>
      <c r="N167" s="98">
        <v>46104</v>
      </c>
      <c r="O167">
        <v>22.8125</v>
      </c>
      <c r="P167">
        <v>27.172499999999999</v>
      </c>
      <c r="Q167">
        <v>22.8125</v>
      </c>
      <c r="R167">
        <v>26.73</v>
      </c>
      <c r="S167">
        <v>22.8125</v>
      </c>
      <c r="T167">
        <v>3.92</v>
      </c>
      <c r="U167">
        <v>17.170000000000002</v>
      </c>
    </row>
    <row r="168" spans="5:21" x14ac:dyDescent="0.35">
      <c r="E168" s="98">
        <v>46058</v>
      </c>
      <c r="F168">
        <v>25755.9</v>
      </c>
      <c r="G168">
        <v>25757.65</v>
      </c>
      <c r="H168">
        <v>25579.5</v>
      </c>
      <c r="I168">
        <v>25642.799999999999</v>
      </c>
      <c r="J168">
        <v>343812628</v>
      </c>
      <c r="K168">
        <v>28582.32</v>
      </c>
      <c r="N168" s="98">
        <v>46105</v>
      </c>
      <c r="O168">
        <v>26.73</v>
      </c>
      <c r="P168">
        <v>26.73</v>
      </c>
      <c r="Q168">
        <v>24.63</v>
      </c>
      <c r="R168">
        <v>24.74</v>
      </c>
      <c r="S168">
        <v>26.73</v>
      </c>
      <c r="T168">
        <v>-1.99</v>
      </c>
      <c r="U168">
        <v>-7.44</v>
      </c>
    </row>
    <row r="169" spans="5:21" x14ac:dyDescent="0.35">
      <c r="E169" s="98">
        <v>46057</v>
      </c>
      <c r="F169">
        <v>25675.05</v>
      </c>
      <c r="G169">
        <v>25818.55</v>
      </c>
      <c r="H169">
        <v>25563.95</v>
      </c>
      <c r="I169">
        <v>25776</v>
      </c>
      <c r="J169">
        <v>429788986</v>
      </c>
      <c r="K169">
        <v>36899.120000000003</v>
      </c>
      <c r="N169" s="98">
        <v>46106</v>
      </c>
      <c r="O169">
        <v>24.74</v>
      </c>
      <c r="P169">
        <v>25.23</v>
      </c>
      <c r="Q169">
        <v>24.135000000000002</v>
      </c>
      <c r="R169">
        <v>24.64</v>
      </c>
      <c r="S169">
        <v>24.74</v>
      </c>
      <c r="T169">
        <v>-0.1</v>
      </c>
      <c r="U169">
        <v>-0.4</v>
      </c>
    </row>
    <row r="170" spans="5:21" x14ac:dyDescent="0.35">
      <c r="E170" s="98">
        <v>46056</v>
      </c>
      <c r="F170">
        <v>26308.05</v>
      </c>
      <c r="G170">
        <v>26341.200000000001</v>
      </c>
      <c r="H170">
        <v>25641.3</v>
      </c>
      <c r="I170">
        <v>25727.55</v>
      </c>
      <c r="J170">
        <v>637263148</v>
      </c>
      <c r="K170">
        <v>52338.39</v>
      </c>
      <c r="N170" s="98">
        <v>46108</v>
      </c>
      <c r="O170">
        <v>24.64</v>
      </c>
      <c r="P170">
        <v>27.087499999999999</v>
      </c>
      <c r="Q170">
        <v>23.385000000000002</v>
      </c>
      <c r="R170">
        <v>26.8</v>
      </c>
      <c r="S170">
        <v>24.64</v>
      </c>
      <c r="T170">
        <v>2.16</v>
      </c>
      <c r="U170">
        <v>8.77</v>
      </c>
    </row>
    <row r="171" spans="5:21" x14ac:dyDescent="0.35">
      <c r="E171" s="98">
        <v>46055</v>
      </c>
      <c r="F171">
        <v>24796.5</v>
      </c>
      <c r="G171">
        <v>25108.1</v>
      </c>
      <c r="H171">
        <v>24679.4</v>
      </c>
      <c r="I171">
        <v>25088.400000000001</v>
      </c>
      <c r="J171">
        <v>449215604</v>
      </c>
      <c r="K171">
        <v>34038.26</v>
      </c>
      <c r="N171" s="98">
        <v>46111</v>
      </c>
      <c r="O171">
        <v>26.802499999999998</v>
      </c>
      <c r="P171">
        <v>28.907499999999999</v>
      </c>
      <c r="Q171">
        <v>26.802499999999998</v>
      </c>
      <c r="R171">
        <v>27.89</v>
      </c>
      <c r="S171">
        <v>26.802499999999998</v>
      </c>
      <c r="T171">
        <v>1.0900000000000001</v>
      </c>
      <c r="U171">
        <v>4.0599999999999996</v>
      </c>
    </row>
    <row r="172" spans="5:21" x14ac:dyDescent="0.35">
      <c r="E172" s="98">
        <v>46054</v>
      </c>
      <c r="F172">
        <v>25333.75</v>
      </c>
      <c r="G172">
        <v>25440.9</v>
      </c>
      <c r="H172">
        <v>24571.75</v>
      </c>
      <c r="I172">
        <v>24825.45</v>
      </c>
      <c r="J172">
        <v>379370206</v>
      </c>
      <c r="K172">
        <v>25572.6</v>
      </c>
    </row>
    <row r="173" spans="5:21" x14ac:dyDescent="0.35">
      <c r="E173" s="98">
        <v>46052</v>
      </c>
      <c r="F173">
        <v>25247.55</v>
      </c>
      <c r="G173">
        <v>25370.7</v>
      </c>
      <c r="H173">
        <v>25213.65</v>
      </c>
      <c r="I173">
        <v>25320.65</v>
      </c>
      <c r="J173">
        <v>508388604</v>
      </c>
      <c r="K173">
        <v>40772.080000000002</v>
      </c>
    </row>
    <row r="174" spans="5:21" x14ac:dyDescent="0.35">
      <c r="E174" s="98">
        <v>46051</v>
      </c>
      <c r="F174">
        <v>25345</v>
      </c>
      <c r="G174">
        <v>25458.15</v>
      </c>
      <c r="H174">
        <v>25159.8</v>
      </c>
      <c r="I174">
        <v>25418.9</v>
      </c>
      <c r="J174">
        <v>582389331</v>
      </c>
      <c r="K174">
        <v>44306.95</v>
      </c>
    </row>
    <row r="175" spans="5:21" x14ac:dyDescent="0.35">
      <c r="E175" s="98">
        <v>46050</v>
      </c>
      <c r="F175">
        <v>25258.85</v>
      </c>
      <c r="G175">
        <v>25372.1</v>
      </c>
      <c r="H175">
        <v>25187.65</v>
      </c>
      <c r="I175">
        <v>25342.75</v>
      </c>
      <c r="J175">
        <v>574903942</v>
      </c>
      <c r="K175">
        <v>42364.52</v>
      </c>
    </row>
    <row r="176" spans="5:21" x14ac:dyDescent="0.35">
      <c r="E176" s="98">
        <v>46049</v>
      </c>
      <c r="F176">
        <v>25063.35</v>
      </c>
      <c r="G176">
        <v>25246.65</v>
      </c>
      <c r="H176">
        <v>24932.55</v>
      </c>
      <c r="I176">
        <v>25175.4</v>
      </c>
      <c r="J176">
        <v>618696080</v>
      </c>
      <c r="K176">
        <v>50989.25</v>
      </c>
    </row>
    <row r="177" spans="5:11" x14ac:dyDescent="0.35">
      <c r="E177" s="98">
        <v>46045</v>
      </c>
      <c r="F177">
        <v>25344.6</v>
      </c>
      <c r="G177">
        <v>25347.95</v>
      </c>
      <c r="H177">
        <v>25025.3</v>
      </c>
      <c r="I177">
        <v>25048.65</v>
      </c>
      <c r="J177">
        <v>393944908</v>
      </c>
      <c r="K177">
        <v>31844.65</v>
      </c>
    </row>
    <row r="178" spans="5:11" x14ac:dyDescent="0.35">
      <c r="E178" s="98">
        <v>46044</v>
      </c>
      <c r="F178">
        <v>25344.15</v>
      </c>
      <c r="G178">
        <v>25435.75</v>
      </c>
      <c r="H178">
        <v>25168.5</v>
      </c>
      <c r="I178">
        <v>25289.9</v>
      </c>
      <c r="J178">
        <v>486395433</v>
      </c>
      <c r="K178">
        <v>34583.24</v>
      </c>
    </row>
    <row r="179" spans="5:11" x14ac:dyDescent="0.35">
      <c r="E179" s="98">
        <v>46043</v>
      </c>
      <c r="F179">
        <v>25141</v>
      </c>
      <c r="G179">
        <v>25300.95</v>
      </c>
      <c r="H179">
        <v>24919.8</v>
      </c>
      <c r="I179">
        <v>25157.5</v>
      </c>
      <c r="J179">
        <v>395624981</v>
      </c>
      <c r="K179">
        <v>30984.61</v>
      </c>
    </row>
    <row r="180" spans="5:11" x14ac:dyDescent="0.35">
      <c r="E180" s="98">
        <v>46042</v>
      </c>
      <c r="F180">
        <v>25580.3</v>
      </c>
      <c r="G180">
        <v>25585</v>
      </c>
      <c r="H180">
        <v>25171.35</v>
      </c>
      <c r="I180">
        <v>25232.5</v>
      </c>
      <c r="J180">
        <v>409772324</v>
      </c>
      <c r="K180">
        <v>31020.36</v>
      </c>
    </row>
    <row r="181" spans="5:11" x14ac:dyDescent="0.35">
      <c r="E181" s="98">
        <v>46041</v>
      </c>
      <c r="F181">
        <v>25653.1</v>
      </c>
      <c r="G181">
        <v>25653.3</v>
      </c>
      <c r="H181">
        <v>25494.35</v>
      </c>
      <c r="I181">
        <v>25585.5</v>
      </c>
      <c r="J181">
        <v>443087953</v>
      </c>
      <c r="K181">
        <v>33632.379999999997</v>
      </c>
    </row>
    <row r="182" spans="5:11" x14ac:dyDescent="0.35">
      <c r="E182" s="98">
        <v>46038</v>
      </c>
      <c r="F182">
        <v>25696.05</v>
      </c>
      <c r="G182">
        <v>25873.5</v>
      </c>
      <c r="H182">
        <v>25662.400000000001</v>
      </c>
      <c r="I182">
        <v>25694.35</v>
      </c>
      <c r="J182">
        <v>434041776</v>
      </c>
      <c r="K182">
        <v>37156.050000000003</v>
      </c>
    </row>
    <row r="183" spans="5:11" x14ac:dyDescent="0.35">
      <c r="E183" s="98">
        <v>46036</v>
      </c>
      <c r="F183">
        <v>25648.55</v>
      </c>
      <c r="G183">
        <v>25791.75</v>
      </c>
      <c r="H183">
        <v>25603.95</v>
      </c>
      <c r="I183">
        <v>25665.599999999999</v>
      </c>
      <c r="J183">
        <v>393126596</v>
      </c>
      <c r="K183">
        <v>28944.880000000001</v>
      </c>
    </row>
    <row r="184" spans="5:11" x14ac:dyDescent="0.35">
      <c r="E184" s="98">
        <v>46035</v>
      </c>
      <c r="F184">
        <v>25897.35</v>
      </c>
      <c r="G184">
        <v>25899.8</v>
      </c>
      <c r="H184">
        <v>25603.3</v>
      </c>
      <c r="I184">
        <v>25732.3</v>
      </c>
      <c r="J184">
        <v>339536336</v>
      </c>
      <c r="K184">
        <v>31434.03</v>
      </c>
    </row>
    <row r="185" spans="5:11" x14ac:dyDescent="0.35">
      <c r="E185" s="98">
        <v>46034</v>
      </c>
      <c r="F185">
        <v>25669.05</v>
      </c>
      <c r="G185">
        <v>25813.15</v>
      </c>
      <c r="H185">
        <v>25473.4</v>
      </c>
      <c r="I185">
        <v>25790.25</v>
      </c>
      <c r="J185">
        <v>275757268</v>
      </c>
      <c r="K185">
        <v>23874.45</v>
      </c>
    </row>
    <row r="186" spans="5:11" x14ac:dyDescent="0.35">
      <c r="E186" s="98">
        <v>46031</v>
      </c>
      <c r="F186">
        <v>25840.400000000001</v>
      </c>
      <c r="G186">
        <v>25940.6</v>
      </c>
      <c r="H186">
        <v>25623</v>
      </c>
      <c r="I186">
        <v>25683.3</v>
      </c>
      <c r="J186">
        <v>348757262</v>
      </c>
      <c r="K186">
        <v>27486.639999999999</v>
      </c>
    </row>
    <row r="187" spans="5:11" x14ac:dyDescent="0.35">
      <c r="E187" s="98">
        <v>46030</v>
      </c>
      <c r="F187">
        <v>26106.5</v>
      </c>
      <c r="G187">
        <v>26133.200000000001</v>
      </c>
      <c r="H187">
        <v>25858.45</v>
      </c>
      <c r="I187">
        <v>25876.85</v>
      </c>
      <c r="J187">
        <v>328520950</v>
      </c>
      <c r="K187">
        <v>27556.32</v>
      </c>
    </row>
    <row r="188" spans="5:11" x14ac:dyDescent="0.35">
      <c r="E188" s="98">
        <v>46029</v>
      </c>
      <c r="F188">
        <v>26143.1</v>
      </c>
      <c r="G188">
        <v>26187.15</v>
      </c>
      <c r="H188">
        <v>26067.9</v>
      </c>
      <c r="I188">
        <v>26140.75</v>
      </c>
      <c r="J188">
        <v>338216740</v>
      </c>
      <c r="K188">
        <v>30232.63</v>
      </c>
    </row>
    <row r="189" spans="5:11" x14ac:dyDescent="0.35">
      <c r="E189" s="98">
        <v>46028</v>
      </c>
      <c r="F189">
        <v>26189.7</v>
      </c>
      <c r="G189">
        <v>26273.95</v>
      </c>
      <c r="H189">
        <v>26124.75</v>
      </c>
      <c r="I189">
        <v>26178.7</v>
      </c>
      <c r="J189">
        <v>383040203</v>
      </c>
      <c r="K189">
        <v>34567.519999999997</v>
      </c>
    </row>
    <row r="190" spans="5:11" x14ac:dyDescent="0.35">
      <c r="E190" s="98">
        <v>46027</v>
      </c>
      <c r="F190">
        <v>26333.7</v>
      </c>
      <c r="G190">
        <v>26373.200000000001</v>
      </c>
      <c r="H190">
        <v>26210.05</v>
      </c>
      <c r="I190">
        <v>26250.3</v>
      </c>
      <c r="J190">
        <v>338777649</v>
      </c>
      <c r="K190">
        <v>25742.83</v>
      </c>
    </row>
    <row r="191" spans="5:11" x14ac:dyDescent="0.35">
      <c r="E191" s="98">
        <v>46024</v>
      </c>
      <c r="F191">
        <v>26155.1</v>
      </c>
      <c r="G191">
        <v>26340</v>
      </c>
      <c r="H191">
        <v>26118.400000000001</v>
      </c>
      <c r="I191">
        <v>26328.55</v>
      </c>
      <c r="J191">
        <v>357547806</v>
      </c>
      <c r="K191">
        <v>23770.13</v>
      </c>
    </row>
    <row r="192" spans="5:11" x14ac:dyDescent="0.35">
      <c r="E192" s="98">
        <v>46023</v>
      </c>
      <c r="F192">
        <v>26173.3</v>
      </c>
      <c r="G192">
        <v>26197.55</v>
      </c>
      <c r="H192">
        <v>26113.4</v>
      </c>
      <c r="I192">
        <v>26146.55</v>
      </c>
      <c r="J192">
        <v>425631910</v>
      </c>
      <c r="K192">
        <v>23454.66</v>
      </c>
    </row>
    <row r="193" spans="5:11" x14ac:dyDescent="0.35">
      <c r="E193" s="98">
        <v>46022</v>
      </c>
      <c r="F193">
        <v>25971.05</v>
      </c>
      <c r="G193">
        <v>26187.95</v>
      </c>
      <c r="H193">
        <v>25969</v>
      </c>
      <c r="I193">
        <v>26129.599999999999</v>
      </c>
      <c r="J193">
        <v>246314941</v>
      </c>
      <c r="K193">
        <v>20703.990000000002</v>
      </c>
    </row>
    <row r="194" spans="5:11" x14ac:dyDescent="0.35">
      <c r="E194" s="98">
        <v>46021</v>
      </c>
      <c r="F194">
        <v>25940.9</v>
      </c>
      <c r="G194">
        <v>25976.75</v>
      </c>
      <c r="H194">
        <v>25878</v>
      </c>
      <c r="I194">
        <v>25938.85</v>
      </c>
      <c r="J194">
        <v>396893959</v>
      </c>
      <c r="K194">
        <v>39492.31</v>
      </c>
    </row>
    <row r="195" spans="5:11" x14ac:dyDescent="0.35">
      <c r="E195" s="98">
        <v>46020</v>
      </c>
      <c r="F195">
        <v>26063.35</v>
      </c>
      <c r="G195">
        <v>26106.799999999999</v>
      </c>
      <c r="H195">
        <v>25920.3</v>
      </c>
      <c r="I195">
        <v>25942.1</v>
      </c>
      <c r="J195">
        <v>234312888</v>
      </c>
      <c r="K195">
        <v>18184.45</v>
      </c>
    </row>
    <row r="196" spans="5:11" x14ac:dyDescent="0.35">
      <c r="E196" s="98">
        <v>46017</v>
      </c>
      <c r="F196">
        <v>26121.25</v>
      </c>
      <c r="G196">
        <v>26144.2</v>
      </c>
      <c r="H196">
        <v>26008.6</v>
      </c>
      <c r="I196">
        <v>26042.3</v>
      </c>
      <c r="J196">
        <v>142243763</v>
      </c>
      <c r="K196">
        <v>12263.06</v>
      </c>
    </row>
    <row r="197" spans="5:11" x14ac:dyDescent="0.35">
      <c r="E197" s="98">
        <v>46015</v>
      </c>
      <c r="F197">
        <v>26170.65</v>
      </c>
      <c r="G197">
        <v>26236.400000000001</v>
      </c>
      <c r="H197">
        <v>26123</v>
      </c>
      <c r="I197">
        <v>26142.1</v>
      </c>
      <c r="J197">
        <v>188846828</v>
      </c>
      <c r="K197">
        <v>17474.439999999999</v>
      </c>
    </row>
    <row r="198" spans="5:11" x14ac:dyDescent="0.35">
      <c r="E198" s="98">
        <v>46014</v>
      </c>
      <c r="F198">
        <v>26205.200000000001</v>
      </c>
      <c r="G198">
        <v>26233.55</v>
      </c>
      <c r="H198">
        <v>26119.05</v>
      </c>
      <c r="I198">
        <v>26177.15</v>
      </c>
      <c r="J198">
        <v>216553840</v>
      </c>
      <c r="K198">
        <v>19670.5</v>
      </c>
    </row>
    <row r="199" spans="5:11" x14ac:dyDescent="0.35">
      <c r="E199" s="98">
        <v>46013</v>
      </c>
      <c r="F199">
        <v>26055.85</v>
      </c>
      <c r="G199">
        <v>26180.7</v>
      </c>
      <c r="H199">
        <v>26047.8</v>
      </c>
      <c r="I199">
        <v>26172.400000000001</v>
      </c>
      <c r="J199">
        <v>252990050</v>
      </c>
      <c r="K199">
        <v>25333.26</v>
      </c>
    </row>
    <row r="200" spans="5:11" x14ac:dyDescent="0.35">
      <c r="E200" s="98">
        <v>46010</v>
      </c>
      <c r="F200">
        <v>25911.5</v>
      </c>
      <c r="G200">
        <v>25993.35</v>
      </c>
      <c r="H200">
        <v>25880.45</v>
      </c>
      <c r="I200">
        <v>25966.400000000001</v>
      </c>
      <c r="J200">
        <v>382927284</v>
      </c>
      <c r="K200">
        <v>36600.58</v>
      </c>
    </row>
    <row r="201" spans="5:11" x14ac:dyDescent="0.35">
      <c r="E201" s="98">
        <v>46009</v>
      </c>
      <c r="F201">
        <v>25764.7</v>
      </c>
      <c r="G201">
        <v>25902.35</v>
      </c>
      <c r="H201">
        <v>25726.3</v>
      </c>
      <c r="I201">
        <v>25815.55</v>
      </c>
      <c r="J201">
        <v>197553755</v>
      </c>
      <c r="K201">
        <v>20046.07</v>
      </c>
    </row>
    <row r="202" spans="5:11" x14ac:dyDescent="0.35">
      <c r="E202" s="98">
        <v>46008</v>
      </c>
      <c r="F202">
        <v>25902.400000000001</v>
      </c>
      <c r="G202">
        <v>25929.15</v>
      </c>
      <c r="H202">
        <v>25770.35</v>
      </c>
      <c r="I202">
        <v>25818.55</v>
      </c>
      <c r="J202">
        <v>206521258</v>
      </c>
      <c r="K202">
        <v>19787.57</v>
      </c>
    </row>
    <row r="203" spans="5:11" x14ac:dyDescent="0.35">
      <c r="E203" s="98">
        <v>46007</v>
      </c>
      <c r="F203">
        <v>25951.5</v>
      </c>
      <c r="G203">
        <v>25980.75</v>
      </c>
      <c r="H203">
        <v>25834.35</v>
      </c>
      <c r="I203">
        <v>25860.1</v>
      </c>
      <c r="J203">
        <v>264351195</v>
      </c>
      <c r="K203">
        <v>23554.69</v>
      </c>
    </row>
    <row r="204" spans="5:11" x14ac:dyDescent="0.35">
      <c r="E204" s="98">
        <v>46006</v>
      </c>
      <c r="F204">
        <v>25930.05</v>
      </c>
      <c r="G204">
        <v>26047.15</v>
      </c>
      <c r="H204">
        <v>25904.75</v>
      </c>
      <c r="I204">
        <v>26027.3</v>
      </c>
      <c r="J204">
        <v>181557703</v>
      </c>
      <c r="K204">
        <v>17444.03</v>
      </c>
    </row>
    <row r="205" spans="5:11" x14ac:dyDescent="0.35">
      <c r="E205" s="98">
        <v>46003</v>
      </c>
      <c r="F205">
        <v>25971.200000000001</v>
      </c>
      <c r="G205">
        <v>26057.599999999999</v>
      </c>
      <c r="H205">
        <v>25938.45</v>
      </c>
      <c r="I205">
        <v>26046.95</v>
      </c>
      <c r="J205">
        <v>216344338</v>
      </c>
      <c r="K205">
        <v>19484.07</v>
      </c>
    </row>
    <row r="206" spans="5:11" x14ac:dyDescent="0.35">
      <c r="E206" s="98">
        <v>46002</v>
      </c>
      <c r="F206">
        <v>25771.4</v>
      </c>
      <c r="G206">
        <v>25922.799999999999</v>
      </c>
      <c r="H206">
        <v>25693.25</v>
      </c>
      <c r="I206">
        <v>25898.55</v>
      </c>
      <c r="J206">
        <v>206099631</v>
      </c>
      <c r="K206">
        <v>20145.189999999999</v>
      </c>
    </row>
    <row r="207" spans="5:11" x14ac:dyDescent="0.35">
      <c r="E207" s="98">
        <v>46001</v>
      </c>
      <c r="F207">
        <v>25864.05</v>
      </c>
      <c r="G207">
        <v>25947.65</v>
      </c>
      <c r="H207">
        <v>25734.55</v>
      </c>
      <c r="I207">
        <v>25758</v>
      </c>
      <c r="J207">
        <v>207944446</v>
      </c>
      <c r="K207">
        <v>21975.7</v>
      </c>
    </row>
    <row r="208" spans="5:11" x14ac:dyDescent="0.35">
      <c r="E208" s="98">
        <v>46000</v>
      </c>
      <c r="F208">
        <v>25867.1</v>
      </c>
      <c r="G208">
        <v>25923.65</v>
      </c>
      <c r="H208">
        <v>25728</v>
      </c>
      <c r="I208">
        <v>25839.65</v>
      </c>
      <c r="J208">
        <v>275978160</v>
      </c>
      <c r="K208">
        <v>29894.41</v>
      </c>
    </row>
    <row r="209" spans="5:11" x14ac:dyDescent="0.35">
      <c r="E209" s="98">
        <v>45999</v>
      </c>
      <c r="F209">
        <v>26159.8</v>
      </c>
      <c r="G209">
        <v>26178.7</v>
      </c>
      <c r="H209">
        <v>25892.25</v>
      </c>
      <c r="I209">
        <v>25960.55</v>
      </c>
      <c r="J209">
        <v>320729920</v>
      </c>
      <c r="K209">
        <v>31677.57</v>
      </c>
    </row>
    <row r="210" spans="5:11" x14ac:dyDescent="0.35">
      <c r="E210" s="98">
        <v>45996</v>
      </c>
      <c r="F210">
        <v>25999.8</v>
      </c>
      <c r="G210">
        <v>26202.6</v>
      </c>
      <c r="H210">
        <v>25985.35</v>
      </c>
      <c r="I210">
        <v>26186.45</v>
      </c>
      <c r="J210">
        <v>249254405</v>
      </c>
      <c r="K210">
        <v>27491.07</v>
      </c>
    </row>
    <row r="211" spans="5:11" x14ac:dyDescent="0.35">
      <c r="E211" s="98">
        <v>45995</v>
      </c>
      <c r="F211">
        <v>25981.85</v>
      </c>
      <c r="G211">
        <v>26098.25</v>
      </c>
      <c r="H211">
        <v>25938.95</v>
      </c>
      <c r="I211">
        <v>26033.75</v>
      </c>
      <c r="J211">
        <v>248099545</v>
      </c>
      <c r="K211">
        <v>26377.759999999998</v>
      </c>
    </row>
    <row r="212" spans="5:11" x14ac:dyDescent="0.35">
      <c r="E212" s="98">
        <v>45994</v>
      </c>
      <c r="F212">
        <v>26004.9</v>
      </c>
      <c r="G212">
        <v>26066.45</v>
      </c>
      <c r="H212">
        <v>25891</v>
      </c>
      <c r="I212">
        <v>25986</v>
      </c>
      <c r="J212">
        <v>265660108</v>
      </c>
      <c r="K212">
        <v>25320.85</v>
      </c>
    </row>
    <row r="213" spans="5:11" x14ac:dyDescent="0.35">
      <c r="E213" s="98">
        <v>45993</v>
      </c>
      <c r="F213">
        <v>26087.95</v>
      </c>
      <c r="G213">
        <v>26154.6</v>
      </c>
      <c r="H213">
        <v>25997.85</v>
      </c>
      <c r="I213">
        <v>26032.2</v>
      </c>
      <c r="J213">
        <v>254803113</v>
      </c>
      <c r="K213">
        <v>26298.82</v>
      </c>
    </row>
    <row r="214" spans="5:11" x14ac:dyDescent="0.35">
      <c r="E214" s="98">
        <v>45992</v>
      </c>
      <c r="F214">
        <v>26325.8</v>
      </c>
      <c r="G214">
        <v>26325.8</v>
      </c>
      <c r="H214">
        <v>26124.2</v>
      </c>
      <c r="I214">
        <v>26175.75</v>
      </c>
      <c r="J214">
        <v>213828573</v>
      </c>
      <c r="K214">
        <v>21734.75</v>
      </c>
    </row>
    <row r="215" spans="5:11" x14ac:dyDescent="0.35">
      <c r="E215" s="98">
        <v>45989</v>
      </c>
      <c r="F215">
        <v>26237.45</v>
      </c>
      <c r="G215">
        <v>26280.75</v>
      </c>
      <c r="H215">
        <v>26172.400000000001</v>
      </c>
      <c r="I215">
        <v>26202.95</v>
      </c>
      <c r="J215">
        <v>202511545</v>
      </c>
      <c r="K215">
        <v>20525.36</v>
      </c>
    </row>
    <row r="216" spans="5:11" x14ac:dyDescent="0.35">
      <c r="E216" s="98">
        <v>45988</v>
      </c>
      <c r="F216">
        <v>26261.25</v>
      </c>
      <c r="G216">
        <v>26310.45</v>
      </c>
      <c r="H216">
        <v>26141.9</v>
      </c>
      <c r="I216">
        <v>26215.55</v>
      </c>
      <c r="J216">
        <v>240287057</v>
      </c>
      <c r="K216">
        <v>25306.47</v>
      </c>
    </row>
    <row r="217" spans="5:11" x14ac:dyDescent="0.35">
      <c r="E217" s="98">
        <v>45987</v>
      </c>
      <c r="F217">
        <v>25842.95</v>
      </c>
      <c r="G217">
        <v>26215.15</v>
      </c>
      <c r="H217">
        <v>25842.95</v>
      </c>
      <c r="I217">
        <v>26205.3</v>
      </c>
      <c r="J217">
        <v>275265169</v>
      </c>
      <c r="K217">
        <v>31666.03</v>
      </c>
    </row>
    <row r="218" spans="5:11" x14ac:dyDescent="0.35">
      <c r="E218" s="98">
        <v>45986</v>
      </c>
      <c r="F218">
        <v>25998.5</v>
      </c>
      <c r="G218">
        <v>26032.6</v>
      </c>
      <c r="H218">
        <v>25857.5</v>
      </c>
      <c r="I218">
        <v>25884.799999999999</v>
      </c>
      <c r="J218">
        <v>260454909</v>
      </c>
      <c r="K218">
        <v>25320.15</v>
      </c>
    </row>
    <row r="219" spans="5:11" x14ac:dyDescent="0.35">
      <c r="E219" s="98">
        <v>45985</v>
      </c>
      <c r="F219">
        <v>26122.799999999999</v>
      </c>
      <c r="G219">
        <v>26142.799999999999</v>
      </c>
      <c r="H219">
        <v>25912.15</v>
      </c>
      <c r="I219">
        <v>25959.5</v>
      </c>
      <c r="J219">
        <v>464655063</v>
      </c>
      <c r="K219">
        <v>44895.45</v>
      </c>
    </row>
    <row r="220" spans="5:11" x14ac:dyDescent="0.35">
      <c r="E220" s="98">
        <v>45982</v>
      </c>
      <c r="F220">
        <v>26109.55</v>
      </c>
      <c r="G220">
        <v>26179.200000000001</v>
      </c>
      <c r="H220">
        <v>26052.2</v>
      </c>
      <c r="I220">
        <v>26068.15</v>
      </c>
      <c r="J220">
        <v>235581427</v>
      </c>
      <c r="K220">
        <v>24720.07</v>
      </c>
    </row>
    <row r="221" spans="5:11" x14ac:dyDescent="0.35">
      <c r="E221" s="98">
        <v>45981</v>
      </c>
      <c r="F221">
        <v>26132.1</v>
      </c>
      <c r="G221">
        <v>26246.65</v>
      </c>
      <c r="H221">
        <v>26063.200000000001</v>
      </c>
      <c r="I221">
        <v>26192.15</v>
      </c>
      <c r="J221">
        <v>240425729</v>
      </c>
      <c r="K221">
        <v>25000.17</v>
      </c>
    </row>
    <row r="222" spans="5:11" x14ac:dyDescent="0.35">
      <c r="E222" s="98">
        <v>45980</v>
      </c>
      <c r="F222">
        <v>25918.1</v>
      </c>
      <c r="G222">
        <v>26074.65</v>
      </c>
      <c r="H222">
        <v>25856.2</v>
      </c>
      <c r="I222">
        <v>26052.65</v>
      </c>
      <c r="J222">
        <v>250110008</v>
      </c>
      <c r="K222">
        <v>24496.86</v>
      </c>
    </row>
    <row r="223" spans="5:11" x14ac:dyDescent="0.35">
      <c r="E223" s="98">
        <v>45979</v>
      </c>
      <c r="F223">
        <v>26021.8</v>
      </c>
      <c r="G223">
        <v>26029.85</v>
      </c>
      <c r="H223">
        <v>25876.5</v>
      </c>
      <c r="I223">
        <v>25910.05</v>
      </c>
      <c r="J223">
        <v>280000989</v>
      </c>
      <c r="K223">
        <v>26059.599999999999</v>
      </c>
    </row>
    <row r="224" spans="5:11" x14ac:dyDescent="0.35">
      <c r="E224" s="98">
        <v>45978</v>
      </c>
      <c r="F224">
        <v>25948.2</v>
      </c>
      <c r="G224">
        <v>26024.2</v>
      </c>
      <c r="H224">
        <v>25906.35</v>
      </c>
      <c r="I224">
        <v>26013.45</v>
      </c>
      <c r="J224">
        <v>264610565</v>
      </c>
      <c r="K224">
        <v>23384.35</v>
      </c>
    </row>
    <row r="225" spans="5:11" x14ac:dyDescent="0.35">
      <c r="E225" s="98">
        <v>45975</v>
      </c>
      <c r="F225">
        <v>25767.9</v>
      </c>
      <c r="G225">
        <v>25940.2</v>
      </c>
      <c r="H225">
        <v>25740.799999999999</v>
      </c>
      <c r="I225">
        <v>25910.05</v>
      </c>
      <c r="J225">
        <v>518943416</v>
      </c>
      <c r="K225">
        <v>33121.81</v>
      </c>
    </row>
    <row r="226" spans="5:11" x14ac:dyDescent="0.35">
      <c r="E226" s="98">
        <v>45974</v>
      </c>
      <c r="F226">
        <v>25906.1</v>
      </c>
      <c r="G226">
        <v>26010.7</v>
      </c>
      <c r="H226">
        <v>25808.400000000001</v>
      </c>
      <c r="I226">
        <v>25879.15</v>
      </c>
      <c r="J226">
        <v>385170023</v>
      </c>
      <c r="K226">
        <v>30145.74</v>
      </c>
    </row>
    <row r="227" spans="5:11" x14ac:dyDescent="0.35">
      <c r="E227" s="98">
        <v>45973</v>
      </c>
      <c r="F227">
        <v>25834.3</v>
      </c>
      <c r="G227">
        <v>25934.55</v>
      </c>
      <c r="H227">
        <v>25781.15</v>
      </c>
      <c r="I227">
        <v>25875.8</v>
      </c>
      <c r="J227">
        <v>343864299</v>
      </c>
      <c r="K227">
        <v>30633.19</v>
      </c>
    </row>
    <row r="228" spans="5:11" x14ac:dyDescent="0.35">
      <c r="E228" s="98">
        <v>45972</v>
      </c>
      <c r="F228">
        <v>25617</v>
      </c>
      <c r="G228">
        <v>25715.8</v>
      </c>
      <c r="H228">
        <v>25449.25</v>
      </c>
      <c r="I228">
        <v>25694.95</v>
      </c>
      <c r="J228">
        <v>297714069</v>
      </c>
      <c r="K228">
        <v>28285.51</v>
      </c>
    </row>
    <row r="229" spans="5:11" x14ac:dyDescent="0.35">
      <c r="E229" s="98">
        <v>45971</v>
      </c>
      <c r="F229">
        <v>25503.5</v>
      </c>
      <c r="G229">
        <v>25653.45</v>
      </c>
      <c r="H229">
        <v>25503.5</v>
      </c>
      <c r="I229">
        <v>25574.35</v>
      </c>
      <c r="J229">
        <v>243592948</v>
      </c>
      <c r="K229">
        <v>25023.65</v>
      </c>
    </row>
    <row r="230" spans="5:11" x14ac:dyDescent="0.35">
      <c r="E230" s="98">
        <v>45968</v>
      </c>
      <c r="F230">
        <v>25433.8</v>
      </c>
      <c r="G230">
        <v>25551.25</v>
      </c>
      <c r="H230">
        <v>25318.45</v>
      </c>
      <c r="I230">
        <v>25492.3</v>
      </c>
      <c r="J230">
        <v>305606393</v>
      </c>
      <c r="K230">
        <v>35487</v>
      </c>
    </row>
    <row r="231" spans="5:11" x14ac:dyDescent="0.35">
      <c r="E231" s="98">
        <v>45967</v>
      </c>
      <c r="F231">
        <v>25593.35</v>
      </c>
      <c r="G231">
        <v>25679.15</v>
      </c>
      <c r="H231">
        <v>25491.55</v>
      </c>
      <c r="I231">
        <v>25509.7</v>
      </c>
      <c r="J231">
        <v>371852417</v>
      </c>
      <c r="K231">
        <v>36129.620000000003</v>
      </c>
    </row>
    <row r="232" spans="5:11" x14ac:dyDescent="0.35">
      <c r="E232" s="98">
        <v>45965</v>
      </c>
      <c r="F232">
        <v>25744.75</v>
      </c>
      <c r="G232">
        <v>25787.4</v>
      </c>
      <c r="H232">
        <v>25578.400000000001</v>
      </c>
      <c r="I232">
        <v>25597.65</v>
      </c>
      <c r="J232">
        <v>305143084</v>
      </c>
      <c r="K232">
        <v>29307.41</v>
      </c>
    </row>
    <row r="233" spans="5:11" x14ac:dyDescent="0.35">
      <c r="E233" s="98">
        <v>45964</v>
      </c>
      <c r="F233">
        <v>25696.85</v>
      </c>
      <c r="G233">
        <v>25803.1</v>
      </c>
      <c r="H233">
        <v>25645.5</v>
      </c>
      <c r="I233">
        <v>25763.35</v>
      </c>
      <c r="J233">
        <v>275858501</v>
      </c>
      <c r="K233">
        <v>23949.88</v>
      </c>
    </row>
    <row r="234" spans="5:11" x14ac:dyDescent="0.35">
      <c r="E234" s="98">
        <v>45961</v>
      </c>
      <c r="F234">
        <v>25863.8</v>
      </c>
      <c r="G234">
        <v>25953.75</v>
      </c>
      <c r="H234">
        <v>25711.200000000001</v>
      </c>
      <c r="I234">
        <v>25722.1</v>
      </c>
      <c r="J234">
        <v>334384400</v>
      </c>
      <c r="K234">
        <v>28788.400000000001</v>
      </c>
    </row>
    <row r="235" spans="5:11" x14ac:dyDescent="0.35">
      <c r="E235" s="98">
        <v>45960</v>
      </c>
      <c r="F235">
        <v>25984.400000000001</v>
      </c>
      <c r="G235">
        <v>26032.05</v>
      </c>
      <c r="H235">
        <v>25845.25</v>
      </c>
      <c r="I235">
        <v>25877.85</v>
      </c>
      <c r="J235">
        <v>257373001</v>
      </c>
      <c r="K235">
        <v>24180.46</v>
      </c>
    </row>
    <row r="236" spans="5:11" x14ac:dyDescent="0.35">
      <c r="E236" s="98">
        <v>45959</v>
      </c>
      <c r="F236">
        <v>25982</v>
      </c>
      <c r="G236">
        <v>26097.85</v>
      </c>
      <c r="H236">
        <v>25960.3</v>
      </c>
      <c r="I236">
        <v>26053.9</v>
      </c>
      <c r="J236">
        <v>321880610</v>
      </c>
      <c r="K236">
        <v>26309.32</v>
      </c>
    </row>
    <row r="237" spans="5:11" x14ac:dyDescent="0.35">
      <c r="E237" s="98">
        <v>45958</v>
      </c>
      <c r="F237">
        <v>25939.95</v>
      </c>
      <c r="G237">
        <v>26041.7</v>
      </c>
      <c r="H237">
        <v>25810.05</v>
      </c>
      <c r="I237">
        <v>25936.2</v>
      </c>
      <c r="J237">
        <v>395231207</v>
      </c>
      <c r="K237">
        <v>37023.32</v>
      </c>
    </row>
    <row r="238" spans="5:11" x14ac:dyDescent="0.35">
      <c r="E238" s="98">
        <v>45957</v>
      </c>
      <c r="F238">
        <v>25843.200000000001</v>
      </c>
      <c r="G238">
        <v>26005.95</v>
      </c>
      <c r="H238">
        <v>25827</v>
      </c>
      <c r="I238">
        <v>25966.05</v>
      </c>
      <c r="J238">
        <v>266337274</v>
      </c>
      <c r="K238">
        <v>23989.06</v>
      </c>
    </row>
    <row r="239" spans="5:11" x14ac:dyDescent="0.35">
      <c r="E239" s="98">
        <v>45954</v>
      </c>
      <c r="F239">
        <v>25935.1</v>
      </c>
      <c r="G239">
        <v>25944.15</v>
      </c>
      <c r="H239">
        <v>25718.2</v>
      </c>
      <c r="I239">
        <v>25795.15</v>
      </c>
      <c r="J239">
        <v>284913477</v>
      </c>
      <c r="K239">
        <v>23527.98</v>
      </c>
    </row>
    <row r="240" spans="5:11" x14ac:dyDescent="0.35">
      <c r="E240" s="98">
        <v>45953</v>
      </c>
      <c r="F240">
        <v>26057.200000000001</v>
      </c>
      <c r="G240">
        <v>26104.2</v>
      </c>
      <c r="H240">
        <v>25862.45</v>
      </c>
      <c r="I240">
        <v>25891.4</v>
      </c>
      <c r="J240">
        <v>448404894</v>
      </c>
      <c r="K240">
        <v>41777.68</v>
      </c>
    </row>
    <row r="241" spans="5:11" x14ac:dyDescent="0.35">
      <c r="E241" s="98">
        <v>45951</v>
      </c>
      <c r="F241">
        <v>25901.200000000001</v>
      </c>
      <c r="G241">
        <v>25934.35</v>
      </c>
      <c r="H241">
        <v>25825.8</v>
      </c>
      <c r="I241">
        <v>25868.6</v>
      </c>
      <c r="J241">
        <v>42477128</v>
      </c>
      <c r="K241">
        <v>3831.1</v>
      </c>
    </row>
    <row r="242" spans="5:11" x14ac:dyDescent="0.35">
      <c r="E242" s="98">
        <v>45950</v>
      </c>
      <c r="F242">
        <v>25824.6</v>
      </c>
      <c r="G242">
        <v>25926.2</v>
      </c>
      <c r="H242">
        <v>25788.5</v>
      </c>
      <c r="I242">
        <v>25843.15</v>
      </c>
      <c r="J242">
        <v>301133193</v>
      </c>
      <c r="K242">
        <v>29637.119999999999</v>
      </c>
    </row>
    <row r="243" spans="5:11" x14ac:dyDescent="0.35">
      <c r="E243" s="98">
        <v>45947</v>
      </c>
      <c r="F243">
        <v>25546.85</v>
      </c>
      <c r="G243">
        <v>25781.5</v>
      </c>
      <c r="H243">
        <v>25508.6</v>
      </c>
      <c r="I243">
        <v>25709.85</v>
      </c>
      <c r="J243">
        <v>422055809</v>
      </c>
      <c r="K243">
        <v>35106.959999999999</v>
      </c>
    </row>
    <row r="244" spans="5:11" x14ac:dyDescent="0.35">
      <c r="E244" s="98">
        <v>45946</v>
      </c>
      <c r="F244">
        <v>25394.9</v>
      </c>
      <c r="G244">
        <v>25625.4</v>
      </c>
      <c r="H244">
        <v>25376.85</v>
      </c>
      <c r="I244">
        <v>25585.3</v>
      </c>
      <c r="J244">
        <v>372777021</v>
      </c>
      <c r="K244">
        <v>32008.639999999999</v>
      </c>
    </row>
    <row r="245" spans="5:11" x14ac:dyDescent="0.35">
      <c r="E245" s="98">
        <v>45945</v>
      </c>
      <c r="F245">
        <v>25181.95</v>
      </c>
      <c r="G245">
        <v>25365.15</v>
      </c>
      <c r="H245">
        <v>25159.35</v>
      </c>
      <c r="I245">
        <v>25323.55</v>
      </c>
      <c r="J245">
        <v>289930172</v>
      </c>
      <c r="K245">
        <v>25202.02</v>
      </c>
    </row>
    <row r="246" spans="5:11" x14ac:dyDescent="0.35">
      <c r="E246" s="98">
        <v>45944</v>
      </c>
      <c r="F246">
        <v>25277.55</v>
      </c>
      <c r="G246">
        <v>25310.35</v>
      </c>
      <c r="H246">
        <v>25060.55</v>
      </c>
      <c r="I246">
        <v>25145.5</v>
      </c>
      <c r="J246">
        <v>292129083</v>
      </c>
      <c r="K246">
        <v>24151.97</v>
      </c>
    </row>
    <row r="247" spans="5:11" x14ac:dyDescent="0.35">
      <c r="E247" s="98">
        <v>45943</v>
      </c>
      <c r="F247">
        <v>25177.3</v>
      </c>
      <c r="G247">
        <v>25267.3</v>
      </c>
      <c r="H247">
        <v>25152.3</v>
      </c>
      <c r="I247">
        <v>25227.35</v>
      </c>
      <c r="J247">
        <v>234285202</v>
      </c>
      <c r="K247">
        <v>20806.830000000002</v>
      </c>
    </row>
    <row r="248" spans="5:11" x14ac:dyDescent="0.35">
      <c r="E248" s="98">
        <v>45940</v>
      </c>
      <c r="F248">
        <v>25167.65</v>
      </c>
      <c r="G248">
        <v>25330.75</v>
      </c>
      <c r="H248">
        <v>25156.85</v>
      </c>
      <c r="I248">
        <v>25285.35</v>
      </c>
      <c r="J248">
        <v>232943306</v>
      </c>
      <c r="K248">
        <v>21749.23</v>
      </c>
    </row>
    <row r="249" spans="5:11" x14ac:dyDescent="0.35">
      <c r="E249" s="98">
        <v>45939</v>
      </c>
      <c r="F249">
        <v>25074.3</v>
      </c>
      <c r="G249">
        <v>25199.25</v>
      </c>
      <c r="H249">
        <v>25024.3</v>
      </c>
      <c r="I249">
        <v>25181.8</v>
      </c>
      <c r="J249">
        <v>286253252</v>
      </c>
      <c r="K249">
        <v>22617.86</v>
      </c>
    </row>
    <row r="250" spans="5:11" x14ac:dyDescent="0.35">
      <c r="E250" s="98">
        <v>45938</v>
      </c>
      <c r="F250">
        <v>25079.75</v>
      </c>
      <c r="G250">
        <v>25192.5</v>
      </c>
      <c r="H250">
        <v>25008.5</v>
      </c>
      <c r="I250">
        <v>25046.15</v>
      </c>
      <c r="J250">
        <v>225967495</v>
      </c>
      <c r="K250">
        <v>21701.19</v>
      </c>
    </row>
    <row r="251" spans="5:11" x14ac:dyDescent="0.35">
      <c r="E251" s="98">
        <v>45937</v>
      </c>
      <c r="F251">
        <v>25085.3</v>
      </c>
      <c r="G251">
        <v>25220.9</v>
      </c>
      <c r="H251">
        <v>25076.3</v>
      </c>
      <c r="I251">
        <v>25108.3</v>
      </c>
      <c r="J251">
        <v>286833765</v>
      </c>
      <c r="K251">
        <v>26176.23</v>
      </c>
    </row>
    <row r="252" spans="5:11" x14ac:dyDescent="0.35">
      <c r="E252" s="98">
        <v>45936</v>
      </c>
      <c r="F252">
        <v>24916.55</v>
      </c>
      <c r="G252">
        <v>25095.95</v>
      </c>
      <c r="H252">
        <v>24881.65</v>
      </c>
      <c r="I252">
        <v>25077.65</v>
      </c>
      <c r="J252">
        <v>271953070</v>
      </c>
      <c r="K252">
        <v>25160.76</v>
      </c>
    </row>
    <row r="253" spans="5:11" x14ac:dyDescent="0.35">
      <c r="E253" s="98">
        <v>45933</v>
      </c>
      <c r="F253">
        <v>24759.55</v>
      </c>
      <c r="G253">
        <v>24904.799999999999</v>
      </c>
      <c r="H253">
        <v>24747.55</v>
      </c>
      <c r="I253">
        <v>24894.25</v>
      </c>
      <c r="J253">
        <v>366929642</v>
      </c>
      <c r="K253">
        <v>31409.06</v>
      </c>
    </row>
    <row r="254" spans="5:11" x14ac:dyDescent="0.35">
      <c r="E254" s="98">
        <v>45931</v>
      </c>
      <c r="F254">
        <v>24620.55</v>
      </c>
      <c r="G254">
        <v>24867.95</v>
      </c>
      <c r="H254">
        <v>24605.95</v>
      </c>
      <c r="I254">
        <v>24836.3</v>
      </c>
      <c r="J254">
        <v>308135228</v>
      </c>
      <c r="K254">
        <v>29041.17</v>
      </c>
    </row>
    <row r="255" spans="5:11" x14ac:dyDescent="0.35">
      <c r="E255" s="98">
        <v>45930</v>
      </c>
      <c r="F255">
        <v>24691.95</v>
      </c>
      <c r="G255">
        <v>24731.8</v>
      </c>
      <c r="H255">
        <v>24587.7</v>
      </c>
      <c r="I255">
        <v>24611.1</v>
      </c>
      <c r="J255">
        <v>304924720</v>
      </c>
      <c r="K255">
        <v>29285.11</v>
      </c>
    </row>
    <row r="256" spans="5:11" x14ac:dyDescent="0.35">
      <c r="E256" s="98">
        <v>45929</v>
      </c>
      <c r="F256">
        <v>24728.55</v>
      </c>
      <c r="G256">
        <v>24791.3</v>
      </c>
      <c r="H256">
        <v>24606.2</v>
      </c>
      <c r="I256">
        <v>24634.9</v>
      </c>
      <c r="J256">
        <v>394388242</v>
      </c>
      <c r="K256">
        <v>40004.93</v>
      </c>
    </row>
    <row r="257" spans="5:11" x14ac:dyDescent="0.35">
      <c r="E257" s="98">
        <v>45926</v>
      </c>
      <c r="F257">
        <v>24818.55</v>
      </c>
      <c r="G257">
        <v>24868.6</v>
      </c>
      <c r="H257">
        <v>24629.45</v>
      </c>
      <c r="I257">
        <v>24654.7</v>
      </c>
      <c r="J257">
        <v>291537949</v>
      </c>
      <c r="K257">
        <v>29987.93</v>
      </c>
    </row>
    <row r="258" spans="5:11" x14ac:dyDescent="0.35">
      <c r="E258" s="98">
        <v>45925</v>
      </c>
      <c r="F258">
        <v>25034.5</v>
      </c>
      <c r="G258">
        <v>25092.7</v>
      </c>
      <c r="H258">
        <v>24878.3</v>
      </c>
      <c r="I258">
        <v>24890.85</v>
      </c>
      <c r="J258">
        <v>342534768</v>
      </c>
      <c r="K258">
        <v>32715.91</v>
      </c>
    </row>
    <row r="259" spans="5:11" x14ac:dyDescent="0.35">
      <c r="E259" s="98">
        <v>45924</v>
      </c>
      <c r="F259">
        <v>25108.75</v>
      </c>
      <c r="G259">
        <v>25149.85</v>
      </c>
      <c r="H259">
        <v>25027.45</v>
      </c>
      <c r="I259">
        <v>25056.9</v>
      </c>
      <c r="J259">
        <v>244382281</v>
      </c>
      <c r="K259">
        <v>22310.05</v>
      </c>
    </row>
    <row r="260" spans="5:11" x14ac:dyDescent="0.35">
      <c r="E260" s="98">
        <v>45923</v>
      </c>
      <c r="F260">
        <v>25209</v>
      </c>
      <c r="G260">
        <v>25261.9</v>
      </c>
      <c r="H260">
        <v>25084.65</v>
      </c>
      <c r="I260">
        <v>25169.5</v>
      </c>
      <c r="J260">
        <v>299204338</v>
      </c>
      <c r="K260">
        <v>31435.17</v>
      </c>
    </row>
    <row r="261" spans="5:11" x14ac:dyDescent="0.35">
      <c r="E261" s="98">
        <v>45922</v>
      </c>
      <c r="F261">
        <v>25238.1</v>
      </c>
      <c r="G261">
        <v>25331.7</v>
      </c>
      <c r="H261">
        <v>25151.05</v>
      </c>
      <c r="I261">
        <v>25202.35</v>
      </c>
      <c r="J261">
        <v>254509892</v>
      </c>
      <c r="K261">
        <v>25277.82</v>
      </c>
    </row>
    <row r="262" spans="5:11" x14ac:dyDescent="0.35">
      <c r="E262" s="98">
        <v>45919</v>
      </c>
      <c r="F262">
        <v>25410.2</v>
      </c>
      <c r="G262">
        <v>25431.4</v>
      </c>
      <c r="H262">
        <v>25286.3</v>
      </c>
      <c r="I262">
        <v>25327.05</v>
      </c>
      <c r="J262">
        <v>380362832</v>
      </c>
      <c r="K262">
        <v>38805.58</v>
      </c>
    </row>
    <row r="263" spans="5:11" x14ac:dyDescent="0.35">
      <c r="E263" s="98">
        <v>45918</v>
      </c>
      <c r="F263">
        <v>25441.05</v>
      </c>
      <c r="G263">
        <v>25448.55</v>
      </c>
      <c r="H263">
        <v>25329.75</v>
      </c>
      <c r="I263">
        <v>25423.599999999999</v>
      </c>
      <c r="J263">
        <v>272193683</v>
      </c>
      <c r="K263">
        <v>24198.11</v>
      </c>
    </row>
    <row r="264" spans="5:11" x14ac:dyDescent="0.35">
      <c r="E264" s="98">
        <v>45917</v>
      </c>
      <c r="F264">
        <v>25276.6</v>
      </c>
      <c r="G264">
        <v>25346.5</v>
      </c>
      <c r="H264">
        <v>25275.35</v>
      </c>
      <c r="I264">
        <v>25330.25</v>
      </c>
      <c r="J264">
        <v>268936695</v>
      </c>
      <c r="K264">
        <v>23484.12</v>
      </c>
    </row>
    <row r="265" spans="5:11" x14ac:dyDescent="0.35">
      <c r="E265" s="98">
        <v>45916</v>
      </c>
      <c r="F265">
        <v>25073.599999999999</v>
      </c>
      <c r="G265">
        <v>25261.4</v>
      </c>
      <c r="H265">
        <v>25070.45</v>
      </c>
      <c r="I265">
        <v>25239.1</v>
      </c>
      <c r="J265">
        <v>240122320</v>
      </c>
      <c r="K265">
        <v>22642.86</v>
      </c>
    </row>
    <row r="266" spans="5:11" x14ac:dyDescent="0.35">
      <c r="E266" s="98">
        <v>45915</v>
      </c>
      <c r="F266">
        <v>25118.9</v>
      </c>
      <c r="G266">
        <v>25138.45</v>
      </c>
      <c r="H266">
        <v>25048.75</v>
      </c>
      <c r="I266">
        <v>25069.200000000001</v>
      </c>
      <c r="J266">
        <v>185375759</v>
      </c>
      <c r="K266">
        <v>17115.599999999999</v>
      </c>
    </row>
    <row r="267" spans="5:11" x14ac:dyDescent="0.35">
      <c r="E267" s="98">
        <v>45912</v>
      </c>
      <c r="F267">
        <v>25074.45</v>
      </c>
      <c r="G267">
        <v>25139.45</v>
      </c>
      <c r="H267">
        <v>25038.05</v>
      </c>
      <c r="I267">
        <v>25114</v>
      </c>
      <c r="J267">
        <v>225739766</v>
      </c>
      <c r="K267">
        <v>21335.67</v>
      </c>
    </row>
    <row r="268" spans="5:11" x14ac:dyDescent="0.35">
      <c r="E268" s="98">
        <v>45911</v>
      </c>
      <c r="F268">
        <v>24945.5</v>
      </c>
      <c r="G268">
        <v>25037.3</v>
      </c>
      <c r="H268">
        <v>24940.15</v>
      </c>
      <c r="I268">
        <v>25005.5</v>
      </c>
      <c r="J268">
        <v>224570983</v>
      </c>
      <c r="K268">
        <v>21316.720000000001</v>
      </c>
    </row>
    <row r="269" spans="5:11" x14ac:dyDescent="0.35">
      <c r="E269" s="98">
        <v>45910</v>
      </c>
      <c r="F269">
        <v>24991</v>
      </c>
      <c r="G269">
        <v>25035.7</v>
      </c>
      <c r="H269">
        <v>24915.05</v>
      </c>
      <c r="I269">
        <v>24973.1</v>
      </c>
      <c r="J269">
        <v>244146466</v>
      </c>
      <c r="K269">
        <v>22458.98</v>
      </c>
    </row>
    <row r="270" spans="5:11" x14ac:dyDescent="0.35">
      <c r="E270" s="98">
        <v>45909</v>
      </c>
      <c r="F270">
        <v>24864.1</v>
      </c>
      <c r="G270">
        <v>24891.8</v>
      </c>
      <c r="H270">
        <v>24814</v>
      </c>
      <c r="I270">
        <v>24868.6</v>
      </c>
      <c r="J270">
        <v>226919775</v>
      </c>
      <c r="K270">
        <v>22356.880000000001</v>
      </c>
    </row>
    <row r="271" spans="5:11" x14ac:dyDescent="0.35">
      <c r="E271" s="98">
        <v>45908</v>
      </c>
      <c r="F271">
        <v>24802.6</v>
      </c>
      <c r="G271">
        <v>24885.5</v>
      </c>
      <c r="H271">
        <v>24751.55</v>
      </c>
      <c r="I271">
        <v>24773.15</v>
      </c>
      <c r="J271">
        <v>213228202</v>
      </c>
      <c r="K271">
        <v>20122.88</v>
      </c>
    </row>
    <row r="272" spans="5:11" x14ac:dyDescent="0.35">
      <c r="E272" s="98">
        <v>45905</v>
      </c>
      <c r="F272">
        <v>24818.85</v>
      </c>
      <c r="G272">
        <v>24832.35</v>
      </c>
      <c r="H272">
        <v>24621.599999999999</v>
      </c>
      <c r="I272">
        <v>24741</v>
      </c>
      <c r="J272">
        <v>210071924</v>
      </c>
      <c r="K272">
        <v>18530.240000000002</v>
      </c>
    </row>
    <row r="273" spans="5:11" x14ac:dyDescent="0.35">
      <c r="E273" s="98">
        <v>45904</v>
      </c>
      <c r="F273">
        <v>24980.75</v>
      </c>
      <c r="G273">
        <v>24980.75</v>
      </c>
      <c r="H273">
        <v>24708.2</v>
      </c>
      <c r="I273">
        <v>24734.3</v>
      </c>
      <c r="J273">
        <v>314094160</v>
      </c>
      <c r="K273">
        <v>30252.19</v>
      </c>
    </row>
    <row r="274" spans="5:11" x14ac:dyDescent="0.35">
      <c r="E274" s="98">
        <v>45903</v>
      </c>
      <c r="F274">
        <v>24616.5</v>
      </c>
      <c r="G274">
        <v>24737.05</v>
      </c>
      <c r="H274">
        <v>24533.200000000001</v>
      </c>
      <c r="I274">
        <v>24715.05</v>
      </c>
      <c r="J274">
        <v>340283328</v>
      </c>
      <c r="K274">
        <v>23533.08</v>
      </c>
    </row>
    <row r="275" spans="5:11" x14ac:dyDescent="0.35">
      <c r="E275" s="98">
        <v>45902</v>
      </c>
      <c r="F275">
        <v>24653</v>
      </c>
      <c r="G275">
        <v>24756.1</v>
      </c>
      <c r="H275">
        <v>24522.35</v>
      </c>
      <c r="I275">
        <v>24579.599999999999</v>
      </c>
      <c r="J275">
        <v>271558516</v>
      </c>
      <c r="K275">
        <v>22051.8</v>
      </c>
    </row>
    <row r="276" spans="5:11" x14ac:dyDescent="0.35">
      <c r="E276" s="98">
        <v>45901</v>
      </c>
      <c r="F276">
        <v>24432.7</v>
      </c>
      <c r="G276">
        <v>24635.599999999999</v>
      </c>
      <c r="H276">
        <v>24432.7</v>
      </c>
      <c r="I276">
        <v>24625.05</v>
      </c>
      <c r="J276">
        <v>229327424</v>
      </c>
      <c r="K276">
        <v>20704.88</v>
      </c>
    </row>
    <row r="277" spans="5:11" x14ac:dyDescent="0.35">
      <c r="E277" s="98">
        <v>45898</v>
      </c>
      <c r="F277">
        <v>24466.7</v>
      </c>
      <c r="G277">
        <v>24572.45</v>
      </c>
      <c r="H277">
        <v>24404.7</v>
      </c>
      <c r="I277">
        <v>24426.85</v>
      </c>
      <c r="J277">
        <v>325543583</v>
      </c>
      <c r="K277">
        <v>26796.69</v>
      </c>
    </row>
    <row r="278" spans="5:11" x14ac:dyDescent="0.35">
      <c r="E278" s="98">
        <v>45897</v>
      </c>
      <c r="F278">
        <v>24695.8</v>
      </c>
      <c r="G278">
        <v>24702.65</v>
      </c>
      <c r="H278">
        <v>24481.599999999999</v>
      </c>
      <c r="I278">
        <v>24500.9</v>
      </c>
      <c r="J278">
        <v>326601486</v>
      </c>
      <c r="K278">
        <v>29371.67</v>
      </c>
    </row>
    <row r="279" spans="5:11" x14ac:dyDescent="0.35">
      <c r="E279" s="98">
        <v>45895</v>
      </c>
      <c r="F279">
        <v>24899.5</v>
      </c>
      <c r="G279">
        <v>24919.65</v>
      </c>
      <c r="H279">
        <v>24689.599999999999</v>
      </c>
      <c r="I279">
        <v>24712.05</v>
      </c>
      <c r="J279">
        <v>750473927</v>
      </c>
      <c r="K279">
        <v>47068.2</v>
      </c>
    </row>
    <row r="280" spans="5:11" x14ac:dyDescent="0.35">
      <c r="E280" s="98">
        <v>45894</v>
      </c>
      <c r="F280">
        <v>24949.15</v>
      </c>
      <c r="G280">
        <v>25021.55</v>
      </c>
      <c r="H280">
        <v>24894.35</v>
      </c>
      <c r="I280">
        <v>24967.75</v>
      </c>
      <c r="J280">
        <v>213032133</v>
      </c>
      <c r="K280">
        <v>19871.25</v>
      </c>
    </row>
    <row r="281" spans="5:11" x14ac:dyDescent="0.35">
      <c r="E281" s="98">
        <v>45891</v>
      </c>
      <c r="F281">
        <v>25064.15</v>
      </c>
      <c r="G281">
        <v>25084.85</v>
      </c>
      <c r="H281">
        <v>24859.15</v>
      </c>
      <c r="I281">
        <v>24870.1</v>
      </c>
      <c r="J281">
        <v>210165384</v>
      </c>
      <c r="K281">
        <v>19655.78</v>
      </c>
    </row>
    <row r="282" spans="5:11" x14ac:dyDescent="0.35">
      <c r="E282" s="98">
        <v>45890</v>
      </c>
      <c r="F282">
        <v>25142</v>
      </c>
      <c r="G282">
        <v>25153.65</v>
      </c>
      <c r="H282">
        <v>25054.9</v>
      </c>
      <c r="I282">
        <v>25083.75</v>
      </c>
      <c r="J282">
        <v>226542052</v>
      </c>
      <c r="K282">
        <v>21865.07</v>
      </c>
    </row>
    <row r="283" spans="5:11" x14ac:dyDescent="0.35">
      <c r="E283" s="98">
        <v>45889</v>
      </c>
      <c r="F283">
        <v>24965.8</v>
      </c>
      <c r="G283">
        <v>25088.7</v>
      </c>
      <c r="H283">
        <v>24929.7</v>
      </c>
      <c r="I283">
        <v>25050.55</v>
      </c>
      <c r="J283">
        <v>287054119</v>
      </c>
      <c r="K283">
        <v>25330.45</v>
      </c>
    </row>
    <row r="284" spans="5:11" x14ac:dyDescent="0.35">
      <c r="E284" s="98">
        <v>45888</v>
      </c>
      <c r="F284">
        <v>24891.35</v>
      </c>
      <c r="G284">
        <v>25012.65</v>
      </c>
      <c r="H284">
        <v>24873.95</v>
      </c>
      <c r="I284">
        <v>24980.65</v>
      </c>
      <c r="J284">
        <v>252340828</v>
      </c>
      <c r="K284">
        <v>24781.97</v>
      </c>
    </row>
    <row r="285" spans="5:11" x14ac:dyDescent="0.35">
      <c r="E285" s="98">
        <v>45887</v>
      </c>
      <c r="F285">
        <v>24938.2</v>
      </c>
      <c r="G285">
        <v>25022</v>
      </c>
      <c r="H285">
        <v>24852.85</v>
      </c>
      <c r="I285">
        <v>24876.95</v>
      </c>
      <c r="J285">
        <v>363071305</v>
      </c>
      <c r="K285">
        <v>37637.67</v>
      </c>
    </row>
    <row r="286" spans="5:11" x14ac:dyDescent="0.35">
      <c r="E286" s="98">
        <v>45883</v>
      </c>
      <c r="F286">
        <v>24607.25</v>
      </c>
      <c r="G286">
        <v>24673.65</v>
      </c>
      <c r="H286">
        <v>24596.9</v>
      </c>
      <c r="I286">
        <v>24631.3</v>
      </c>
      <c r="J286">
        <v>270162203</v>
      </c>
      <c r="K286">
        <v>22375.439999999999</v>
      </c>
    </row>
    <row r="287" spans="5:11" x14ac:dyDescent="0.35">
      <c r="E287" s="98">
        <v>45882</v>
      </c>
      <c r="F287">
        <v>24586.2</v>
      </c>
      <c r="G287">
        <v>24664.55</v>
      </c>
      <c r="H287">
        <v>24535.25</v>
      </c>
      <c r="I287">
        <v>24619.35</v>
      </c>
      <c r="J287">
        <v>236006791</v>
      </c>
      <c r="K287">
        <v>22843.14</v>
      </c>
    </row>
    <row r="288" spans="5:11" x14ac:dyDescent="0.35">
      <c r="E288" s="98">
        <v>45881</v>
      </c>
      <c r="F288">
        <v>24563.35</v>
      </c>
      <c r="G288">
        <v>24702.6</v>
      </c>
      <c r="H288">
        <v>24465.65</v>
      </c>
      <c r="I288">
        <v>24487.4</v>
      </c>
      <c r="J288">
        <v>237002462</v>
      </c>
      <c r="K288">
        <v>22258.29</v>
      </c>
    </row>
    <row r="289" spans="5:11" x14ac:dyDescent="0.35">
      <c r="E289" s="98">
        <v>45880</v>
      </c>
      <c r="F289">
        <v>24371.5</v>
      </c>
      <c r="G289">
        <v>24600.85</v>
      </c>
      <c r="H289">
        <v>24347.45</v>
      </c>
      <c r="I289">
        <v>24585.05</v>
      </c>
      <c r="J289">
        <v>241145497</v>
      </c>
      <c r="K289">
        <v>21081.61</v>
      </c>
    </row>
    <row r="290" spans="5:11" x14ac:dyDescent="0.35">
      <c r="E290" s="98">
        <v>45877</v>
      </c>
      <c r="F290">
        <v>24544.25</v>
      </c>
      <c r="G290">
        <v>24585.5</v>
      </c>
      <c r="H290">
        <v>24337.5</v>
      </c>
      <c r="I290">
        <v>24363.3</v>
      </c>
      <c r="J290">
        <v>312630157</v>
      </c>
      <c r="K290">
        <v>38135.74</v>
      </c>
    </row>
    <row r="291" spans="5:11" x14ac:dyDescent="0.35">
      <c r="E291" s="98">
        <v>45876</v>
      </c>
      <c r="F291">
        <v>24464.2</v>
      </c>
      <c r="G291">
        <v>24634.2</v>
      </c>
      <c r="H291">
        <v>24344.15</v>
      </c>
      <c r="I291">
        <v>24596.15</v>
      </c>
      <c r="J291">
        <v>616739190</v>
      </c>
      <c r="K291">
        <v>35574.589999999997</v>
      </c>
    </row>
    <row r="292" spans="5:11" x14ac:dyDescent="0.35">
      <c r="E292" s="98">
        <v>45875</v>
      </c>
      <c r="F292">
        <v>24641.35</v>
      </c>
      <c r="G292">
        <v>24671.4</v>
      </c>
      <c r="H292">
        <v>24539.200000000001</v>
      </c>
      <c r="I292">
        <v>24574.2</v>
      </c>
      <c r="J292">
        <v>225091071</v>
      </c>
      <c r="K292">
        <v>20559.22</v>
      </c>
    </row>
    <row r="293" spans="5:11" x14ac:dyDescent="0.35">
      <c r="E293" s="98">
        <v>45874</v>
      </c>
      <c r="F293">
        <v>24720.25</v>
      </c>
      <c r="G293">
        <v>24733.1</v>
      </c>
      <c r="H293">
        <v>24590.3</v>
      </c>
      <c r="I293">
        <v>24649.55</v>
      </c>
      <c r="J293">
        <v>251849778</v>
      </c>
      <c r="K293">
        <v>23815.360000000001</v>
      </c>
    </row>
    <row r="294" spans="5:11" x14ac:dyDescent="0.35">
      <c r="E294" s="98">
        <v>45873</v>
      </c>
      <c r="F294">
        <v>24596.05</v>
      </c>
      <c r="G294">
        <v>24736.25</v>
      </c>
      <c r="H294">
        <v>24554</v>
      </c>
      <c r="I294">
        <v>24722.75</v>
      </c>
      <c r="J294">
        <v>259329477</v>
      </c>
      <c r="K294">
        <v>20372.68</v>
      </c>
    </row>
  </sheetData>
  <hyperlinks>
    <hyperlink ref="M1" r:id="rId1" xr:uid="{00000000-0004-0000-0000-000000000000}"/>
  </hyperlinks>
  <printOptions gridLines="1"/>
  <pageMargins left="0.7" right="0.7" top="0.75" bottom="0.75" header="0.3" footer="0.3"/>
  <pageSetup paperSize="9" scale="11" orientation="landscape"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K22"/>
  <sheetViews>
    <sheetView zoomScale="150" workbookViewId="0">
      <pane xSplit="1" ySplit="3" topLeftCell="D70" activePane="bottomRight" state="frozen"/>
      <selection pane="topRight" activeCell="B1" sqref="B1"/>
      <selection pane="bottomLeft" activeCell="A4" sqref="A4"/>
      <selection pane="bottomRight" activeCell="K5" sqref="K5"/>
    </sheetView>
  </sheetViews>
  <sheetFormatPr defaultColWidth="8.81640625" defaultRowHeight="14.5" x14ac:dyDescent="0.35"/>
  <cols>
    <col min="1" max="1" width="20.6328125" customWidth="1"/>
    <col min="2" max="11" width="13.453125" bestFit="1" customWidth="1"/>
  </cols>
  <sheetData>
    <row r="1" spans="1:11" s="2" customFormat="1" x14ac:dyDescent="0.35">
      <c r="A1" s="2" t="str">
        <f>'Profit &amp; Loss'!A1</f>
        <v>TATA CONSULTANCY SERVICES LTD</v>
      </c>
      <c r="E1" t="str">
        <f>UPDATE</f>
        <v/>
      </c>
      <c r="J1" s="2" t="s">
        <v>1</v>
      </c>
    </row>
    <row r="3" spans="1:11" s="2" customFormat="1" x14ac:dyDescent="0.35">
      <c r="A3" s="11" t="s">
        <v>2</v>
      </c>
      <c r="B3" s="12">
        <f>'Data Sheet'!B41</f>
        <v>45382</v>
      </c>
      <c r="C3" s="12">
        <f>'Data Sheet'!C41</f>
        <v>45473</v>
      </c>
      <c r="D3" s="12">
        <f>'Data Sheet'!D41</f>
        <v>45565</v>
      </c>
      <c r="E3" s="12">
        <f>'Data Sheet'!E41</f>
        <v>45657</v>
      </c>
      <c r="F3" s="12">
        <f>'Data Sheet'!F41</f>
        <v>45747</v>
      </c>
      <c r="G3" s="12">
        <f>'Data Sheet'!G41</f>
        <v>45838</v>
      </c>
      <c r="H3" s="12">
        <f>'Data Sheet'!H41</f>
        <v>45930</v>
      </c>
      <c r="I3" s="12">
        <f>'Data Sheet'!I41</f>
        <v>46022</v>
      </c>
      <c r="J3" s="12">
        <f>'Data Sheet'!J41</f>
        <v>46112</v>
      </c>
      <c r="K3" s="12">
        <f>'Data Sheet'!K41</f>
        <v>46203</v>
      </c>
    </row>
    <row r="4" spans="1:11" s="2" customFormat="1" x14ac:dyDescent="0.35">
      <c r="A4" s="2" t="s">
        <v>6</v>
      </c>
      <c r="B4" s="1">
        <f>'Data Sheet'!B42</f>
        <v>61237</v>
      </c>
      <c r="C4" s="1">
        <f>'Data Sheet'!C42</f>
        <v>62613</v>
      </c>
      <c r="D4" s="1">
        <f>'Data Sheet'!D42</f>
        <v>64259</v>
      </c>
      <c r="E4" s="1">
        <f>'Data Sheet'!E42</f>
        <v>63973</v>
      </c>
      <c r="F4" s="1">
        <f>'Data Sheet'!F42</f>
        <v>64479</v>
      </c>
      <c r="G4" s="1">
        <f>'Data Sheet'!G42</f>
        <v>63437</v>
      </c>
      <c r="H4" s="1">
        <f>'Data Sheet'!H42</f>
        <v>65799</v>
      </c>
      <c r="I4" s="1">
        <f>'Data Sheet'!I42</f>
        <v>67087</v>
      </c>
      <c r="J4" s="1">
        <f>'Data Sheet'!J42</f>
        <v>70698</v>
      </c>
      <c r="K4" s="1">
        <f>'Data Sheet'!K42</f>
        <v>72275</v>
      </c>
    </row>
    <row r="5" spans="1:11" x14ac:dyDescent="0.35">
      <c r="A5" t="s">
        <v>7</v>
      </c>
      <c r="B5" s="6">
        <f>'Data Sheet'!B43</f>
        <v>44073</v>
      </c>
      <c r="C5" s="6">
        <f>'Data Sheet'!C43</f>
        <v>45951</v>
      </c>
      <c r="D5" s="6">
        <f>'Data Sheet'!D43</f>
        <v>47528</v>
      </c>
      <c r="E5" s="6">
        <f>'Data Sheet'!E43</f>
        <v>46939</v>
      </c>
      <c r="F5" s="6">
        <f>'Data Sheet'!F43</f>
        <v>47499</v>
      </c>
      <c r="G5" s="6">
        <f>'Data Sheet'!G43</f>
        <v>46562</v>
      </c>
      <c r="H5" s="6">
        <f>'Data Sheet'!H43</f>
        <v>47821</v>
      </c>
      <c r="I5" s="6">
        <f>'Data Sheet'!I43</f>
        <v>48818</v>
      </c>
      <c r="J5" s="6">
        <f>'Data Sheet'!J43</f>
        <v>51422</v>
      </c>
      <c r="K5" s="6">
        <f>'Data Sheet'!K43</f>
        <v>53719</v>
      </c>
    </row>
    <row r="6" spans="1:11" s="2" customFormat="1" x14ac:dyDescent="0.35">
      <c r="A6" s="2" t="s">
        <v>8</v>
      </c>
      <c r="B6" s="1">
        <f>'Data Sheet'!B50</f>
        <v>17164</v>
      </c>
      <c r="C6" s="1">
        <f>'Data Sheet'!C50</f>
        <v>16662</v>
      </c>
      <c r="D6" s="1">
        <f>'Data Sheet'!D50</f>
        <v>16731</v>
      </c>
      <c r="E6" s="1">
        <f>'Data Sheet'!E50</f>
        <v>17034</v>
      </c>
      <c r="F6" s="1">
        <f>'Data Sheet'!F50</f>
        <v>16980</v>
      </c>
      <c r="G6" s="1">
        <f>'Data Sheet'!G50</f>
        <v>16875</v>
      </c>
      <c r="H6" s="1">
        <f>'Data Sheet'!H50</f>
        <v>17978</v>
      </c>
      <c r="I6" s="1">
        <f>'Data Sheet'!I50</f>
        <v>18269</v>
      </c>
      <c r="J6" s="1">
        <f>'Data Sheet'!J50</f>
        <v>19276</v>
      </c>
      <c r="K6" s="1">
        <f>'Data Sheet'!K50</f>
        <v>18556</v>
      </c>
    </row>
    <row r="7" spans="1:11" x14ac:dyDescent="0.35">
      <c r="A7" t="s">
        <v>9</v>
      </c>
      <c r="B7" s="6">
        <f>'Data Sheet'!B44</f>
        <v>1157</v>
      </c>
      <c r="C7" s="6">
        <f>'Data Sheet'!C44</f>
        <v>962</v>
      </c>
      <c r="D7" s="6">
        <f>'Data Sheet'!D44</f>
        <v>729</v>
      </c>
      <c r="E7" s="6">
        <f>'Data Sheet'!E44</f>
        <v>1243</v>
      </c>
      <c r="F7" s="6">
        <f>'Data Sheet'!F44</f>
        <v>1028</v>
      </c>
      <c r="G7" s="6">
        <f>'Data Sheet'!G44</f>
        <v>1660</v>
      </c>
      <c r="H7" s="6">
        <f>'Data Sheet'!H44</f>
        <v>-268</v>
      </c>
      <c r="I7" s="6">
        <f>'Data Sheet'!I44</f>
        <v>-2273</v>
      </c>
      <c r="J7" s="6">
        <f>'Data Sheet'!J44</f>
        <v>757</v>
      </c>
      <c r="K7" s="6">
        <f>'Data Sheet'!K44</f>
        <v>900</v>
      </c>
    </row>
    <row r="8" spans="1:11" x14ac:dyDescent="0.35">
      <c r="A8" t="s">
        <v>10</v>
      </c>
      <c r="B8" s="6">
        <f>'Data Sheet'!B45</f>
        <v>1246</v>
      </c>
      <c r="C8" s="6">
        <f>'Data Sheet'!C45</f>
        <v>1220</v>
      </c>
      <c r="D8" s="6">
        <f>'Data Sheet'!D45</f>
        <v>1266</v>
      </c>
      <c r="E8" s="6">
        <f>'Data Sheet'!E45</f>
        <v>1377</v>
      </c>
      <c r="F8" s="6">
        <f>'Data Sheet'!F45</f>
        <v>1379</v>
      </c>
      <c r="G8" s="6">
        <f>'Data Sheet'!G45</f>
        <v>1361</v>
      </c>
      <c r="H8" s="6">
        <f>'Data Sheet'!H45</f>
        <v>1413</v>
      </c>
      <c r="I8" s="6">
        <f>'Data Sheet'!I45</f>
        <v>1380</v>
      </c>
      <c r="J8" s="6">
        <f>'Data Sheet'!J45</f>
        <v>1406</v>
      </c>
      <c r="K8" s="6">
        <f>'Data Sheet'!K45</f>
        <v>1239</v>
      </c>
    </row>
    <row r="9" spans="1:11" x14ac:dyDescent="0.35">
      <c r="A9" t="s">
        <v>11</v>
      </c>
      <c r="B9" s="6">
        <f>'Data Sheet'!B46</f>
        <v>226</v>
      </c>
      <c r="C9" s="6">
        <f>'Data Sheet'!C46</f>
        <v>173</v>
      </c>
      <c r="D9" s="6">
        <f>'Data Sheet'!D46</f>
        <v>162</v>
      </c>
      <c r="E9" s="6">
        <f>'Data Sheet'!E46</f>
        <v>234</v>
      </c>
      <c r="F9" s="6">
        <f>'Data Sheet'!F46</f>
        <v>227</v>
      </c>
      <c r="G9" s="6">
        <f>'Data Sheet'!G46</f>
        <v>195</v>
      </c>
      <c r="H9" s="6">
        <f>'Data Sheet'!H46</f>
        <v>229</v>
      </c>
      <c r="I9" s="6">
        <f>'Data Sheet'!I46</f>
        <v>538</v>
      </c>
      <c r="J9" s="6">
        <f>'Data Sheet'!J46</f>
        <v>265</v>
      </c>
      <c r="K9" s="6">
        <f>'Data Sheet'!K46</f>
        <v>273</v>
      </c>
    </row>
    <row r="10" spans="1:11" x14ac:dyDescent="0.35">
      <c r="A10" t="s">
        <v>12</v>
      </c>
      <c r="B10" s="6">
        <f>'Data Sheet'!B47</f>
        <v>16849</v>
      </c>
      <c r="C10" s="6">
        <f>'Data Sheet'!C47</f>
        <v>16231</v>
      </c>
      <c r="D10" s="6">
        <f>'Data Sheet'!D47</f>
        <v>16032</v>
      </c>
      <c r="E10" s="6">
        <f>'Data Sheet'!E47</f>
        <v>16666</v>
      </c>
      <c r="F10" s="6">
        <f>'Data Sheet'!F47</f>
        <v>16402</v>
      </c>
      <c r="G10" s="6">
        <f>'Data Sheet'!G47</f>
        <v>16979</v>
      </c>
      <c r="H10" s="6">
        <f>'Data Sheet'!H47</f>
        <v>16068</v>
      </c>
      <c r="I10" s="6">
        <f>'Data Sheet'!I47</f>
        <v>14078</v>
      </c>
      <c r="J10" s="6">
        <f>'Data Sheet'!J47</f>
        <v>18362</v>
      </c>
      <c r="K10" s="6">
        <f>'Data Sheet'!K47</f>
        <v>17944</v>
      </c>
    </row>
    <row r="11" spans="1:11" x14ac:dyDescent="0.35">
      <c r="A11" t="s">
        <v>13</v>
      </c>
      <c r="B11" s="6">
        <f>'Data Sheet'!B48</f>
        <v>4347</v>
      </c>
      <c r="C11" s="6">
        <f>'Data Sheet'!C48</f>
        <v>4126</v>
      </c>
      <c r="D11" s="6">
        <f>'Data Sheet'!D48</f>
        <v>4077</v>
      </c>
      <c r="E11" s="6">
        <f>'Data Sheet'!E48</f>
        <v>4222</v>
      </c>
      <c r="F11" s="6">
        <f>'Data Sheet'!F48</f>
        <v>4109</v>
      </c>
      <c r="G11" s="6">
        <f>'Data Sheet'!G48</f>
        <v>4160</v>
      </c>
      <c r="H11" s="6">
        <f>'Data Sheet'!H48</f>
        <v>3937</v>
      </c>
      <c r="I11" s="6">
        <f>'Data Sheet'!I48</f>
        <v>3358</v>
      </c>
      <c r="J11" s="6">
        <f>'Data Sheet'!J48</f>
        <v>4578</v>
      </c>
      <c r="K11" s="6">
        <f>'Data Sheet'!K48</f>
        <v>4524</v>
      </c>
    </row>
    <row r="12" spans="1:11" s="2" customFormat="1" x14ac:dyDescent="0.35">
      <c r="A12" s="2" t="s">
        <v>14</v>
      </c>
      <c r="B12" s="1">
        <f>'Data Sheet'!B49</f>
        <v>12434</v>
      </c>
      <c r="C12" s="1">
        <f>'Data Sheet'!C49</f>
        <v>12040</v>
      </c>
      <c r="D12" s="1">
        <f>'Data Sheet'!D49</f>
        <v>11909</v>
      </c>
      <c r="E12" s="1">
        <f>'Data Sheet'!E49</f>
        <v>12380</v>
      </c>
      <c r="F12" s="1">
        <f>'Data Sheet'!F49</f>
        <v>12224</v>
      </c>
      <c r="G12" s="1">
        <f>'Data Sheet'!G49</f>
        <v>12760</v>
      </c>
      <c r="H12" s="1">
        <f>'Data Sheet'!H49</f>
        <v>12075</v>
      </c>
      <c r="I12" s="1">
        <f>'Data Sheet'!I49</f>
        <v>10657</v>
      </c>
      <c r="J12" s="1">
        <f>'Data Sheet'!J49</f>
        <v>13718</v>
      </c>
      <c r="K12" s="1">
        <f>'Data Sheet'!K49</f>
        <v>13349</v>
      </c>
    </row>
    <row r="14" spans="1:11" s="2" customFormat="1" x14ac:dyDescent="0.35">
      <c r="A14" s="2" t="s">
        <v>18</v>
      </c>
      <c r="B14" s="10">
        <f>IF(B4&gt;0,B6/B4,"")</f>
        <v>0.28028806113950716</v>
      </c>
      <c r="C14" s="10">
        <f t="shared" ref="C14:K14" si="0">IF(C4&gt;0,C6/C4,"")</f>
        <v>0.26611087154424801</v>
      </c>
      <c r="D14" s="10">
        <f t="shared" si="0"/>
        <v>0.2603681974509407</v>
      </c>
      <c r="E14" s="10">
        <f t="shared" si="0"/>
        <v>0.26626858205805576</v>
      </c>
      <c r="F14" s="10">
        <f t="shared" si="0"/>
        <v>0.2633415530637882</v>
      </c>
      <c r="G14" s="10">
        <f t="shared" si="0"/>
        <v>0.26601194886265112</v>
      </c>
      <c r="H14" s="10">
        <f t="shared" si="0"/>
        <v>0.27322603686986124</v>
      </c>
      <c r="I14" s="10">
        <f t="shared" si="0"/>
        <v>0.27231803479064498</v>
      </c>
      <c r="J14" s="10">
        <f t="shared" si="0"/>
        <v>0.27265269173102491</v>
      </c>
      <c r="K14" s="10">
        <f t="shared" si="0"/>
        <v>0.25674161189899691</v>
      </c>
    </row>
    <row r="22" s="23" customFormat="1" x14ac:dyDescent="0.35"/>
  </sheetData>
  <hyperlinks>
    <hyperlink ref="J1" r:id="rId1" xr:uid="{00000000-0004-0000-0100-000000000000}"/>
  </hyperlinks>
  <printOptions gridLines="1"/>
  <pageMargins left="0.7" right="0.7" top="0.75" bottom="0.75" header="0.3" footer="0.3"/>
  <pageSetup paperSize="9" scale="84" orientation="landscape" horizontalDpi="300" verticalDpi="30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81640625" defaultRowHeight="14.5" x14ac:dyDescent="0.35"/>
  <cols>
    <col min="1" max="1" width="22.81640625" bestFit="1" customWidth="1"/>
    <col min="2" max="2" width="13.453125" customWidth="1"/>
    <col min="3" max="11" width="15.453125" customWidth="1"/>
  </cols>
  <sheetData>
    <row r="1" spans="1:11" s="2" customFormat="1" x14ac:dyDescent="0.35">
      <c r="A1" s="2" t="str">
        <f>'Profit &amp; Loss'!A1</f>
        <v>TATA CONSULTANCY SERVICES LTD</v>
      </c>
      <c r="E1" t="str">
        <f>UPDATE</f>
        <v/>
      </c>
      <c r="G1"/>
      <c r="J1" s="2" t="s">
        <v>1</v>
      </c>
    </row>
    <row r="2" spans="1:11" x14ac:dyDescent="0.35">
      <c r="G2" s="2"/>
      <c r="H2" s="2"/>
    </row>
    <row r="3" spans="1:11" x14ac:dyDescent="0.35">
      <c r="A3" s="11" t="s">
        <v>2</v>
      </c>
      <c r="B3" s="12">
        <f>'Data Sheet'!B56</f>
        <v>42825</v>
      </c>
      <c r="C3" s="12">
        <f>'Data Sheet'!C56</f>
        <v>43190</v>
      </c>
      <c r="D3" s="12">
        <f>'Data Sheet'!D56</f>
        <v>43555</v>
      </c>
      <c r="E3" s="12">
        <f>'Data Sheet'!E56</f>
        <v>43921</v>
      </c>
      <c r="F3" s="12">
        <f>'Data Sheet'!F56</f>
        <v>44286</v>
      </c>
      <c r="G3" s="12">
        <f>'Data Sheet'!G56</f>
        <v>44651</v>
      </c>
      <c r="H3" s="12">
        <f>'Data Sheet'!H56</f>
        <v>45016</v>
      </c>
      <c r="I3" s="12">
        <f>'Data Sheet'!I56</f>
        <v>45382</v>
      </c>
      <c r="J3" s="12">
        <f>'Data Sheet'!J56</f>
        <v>45747</v>
      </c>
      <c r="K3" s="12">
        <f>'Data Sheet'!K56</f>
        <v>46112</v>
      </c>
    </row>
    <row r="4" spans="1:11" x14ac:dyDescent="0.35">
      <c r="A4" t="s">
        <v>24</v>
      </c>
      <c r="B4" s="14">
        <f>'Data Sheet'!B57</f>
        <v>197</v>
      </c>
      <c r="C4" s="14">
        <f>'Data Sheet'!C57</f>
        <v>191</v>
      </c>
      <c r="D4" s="14">
        <f>'Data Sheet'!D57</f>
        <v>375</v>
      </c>
      <c r="E4" s="14">
        <f>'Data Sheet'!E57</f>
        <v>375</v>
      </c>
      <c r="F4" s="14">
        <f>'Data Sheet'!F57</f>
        <v>370</v>
      </c>
      <c r="G4" s="14">
        <f>'Data Sheet'!G57</f>
        <v>366</v>
      </c>
      <c r="H4" s="14">
        <f>'Data Sheet'!H57</f>
        <v>366</v>
      </c>
      <c r="I4" s="14">
        <f>'Data Sheet'!I57</f>
        <v>362</v>
      </c>
      <c r="J4" s="14">
        <f>'Data Sheet'!J57</f>
        <v>362</v>
      </c>
      <c r="K4" s="14">
        <f>'Data Sheet'!K57</f>
        <v>362</v>
      </c>
    </row>
    <row r="5" spans="1:11" x14ac:dyDescent="0.35">
      <c r="A5" t="s">
        <v>25</v>
      </c>
      <c r="B5" s="14">
        <f>'Data Sheet'!B58</f>
        <v>86017</v>
      </c>
      <c r="C5" s="14">
        <f>'Data Sheet'!C58</f>
        <v>84937</v>
      </c>
      <c r="D5" s="14">
        <f>'Data Sheet'!D58</f>
        <v>89071</v>
      </c>
      <c r="E5" s="14">
        <f>'Data Sheet'!E58</f>
        <v>83751</v>
      </c>
      <c r="F5" s="14">
        <f>'Data Sheet'!F58</f>
        <v>86063</v>
      </c>
      <c r="G5" s="14">
        <f>'Data Sheet'!G58</f>
        <v>88773</v>
      </c>
      <c r="H5" s="14">
        <f>'Data Sheet'!H58</f>
        <v>90058</v>
      </c>
      <c r="I5" s="14">
        <f>'Data Sheet'!I58</f>
        <v>90127</v>
      </c>
      <c r="J5" s="14">
        <f>'Data Sheet'!J58</f>
        <v>94394</v>
      </c>
      <c r="K5" s="14">
        <f>'Data Sheet'!K58</f>
        <v>106878</v>
      </c>
    </row>
    <row r="6" spans="1:11" x14ac:dyDescent="0.35">
      <c r="A6" t="s">
        <v>71</v>
      </c>
      <c r="B6" s="14">
        <f>'Data Sheet'!B59</f>
        <v>289</v>
      </c>
      <c r="C6" s="14">
        <f>'Data Sheet'!C59</f>
        <v>247</v>
      </c>
      <c r="D6" s="14">
        <f>'Data Sheet'!D59</f>
        <v>62</v>
      </c>
      <c r="E6" s="14">
        <f>'Data Sheet'!E59</f>
        <v>8174</v>
      </c>
      <c r="F6" s="14">
        <f>'Data Sheet'!F59</f>
        <v>7795</v>
      </c>
      <c r="G6" s="14">
        <f>'Data Sheet'!G59</f>
        <v>7818</v>
      </c>
      <c r="H6" s="14">
        <f>'Data Sheet'!H59</f>
        <v>7688</v>
      </c>
      <c r="I6" s="14">
        <f>'Data Sheet'!I59</f>
        <v>8021</v>
      </c>
      <c r="J6" s="14">
        <f>'Data Sheet'!J59</f>
        <v>9392</v>
      </c>
      <c r="K6" s="14">
        <f>'Data Sheet'!K59</f>
        <v>11283</v>
      </c>
    </row>
    <row r="7" spans="1:11" x14ac:dyDescent="0.35">
      <c r="A7" t="s">
        <v>72</v>
      </c>
      <c r="B7" s="14">
        <f>'Data Sheet'!B60</f>
        <v>15830</v>
      </c>
      <c r="C7" s="14">
        <f>'Data Sheet'!C60</f>
        <v>19751</v>
      </c>
      <c r="D7" s="14">
        <f>'Data Sheet'!D60</f>
        <v>24393</v>
      </c>
      <c r="E7" s="14">
        <f>'Data Sheet'!E60</f>
        <v>27827</v>
      </c>
      <c r="F7" s="14">
        <f>'Data Sheet'!F60</f>
        <v>35764</v>
      </c>
      <c r="G7" s="14">
        <f>'Data Sheet'!G60</f>
        <v>43967</v>
      </c>
      <c r="H7" s="14">
        <f>'Data Sheet'!H60</f>
        <v>44747</v>
      </c>
      <c r="I7" s="14">
        <f>'Data Sheet'!I60</f>
        <v>46962</v>
      </c>
      <c r="J7" s="14">
        <f>'Data Sheet'!J60</f>
        <v>54501</v>
      </c>
      <c r="K7" s="14">
        <f>'Data Sheet'!K60</f>
        <v>62644</v>
      </c>
    </row>
    <row r="8" spans="1:11" s="2" customFormat="1" x14ac:dyDescent="0.35">
      <c r="A8" s="2" t="s">
        <v>26</v>
      </c>
      <c r="B8" s="15">
        <f>'Data Sheet'!B61</f>
        <v>102333</v>
      </c>
      <c r="C8" s="15">
        <f>'Data Sheet'!C61</f>
        <v>105126</v>
      </c>
      <c r="D8" s="15">
        <f>'Data Sheet'!D61</f>
        <v>113901</v>
      </c>
      <c r="E8" s="15">
        <f>'Data Sheet'!E61</f>
        <v>120127</v>
      </c>
      <c r="F8" s="15">
        <f>'Data Sheet'!F61</f>
        <v>129992</v>
      </c>
      <c r="G8" s="15">
        <f>'Data Sheet'!G61</f>
        <v>140924</v>
      </c>
      <c r="H8" s="15">
        <f>'Data Sheet'!H61</f>
        <v>142859</v>
      </c>
      <c r="I8" s="15">
        <f>'Data Sheet'!I61</f>
        <v>145472</v>
      </c>
      <c r="J8" s="15">
        <f>'Data Sheet'!J61</f>
        <v>158649</v>
      </c>
      <c r="K8" s="15">
        <f>'Data Sheet'!K61</f>
        <v>181167</v>
      </c>
    </row>
    <row r="9" spans="1:11" s="2" customFormat="1" x14ac:dyDescent="0.35">
      <c r="B9" s="15"/>
      <c r="C9" s="15"/>
      <c r="D9" s="15"/>
      <c r="E9" s="15"/>
      <c r="F9" s="15"/>
      <c r="G9" s="15"/>
      <c r="H9" s="15"/>
      <c r="I9" s="15"/>
      <c r="J9" s="15"/>
      <c r="K9" s="15"/>
    </row>
    <row r="10" spans="1:11" x14ac:dyDescent="0.35">
      <c r="A10" t="s">
        <v>27</v>
      </c>
      <c r="B10" s="14">
        <f>'Data Sheet'!B62</f>
        <v>11701</v>
      </c>
      <c r="C10" s="14">
        <f>'Data Sheet'!C62</f>
        <v>11973</v>
      </c>
      <c r="D10" s="14">
        <f>'Data Sheet'!D62</f>
        <v>12290</v>
      </c>
      <c r="E10" s="14">
        <f>'Data Sheet'!E62</f>
        <v>20928</v>
      </c>
      <c r="F10" s="14">
        <f>'Data Sheet'!F62</f>
        <v>21021</v>
      </c>
      <c r="G10" s="14">
        <f>'Data Sheet'!G62</f>
        <v>21298</v>
      </c>
      <c r="H10" s="14">
        <f>'Data Sheet'!H62</f>
        <v>20515</v>
      </c>
      <c r="I10" s="14">
        <f>'Data Sheet'!I62</f>
        <v>19604</v>
      </c>
      <c r="J10" s="14">
        <f>'Data Sheet'!J62</f>
        <v>23053</v>
      </c>
      <c r="K10" s="14">
        <f>'Data Sheet'!K62</f>
        <v>31343</v>
      </c>
    </row>
    <row r="11" spans="1:11" x14ac:dyDescent="0.35">
      <c r="A11" t="s">
        <v>28</v>
      </c>
      <c r="B11" s="14">
        <f>'Data Sheet'!B63</f>
        <v>1541</v>
      </c>
      <c r="C11" s="14">
        <f>'Data Sheet'!C63</f>
        <v>1278</v>
      </c>
      <c r="D11" s="14">
        <f>'Data Sheet'!D63</f>
        <v>963</v>
      </c>
      <c r="E11" s="14">
        <f>'Data Sheet'!E63</f>
        <v>906</v>
      </c>
      <c r="F11" s="14">
        <f>'Data Sheet'!F63</f>
        <v>926</v>
      </c>
      <c r="G11" s="14">
        <f>'Data Sheet'!G63</f>
        <v>1205</v>
      </c>
      <c r="H11" s="14">
        <f>'Data Sheet'!H63</f>
        <v>1234</v>
      </c>
      <c r="I11" s="14">
        <f>'Data Sheet'!I63</f>
        <v>1564</v>
      </c>
      <c r="J11" s="14">
        <f>'Data Sheet'!J63</f>
        <v>1546</v>
      </c>
      <c r="K11" s="14">
        <f>'Data Sheet'!K63</f>
        <v>2665</v>
      </c>
    </row>
    <row r="12" spans="1:11" x14ac:dyDescent="0.35">
      <c r="A12" t="s">
        <v>29</v>
      </c>
      <c r="B12" s="14">
        <f>'Data Sheet'!B64</f>
        <v>41980</v>
      </c>
      <c r="C12" s="14">
        <f>'Data Sheet'!C64</f>
        <v>36008</v>
      </c>
      <c r="D12" s="14">
        <f>'Data Sheet'!D64</f>
        <v>29330</v>
      </c>
      <c r="E12" s="14">
        <f>'Data Sheet'!E64</f>
        <v>26356</v>
      </c>
      <c r="F12" s="14">
        <f>'Data Sheet'!F64</f>
        <v>29373</v>
      </c>
      <c r="G12" s="14">
        <f>'Data Sheet'!G64</f>
        <v>30485</v>
      </c>
      <c r="H12" s="14">
        <f>'Data Sheet'!H64</f>
        <v>37163</v>
      </c>
      <c r="I12" s="14">
        <f>'Data Sheet'!I64</f>
        <v>31762</v>
      </c>
      <c r="J12" s="14">
        <f>'Data Sheet'!J64</f>
        <v>30964</v>
      </c>
      <c r="K12" s="14">
        <f>'Data Sheet'!K64</f>
        <v>33988</v>
      </c>
    </row>
    <row r="13" spans="1:11" x14ac:dyDescent="0.35">
      <c r="A13" t="s">
        <v>73</v>
      </c>
      <c r="B13" s="14">
        <f>'Data Sheet'!B65</f>
        <v>47111</v>
      </c>
      <c r="C13" s="14">
        <f>'Data Sheet'!C65</f>
        <v>55867</v>
      </c>
      <c r="D13" s="14">
        <f>'Data Sheet'!D65</f>
        <v>71318</v>
      </c>
      <c r="E13" s="14">
        <f>'Data Sheet'!E65</f>
        <v>71937</v>
      </c>
      <c r="F13" s="14">
        <f>'Data Sheet'!F65</f>
        <v>78672</v>
      </c>
      <c r="G13" s="14">
        <f>'Data Sheet'!G65</f>
        <v>87936</v>
      </c>
      <c r="H13" s="14">
        <f>'Data Sheet'!H65</f>
        <v>83947</v>
      </c>
      <c r="I13" s="14">
        <f>'Data Sheet'!I65</f>
        <v>92542</v>
      </c>
      <c r="J13" s="14">
        <f>'Data Sheet'!J65</f>
        <v>103086</v>
      </c>
      <c r="K13" s="14">
        <f>'Data Sheet'!K65</f>
        <v>113171</v>
      </c>
    </row>
    <row r="14" spans="1:11" s="2" customFormat="1" x14ac:dyDescent="0.35">
      <c r="A14" s="2" t="s">
        <v>26</v>
      </c>
      <c r="B14" s="14">
        <f>'Data Sheet'!B66</f>
        <v>102333</v>
      </c>
      <c r="C14" s="14">
        <f>'Data Sheet'!C66</f>
        <v>105126</v>
      </c>
      <c r="D14" s="14">
        <f>'Data Sheet'!D66</f>
        <v>113901</v>
      </c>
      <c r="E14" s="14">
        <f>'Data Sheet'!E66</f>
        <v>120127</v>
      </c>
      <c r="F14" s="14">
        <f>'Data Sheet'!F66</f>
        <v>129992</v>
      </c>
      <c r="G14" s="14">
        <f>'Data Sheet'!G66</f>
        <v>140924</v>
      </c>
      <c r="H14" s="14">
        <f>'Data Sheet'!H66</f>
        <v>142859</v>
      </c>
      <c r="I14" s="14">
        <f>'Data Sheet'!I66</f>
        <v>145472</v>
      </c>
      <c r="J14" s="14">
        <f>'Data Sheet'!J66</f>
        <v>158649</v>
      </c>
      <c r="K14" s="14">
        <f>'Data Sheet'!K66</f>
        <v>181167</v>
      </c>
    </row>
    <row r="15" spans="1:11" x14ac:dyDescent="0.35">
      <c r="B15" s="4"/>
      <c r="C15" s="4"/>
      <c r="D15" s="4"/>
      <c r="E15" s="4"/>
      <c r="F15" s="4"/>
      <c r="G15" s="4"/>
      <c r="H15" s="4"/>
      <c r="I15" s="4"/>
      <c r="J15" s="4"/>
      <c r="K15" s="4"/>
    </row>
    <row r="16" spans="1:11" x14ac:dyDescent="0.35">
      <c r="A16" t="s">
        <v>30</v>
      </c>
      <c r="B16" s="4">
        <f>B13-B7</f>
        <v>31281</v>
      </c>
      <c r="C16" s="4">
        <f t="shared" ref="C16:K16" si="0">C13-C7</f>
        <v>36116</v>
      </c>
      <c r="D16" s="4">
        <f t="shared" si="0"/>
        <v>46925</v>
      </c>
      <c r="E16" s="4">
        <f t="shared" si="0"/>
        <v>44110</v>
      </c>
      <c r="F16" s="4">
        <f t="shared" si="0"/>
        <v>42908</v>
      </c>
      <c r="G16" s="4">
        <f t="shared" si="0"/>
        <v>43969</v>
      </c>
      <c r="H16" s="4">
        <f t="shared" si="0"/>
        <v>39200</v>
      </c>
      <c r="I16" s="4">
        <f t="shared" si="0"/>
        <v>45580</v>
      </c>
      <c r="J16" s="4">
        <f t="shared" si="0"/>
        <v>48585</v>
      </c>
      <c r="K16" s="4">
        <f t="shared" si="0"/>
        <v>50527</v>
      </c>
    </row>
    <row r="17" spans="1:11" x14ac:dyDescent="0.35">
      <c r="A17" t="s">
        <v>44</v>
      </c>
      <c r="B17" s="4">
        <f>'Data Sheet'!B67</f>
        <v>22617</v>
      </c>
      <c r="C17" s="4">
        <f>'Data Sheet'!C67</f>
        <v>24943</v>
      </c>
      <c r="D17" s="4">
        <f>'Data Sheet'!D67</f>
        <v>27346</v>
      </c>
      <c r="E17" s="4">
        <f>'Data Sheet'!E67</f>
        <v>30532</v>
      </c>
      <c r="F17" s="4">
        <f>'Data Sheet'!F67</f>
        <v>30079</v>
      </c>
      <c r="G17" s="4">
        <f>'Data Sheet'!G67</f>
        <v>41810</v>
      </c>
      <c r="H17" s="4">
        <f>'Data Sheet'!H67</f>
        <v>49954</v>
      </c>
      <c r="I17" s="4">
        <f>'Data Sheet'!I67</f>
        <v>53577</v>
      </c>
      <c r="J17" s="4">
        <f>'Data Sheet'!J67</f>
        <v>59046</v>
      </c>
      <c r="K17" s="4">
        <f>'Data Sheet'!K67</f>
        <v>67714</v>
      </c>
    </row>
    <row r="18" spans="1:11" x14ac:dyDescent="0.35">
      <c r="A18" t="s">
        <v>45</v>
      </c>
      <c r="B18" s="4">
        <f>'Data Sheet'!B68</f>
        <v>21</v>
      </c>
      <c r="C18" s="4">
        <f>'Data Sheet'!C68</f>
        <v>26</v>
      </c>
      <c r="D18" s="4">
        <f>'Data Sheet'!D68</f>
        <v>10</v>
      </c>
      <c r="E18" s="4">
        <f>'Data Sheet'!E68</f>
        <v>5</v>
      </c>
      <c r="F18" s="4">
        <f>'Data Sheet'!F68</f>
        <v>8</v>
      </c>
      <c r="G18" s="4">
        <f>'Data Sheet'!G68</f>
        <v>20</v>
      </c>
      <c r="H18" s="4">
        <f>'Data Sheet'!H68</f>
        <v>28</v>
      </c>
      <c r="I18" s="4">
        <f>'Data Sheet'!I68</f>
        <v>28</v>
      </c>
      <c r="J18" s="4">
        <f>'Data Sheet'!J68</f>
        <v>21</v>
      </c>
      <c r="K18" s="4">
        <f>'Data Sheet'!K68</f>
        <v>29</v>
      </c>
    </row>
    <row r="20" spans="1:11" x14ac:dyDescent="0.35">
      <c r="A20" t="s">
        <v>46</v>
      </c>
      <c r="B20" s="4">
        <f>IF('Profit &amp; Loss'!B4&gt;0,'Balance Sheet'!B17/('Profit &amp; Loss'!B4/365),0)</f>
        <v>69.979527999593103</v>
      </c>
      <c r="C20" s="4">
        <f>IF('Profit &amp; Loss'!C4&gt;0,'Balance Sheet'!C17/('Profit &amp; Loss'!C4/365),0)</f>
        <v>73.955314205874714</v>
      </c>
      <c r="D20" s="4">
        <f>IF('Profit &amp; Loss'!D4&gt;0,'Balance Sheet'!D17/('Profit &amp; Loss'!D4/365),0)</f>
        <v>68.148884018489312</v>
      </c>
      <c r="E20" s="4">
        <f>IF('Profit &amp; Loss'!E4&gt;0,'Balance Sheet'!E17/('Profit &amp; Loss'!E4/365),0)</f>
        <v>71.005103568675182</v>
      </c>
      <c r="F20" s="4">
        <f>IF('Profit &amp; Loss'!F4&gt;0,'Balance Sheet'!F17/('Profit &amp; Loss'!F4/365),0)</f>
        <v>66.871943085815914</v>
      </c>
      <c r="G20" s="4">
        <f>IF('Profit &amp; Loss'!G4&gt;0,'Balance Sheet'!G17/('Profit &amp; Loss'!G4/365),0)</f>
        <v>79.584519749262085</v>
      </c>
      <c r="H20" s="4">
        <f>IF('Profit &amp; Loss'!H4&gt;0,'Balance Sheet'!H17/('Profit &amp; Loss'!H4/365),0)</f>
        <v>80.871869705222252</v>
      </c>
      <c r="I20" s="4">
        <f>IF('Profit &amp; Loss'!I4&gt;0,'Balance Sheet'!I17/('Profit &amp; Loss'!I4/365),0)</f>
        <v>81.179631620678052</v>
      </c>
      <c r="J20" s="4">
        <f>IF('Profit &amp; Loss'!J4&gt;0,'Balance Sheet'!J17/('Profit &amp; Loss'!J4/365),0)</f>
        <v>84.409573718099367</v>
      </c>
      <c r="K20" s="4">
        <f>IF('Profit &amp; Loss'!K4&gt;0,'Balance Sheet'!K17/('Profit &amp; Loss'!K4/365),0)</f>
        <v>92.560547672280464</v>
      </c>
    </row>
    <row r="21" spans="1:11" x14ac:dyDescent="0.35">
      <c r="A21" t="s">
        <v>47</v>
      </c>
      <c r="B21" s="4">
        <f>IF('Balance Sheet'!B18&gt;0,'Profit &amp; Loss'!B4/'Balance Sheet'!B18,0)</f>
        <v>5617.4285714285716</v>
      </c>
      <c r="C21" s="4">
        <f>IF('Balance Sheet'!C18&gt;0,'Profit &amp; Loss'!C4/'Balance Sheet'!C18,0)</f>
        <v>4734.7692307692305</v>
      </c>
      <c r="D21" s="4">
        <f>IF('Balance Sheet'!D18&gt;0,'Profit &amp; Loss'!D4/'Balance Sheet'!D18,0)</f>
        <v>14646.3</v>
      </c>
      <c r="E21" s="4">
        <f>IF('Balance Sheet'!E18&gt;0,'Profit &amp; Loss'!E4/'Balance Sheet'!E18,0)</f>
        <v>31389.8</v>
      </c>
      <c r="F21" s="4">
        <f>IF('Balance Sheet'!F18&gt;0,'Profit &amp; Loss'!F4/'Balance Sheet'!F18,0)</f>
        <v>20522.125</v>
      </c>
      <c r="G21" s="4">
        <f>IF('Balance Sheet'!G18&gt;0,'Profit &amp; Loss'!G4/'Balance Sheet'!G18,0)</f>
        <v>9587.7000000000007</v>
      </c>
      <c r="H21" s="4">
        <f>IF('Balance Sheet'!H18&gt;0,'Profit &amp; Loss'!H4/'Balance Sheet'!H18,0)</f>
        <v>8052.0714285714284</v>
      </c>
      <c r="I21" s="4">
        <f>IF('Balance Sheet'!I18&gt;0,'Profit &amp; Loss'!I4/'Balance Sheet'!I18,0)</f>
        <v>8603.3214285714294</v>
      </c>
      <c r="J21" s="4">
        <f>IF('Balance Sheet'!J18&gt;0,'Profit &amp; Loss'!J4/'Balance Sheet'!J18,0)</f>
        <v>12158.285714285714</v>
      </c>
      <c r="K21" s="4">
        <f>IF('Balance Sheet'!K18&gt;0,'Profit &amp; Loss'!K4/'Balance Sheet'!K18,0)</f>
        <v>9207.6206896551721</v>
      </c>
    </row>
    <row r="23" spans="1:11" s="2" customFormat="1" x14ac:dyDescent="0.35">
      <c r="A23" s="2" t="s">
        <v>59</v>
      </c>
      <c r="B23" s="10">
        <f>IF(SUM('Balance Sheet'!B4:B5)&gt;0,'Profit &amp; Loss'!B12/SUM('Balance Sheet'!B4:B5),"")</f>
        <v>0.30492727399262298</v>
      </c>
      <c r="C23" s="10">
        <f>IF(SUM('Balance Sheet'!C4:C5)&gt;0,'Profit &amp; Loss'!C12/SUM('Balance Sheet'!C4:C5),"")</f>
        <v>0.30337844187576357</v>
      </c>
      <c r="D23" s="10">
        <f>IF(SUM('Balance Sheet'!D4:D5)&gt;0,'Profit &amp; Loss'!D12/SUM('Balance Sheet'!D4:D5),"")</f>
        <v>0.35185475035216779</v>
      </c>
      <c r="E23" s="10">
        <f>IF(SUM('Balance Sheet'!E4:E5)&gt;0,'Profit &amp; Loss'!E12/SUM('Balance Sheet'!E4:E5),"")</f>
        <v>0.38442336495257112</v>
      </c>
      <c r="F23" s="10">
        <f>IF(SUM('Balance Sheet'!F4:F5)&gt;0,'Profit &amp; Loss'!F12/SUM('Balance Sheet'!F4:F5),"")</f>
        <v>0.37520391517128876</v>
      </c>
      <c r="G23" s="10">
        <f>IF(SUM('Balance Sheet'!G4:G5)&gt;0,'Profit &amp; Loss'!G12/SUM('Balance Sheet'!G4:G5),"")</f>
        <v>0.42996892493745725</v>
      </c>
      <c r="H23" s="10">
        <f>IF(SUM('Balance Sheet'!H4:H5)&gt;0,'Profit &amp; Loss'!H12/SUM('Balance Sheet'!H4:H5),"")</f>
        <v>0.46610413164646552</v>
      </c>
      <c r="I23" s="10">
        <f>IF(SUM('Balance Sheet'!I4:I5)&gt;0,'Profit &amp; Loss'!I12/SUM('Balance Sheet'!I4:I5),"")</f>
        <v>0.50733238294157301</v>
      </c>
      <c r="J23" s="10">
        <f>IF(SUM('Balance Sheet'!J4:J5)&gt;0,'Profit &amp; Loss'!J12/SUM('Balance Sheet'!J4:J5),"")</f>
        <v>0.51240027016758838</v>
      </c>
      <c r="K23" s="10">
        <f>IF(SUM('Balance Sheet'!K4:K5)&gt;0,'Profit &amp; Loss'!K12/SUM('Balance Sheet'!K4:K5),"")</f>
        <v>0.45887728459530025</v>
      </c>
    </row>
    <row r="24" spans="1:11" s="2" customFormat="1" x14ac:dyDescent="0.35">
      <c r="A24" s="2" t="s">
        <v>60</v>
      </c>
      <c r="B24" s="10"/>
      <c r="C24" s="10">
        <f>IF((B4+B5+B6+C4+C5+C6)&gt;0,('Profit &amp; Loss'!C10+'Profit &amp; Loss'!C9)*2/(B4+B5+B6+C4+C5+C6),"")</f>
        <v>0.39730506522067977</v>
      </c>
      <c r="D24" s="10">
        <f>IF((C4+C5+C6+D4+D5+D6)&gt;0,('Profit &amp; Loss'!D10+'Profit &amp; Loss'!D9)*2/(C4+C5+C6+D4+D5+D6),"")</f>
        <v>0.47758787303511491</v>
      </c>
      <c r="E24" s="10">
        <f>IF((D4+D5+D6+E4+E5+E6)&gt;0,('Profit &amp; Loss'!E10+'Profit &amp; Loss'!E9)*2/(D4+D5+D6+E4+E5+E6),"")</f>
        <v>0.47491859544134474</v>
      </c>
      <c r="F24" s="10">
        <f>IF((E4+E5+E6+F4+F5+F6)&gt;0,('Profit &amp; Loss'!F10+'Profit &amp; Loss'!F9)*2/(E4+E5+E6+F4+F5+F6),"")</f>
        <v>0.4760357694287185</v>
      </c>
      <c r="G24" s="10">
        <f>IF((F4+F5+F6+G4+G5+G6)&gt;0,('Profit &amp; Loss'!G10+'Profit &amp; Loss'!G9)*2/(F4+F5+F6+G4+G5+G6),"")</f>
        <v>0.54890289510160317</v>
      </c>
      <c r="H24" s="10">
        <f>IF((G4+G5+G6+H4+H5+H6)&gt;0,('Profit &amp; Loss'!H10+'Profit &amp; Loss'!H9)*2/(G4+G5+G6+H4+H5+H6),"")</f>
        <v>0.59144200257344837</v>
      </c>
      <c r="I24" s="10">
        <f>IF((H4+H5+H6+I4+I5+I6)&gt;0,('Profit &amp; Loss'!I10+'Profit &amp; Loss'!I9)*2/(H4+H5+H6+I4+I5+I6),"")</f>
        <v>0.63853485367863205</v>
      </c>
      <c r="J24" s="10">
        <f>IF((I4+I5+I6+J4+J5+J6)&gt;0,('Profit &amp; Loss'!J10+'Profit &amp; Loss'!J9)*2/(I4+I5+I6+J4+J5+J6),"")</f>
        <v>0.65259698605532468</v>
      </c>
      <c r="K24" s="10">
        <f>IF((J4+J5+J6+K4+K5+K6)&gt;0,('Profit &amp; Loss'!K10+'Profit &amp; Loss'!K9)*2/(J4+J5+J6+K4+K5+K6),"")</f>
        <v>0.59921588352322486</v>
      </c>
    </row>
  </sheetData>
  <hyperlinks>
    <hyperlink ref="J1" r:id="rId1" xr:uid="{00000000-0004-0000-0200-000000000000}"/>
  </hyperlinks>
  <printOptions gridLines="1"/>
  <pageMargins left="0.7" right="0.7" top="0.75" bottom="0.75" header="0.3" footer="0.3"/>
  <pageSetup paperSize="9" scale="74"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M28"/>
  <sheetViews>
    <sheetView zoomScale="81" zoomScaleNormal="150" zoomScalePageLayoutView="150" workbookViewId="0">
      <pane xSplit="1" ySplit="3" topLeftCell="B14" activePane="bottomRight" state="frozen"/>
      <selection pane="topRight" activeCell="B1" sqref="B1"/>
      <selection pane="bottomLeft" activeCell="A4" sqref="A4"/>
      <selection pane="bottomRight" activeCell="H22" sqref="G22:H22"/>
    </sheetView>
  </sheetViews>
  <sheetFormatPr defaultColWidth="8.81640625" defaultRowHeight="14.5" x14ac:dyDescent="0.35"/>
  <cols>
    <col min="1" max="1" width="26.81640625" bestFit="1" customWidth="1"/>
    <col min="2" max="6" width="13.453125" customWidth="1"/>
    <col min="7" max="11" width="13.453125" bestFit="1" customWidth="1"/>
  </cols>
  <sheetData>
    <row r="1" spans="1:13" s="2" customFormat="1" x14ac:dyDescent="0.35">
      <c r="A1" s="2" t="str">
        <f>'Balance Sheet'!A1</f>
        <v>TATA CONSULTANCY SERVICES LTD</v>
      </c>
      <c r="E1" t="str">
        <f>UPDATE</f>
        <v/>
      </c>
      <c r="F1"/>
      <c r="J1" s="2" t="s">
        <v>1</v>
      </c>
    </row>
    <row r="3" spans="1:13" s="2" customFormat="1" x14ac:dyDescent="0.35">
      <c r="A3" s="11" t="s">
        <v>2</v>
      </c>
      <c r="B3" s="12">
        <f>'Data Sheet'!B81</f>
        <v>42825</v>
      </c>
      <c r="C3" s="12">
        <f>'Data Sheet'!C81</f>
        <v>43190</v>
      </c>
      <c r="D3" s="12">
        <f>'Data Sheet'!D81</f>
        <v>43555</v>
      </c>
      <c r="E3" s="12">
        <f>'Data Sheet'!E81</f>
        <v>43921</v>
      </c>
      <c r="F3" s="12">
        <f>'Data Sheet'!F81</f>
        <v>44286</v>
      </c>
      <c r="G3" s="12">
        <f>'Data Sheet'!G81</f>
        <v>44651</v>
      </c>
      <c r="H3" s="12">
        <f>'Data Sheet'!H81</f>
        <v>45016</v>
      </c>
      <c r="I3" s="12">
        <f>'Data Sheet'!I81</f>
        <v>45382</v>
      </c>
      <c r="J3" s="12">
        <f>'Data Sheet'!J81</f>
        <v>45747</v>
      </c>
      <c r="K3" s="12">
        <f>'Data Sheet'!K81</f>
        <v>46112</v>
      </c>
    </row>
    <row r="4" spans="1:13" s="2" customFormat="1" x14ac:dyDescent="0.35">
      <c r="A4" s="2" t="s">
        <v>32</v>
      </c>
      <c r="B4" s="1">
        <f>'Data Sheet'!B82</f>
        <v>25223</v>
      </c>
      <c r="C4" s="1">
        <f>'Data Sheet'!C82</f>
        <v>25067</v>
      </c>
      <c r="D4" s="1">
        <f>'Data Sheet'!D82</f>
        <v>28593</v>
      </c>
      <c r="E4" s="1">
        <f>'Data Sheet'!E82</f>
        <v>32369</v>
      </c>
      <c r="F4" s="1">
        <f>'Data Sheet'!F82</f>
        <v>38802</v>
      </c>
      <c r="G4" s="1">
        <f>'Data Sheet'!G82</f>
        <v>39949</v>
      </c>
      <c r="H4" s="1">
        <f>'Data Sheet'!H82</f>
        <v>41965</v>
      </c>
      <c r="I4" s="1">
        <f>'Data Sheet'!I82</f>
        <v>44338</v>
      </c>
      <c r="J4" s="1">
        <f>'Data Sheet'!J82</f>
        <v>48908</v>
      </c>
      <c r="K4" s="1">
        <f>'Data Sheet'!K82</f>
        <v>52094</v>
      </c>
    </row>
    <row r="5" spans="1:13" x14ac:dyDescent="0.35">
      <c r="A5" t="s">
        <v>33</v>
      </c>
      <c r="B5" s="6">
        <f>'Data Sheet'!B83</f>
        <v>-16895</v>
      </c>
      <c r="C5" s="6">
        <f>'Data Sheet'!C83</f>
        <v>3104</v>
      </c>
      <c r="D5" s="6">
        <f>'Data Sheet'!D83</f>
        <v>1645</v>
      </c>
      <c r="E5" s="6">
        <f>'Data Sheet'!E83</f>
        <v>8968</v>
      </c>
      <c r="F5" s="6">
        <f>'Data Sheet'!F83</f>
        <v>-7956</v>
      </c>
      <c r="G5" s="6">
        <f>'Data Sheet'!G83</f>
        <v>-738</v>
      </c>
      <c r="H5" s="6">
        <f>'Data Sheet'!H83</f>
        <v>548</v>
      </c>
      <c r="I5" s="6">
        <f>'Data Sheet'!I83</f>
        <v>6091</v>
      </c>
      <c r="J5" s="6">
        <f>'Data Sheet'!J83</f>
        <v>-2144</v>
      </c>
      <c r="K5" s="6">
        <f>'Data Sheet'!K83</f>
        <v>-11886</v>
      </c>
    </row>
    <row r="6" spans="1:13" x14ac:dyDescent="0.35">
      <c r="A6" t="s">
        <v>34</v>
      </c>
      <c r="B6" s="6">
        <f>'Data Sheet'!B84</f>
        <v>-11026</v>
      </c>
      <c r="C6" s="6">
        <f>'Data Sheet'!C84</f>
        <v>-26885</v>
      </c>
      <c r="D6" s="6">
        <f>'Data Sheet'!D84</f>
        <v>-27897</v>
      </c>
      <c r="E6" s="6">
        <f>'Data Sheet'!E84</f>
        <v>-39915</v>
      </c>
      <c r="F6" s="6">
        <f>'Data Sheet'!F84</f>
        <v>-32634</v>
      </c>
      <c r="G6" s="6">
        <f>'Data Sheet'!G84</f>
        <v>-33581</v>
      </c>
      <c r="H6" s="6">
        <f>'Data Sheet'!H84</f>
        <v>-47878</v>
      </c>
      <c r="I6" s="6">
        <f>'Data Sheet'!I84</f>
        <v>-48536</v>
      </c>
      <c r="J6" s="6">
        <f>'Data Sheet'!J84</f>
        <v>-47438</v>
      </c>
      <c r="K6" s="6">
        <f>'Data Sheet'!K84</f>
        <v>-42133</v>
      </c>
    </row>
    <row r="7" spans="1:13" s="2" customFormat="1" x14ac:dyDescent="0.35">
      <c r="A7" s="2" t="s">
        <v>35</v>
      </c>
      <c r="B7" s="1">
        <f>'Data Sheet'!B85</f>
        <v>-2698</v>
      </c>
      <c r="C7" s="1">
        <f>'Data Sheet'!C85</f>
        <v>1286</v>
      </c>
      <c r="D7" s="1">
        <f>'Data Sheet'!D85</f>
        <v>2341</v>
      </c>
      <c r="E7" s="1">
        <f>'Data Sheet'!E85</f>
        <v>1422</v>
      </c>
      <c r="F7" s="1">
        <f>'Data Sheet'!F85</f>
        <v>-1788</v>
      </c>
      <c r="G7" s="1">
        <f>'Data Sheet'!G85</f>
        <v>5630</v>
      </c>
      <c r="H7" s="1">
        <f>'Data Sheet'!H85</f>
        <v>-5365</v>
      </c>
      <c r="I7" s="1">
        <f>'Data Sheet'!I85</f>
        <v>1893</v>
      </c>
      <c r="J7" s="1">
        <f>'Data Sheet'!J85</f>
        <v>-674</v>
      </c>
      <c r="K7" s="1">
        <f>'Data Sheet'!K85</f>
        <v>-1925</v>
      </c>
    </row>
    <row r="8" spans="1:13" x14ac:dyDescent="0.35">
      <c r="B8" s="6"/>
      <c r="C8" s="6"/>
      <c r="D8" s="6"/>
      <c r="E8" s="6"/>
      <c r="F8" s="6"/>
      <c r="G8" s="6"/>
      <c r="H8" s="6"/>
      <c r="I8" s="6"/>
      <c r="J8" s="6"/>
      <c r="K8" s="6"/>
    </row>
    <row r="9" spans="1:13" x14ac:dyDescent="0.35">
      <c r="A9" t="s">
        <v>275</v>
      </c>
      <c r="B9" s="123">
        <v>-2949</v>
      </c>
      <c r="C9" s="123">
        <v>-1987</v>
      </c>
      <c r="D9" s="123">
        <v>-1989</v>
      </c>
      <c r="E9" s="123">
        <v>-1862</v>
      </c>
      <c r="F9" s="123">
        <v>-2231</v>
      </c>
      <c r="G9" s="123">
        <v>-3249</v>
      </c>
      <c r="H9" s="123">
        <v>-3176</v>
      </c>
      <c r="I9" s="123">
        <v>-2995</v>
      </c>
      <c r="J9" s="123">
        <v>-3100</v>
      </c>
      <c r="K9" s="123">
        <v>-2674</v>
      </c>
      <c r="L9" s="123">
        <v>-3937</v>
      </c>
      <c r="M9" s="123">
        <v>-4146</v>
      </c>
    </row>
    <row r="10" spans="1:13" x14ac:dyDescent="0.35">
      <c r="A10" t="s">
        <v>276</v>
      </c>
      <c r="B10">
        <v>7</v>
      </c>
      <c r="C10">
        <v>22</v>
      </c>
      <c r="D10">
        <v>36</v>
      </c>
      <c r="E10">
        <v>58</v>
      </c>
      <c r="F10">
        <v>99</v>
      </c>
      <c r="G10">
        <v>161</v>
      </c>
      <c r="H10">
        <v>37</v>
      </c>
      <c r="I10">
        <v>31</v>
      </c>
      <c r="J10">
        <v>37</v>
      </c>
      <c r="K10">
        <v>24</v>
      </c>
      <c r="L10">
        <v>23</v>
      </c>
      <c r="M10">
        <v>65</v>
      </c>
    </row>
    <row r="11" spans="1:13" x14ac:dyDescent="0.35">
      <c r="A11" s="121" t="s">
        <v>283</v>
      </c>
      <c r="B11" s="122">
        <v>-67371</v>
      </c>
      <c r="C11" s="122">
        <v>-116847</v>
      </c>
      <c r="D11" s="122">
        <v>-121423</v>
      </c>
      <c r="E11" s="122">
        <v>-97473</v>
      </c>
      <c r="F11" s="122">
        <v>-96751</v>
      </c>
      <c r="G11" s="122">
        <v>-80002</v>
      </c>
      <c r="H11" s="122">
        <v>-54462</v>
      </c>
      <c r="I11" s="122">
        <v>-75374</v>
      </c>
      <c r="J11" s="122">
        <v>-129745</v>
      </c>
      <c r="K11" s="122">
        <v>-141011</v>
      </c>
      <c r="L11" s="122">
        <v>-145962</v>
      </c>
      <c r="M11" s="122">
        <v>-152114</v>
      </c>
    </row>
    <row r="12" spans="1:13" x14ac:dyDescent="0.35">
      <c r="A12" s="121" t="s">
        <v>284</v>
      </c>
      <c r="B12" s="122">
        <v>69361</v>
      </c>
      <c r="C12" s="122">
        <v>97154</v>
      </c>
      <c r="D12" s="122">
        <v>102798</v>
      </c>
      <c r="E12" s="122">
        <v>103482</v>
      </c>
      <c r="F12" s="122">
        <v>104133</v>
      </c>
      <c r="G12" s="122">
        <v>84089</v>
      </c>
      <c r="H12" s="122">
        <v>51630</v>
      </c>
      <c r="I12" s="122">
        <v>73852</v>
      </c>
      <c r="J12" s="122">
        <v>122687</v>
      </c>
      <c r="K12" s="122">
        <v>147204</v>
      </c>
      <c r="L12" s="122">
        <v>147695</v>
      </c>
      <c r="M12" s="122">
        <v>148023</v>
      </c>
    </row>
    <row r="23" spans="1:2" x14ac:dyDescent="0.35">
      <c r="A23" s="196" t="s">
        <v>570</v>
      </c>
      <c r="B23" s="198" t="s">
        <v>571</v>
      </c>
    </row>
    <row r="24" spans="1:2" x14ac:dyDescent="0.35">
      <c r="A24" s="199" t="s">
        <v>572</v>
      </c>
      <c r="B24" s="274">
        <v>2365.6</v>
      </c>
    </row>
    <row r="25" spans="1:2" x14ac:dyDescent="0.35">
      <c r="A25" s="199" t="s">
        <v>573</v>
      </c>
      <c r="B25" s="274">
        <v>2766.23</v>
      </c>
    </row>
    <row r="26" spans="1:2" x14ac:dyDescent="0.35">
      <c r="A26" s="199" t="s">
        <v>574</v>
      </c>
      <c r="B26" s="275">
        <v>0.1694</v>
      </c>
    </row>
    <row r="27" spans="1:2" x14ac:dyDescent="0.35">
      <c r="A27" s="199" t="s">
        <v>575</v>
      </c>
      <c r="B27" s="197" t="s">
        <v>576</v>
      </c>
    </row>
    <row r="28" spans="1:2" x14ac:dyDescent="0.35">
      <c r="A28" s="199" t="s">
        <v>577</v>
      </c>
      <c r="B28" s="198" t="s">
        <v>578</v>
      </c>
    </row>
  </sheetData>
  <hyperlinks>
    <hyperlink ref="J1" r:id="rId1" xr:uid="{00000000-0004-0000-0300-000000000000}"/>
  </hyperlinks>
  <printOptions gridLines="1"/>
  <pageMargins left="0.7" right="0.7" top="0.75" bottom="0.75" header="0.3" footer="0.3"/>
  <pageSetup paperSize="9" scale="73"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6"/>
  <sheetViews>
    <sheetView zoomScale="150" zoomScaleNormal="150" zoomScalePageLayoutView="150" workbookViewId="0">
      <selection activeCell="C13" sqref="C13"/>
    </sheetView>
  </sheetViews>
  <sheetFormatPr defaultColWidth="8.81640625" defaultRowHeight="14.5" x14ac:dyDescent="0.35"/>
  <cols>
    <col min="1" max="1" width="8.81640625" style="2"/>
    <col min="2" max="2" width="10.453125" customWidth="1"/>
    <col min="3" max="3" width="13.36328125" style="20" customWidth="1"/>
    <col min="6" max="6" width="6.81640625" customWidth="1"/>
  </cols>
  <sheetData>
    <row r="1" spans="1:7" ht="21" x14ac:dyDescent="0.5">
      <c r="A1" s="19" t="s">
        <v>56</v>
      </c>
    </row>
    <row r="3" spans="1:7" x14ac:dyDescent="0.35">
      <c r="A3" s="2" t="s">
        <v>48</v>
      </c>
    </row>
    <row r="4" spans="1:7" x14ac:dyDescent="0.35">
      <c r="B4" t="s">
        <v>90</v>
      </c>
    </row>
    <row r="5" spans="1:7" x14ac:dyDescent="0.35">
      <c r="B5" t="s">
        <v>49</v>
      </c>
    </row>
    <row r="7" spans="1:7" x14ac:dyDescent="0.35">
      <c r="A7" s="2" t="s">
        <v>50</v>
      </c>
    </row>
    <row r="8" spans="1:7" x14ac:dyDescent="0.35">
      <c r="B8" t="s">
        <v>51</v>
      </c>
      <c r="C8" s="21" t="s">
        <v>91</v>
      </c>
    </row>
    <row r="10" spans="1:7" x14ac:dyDescent="0.35">
      <c r="A10" s="2" t="s">
        <v>52</v>
      </c>
    </row>
    <row r="11" spans="1:7" x14ac:dyDescent="0.35">
      <c r="B11" t="s">
        <v>53</v>
      </c>
    </row>
    <row r="14" spans="1:7" x14ac:dyDescent="0.35">
      <c r="A14" s="2" t="s">
        <v>54</v>
      </c>
    </row>
    <row r="15" spans="1:7" x14ac:dyDescent="0.35">
      <c r="B15" t="s">
        <v>55</v>
      </c>
    </row>
    <row r="16" spans="1:7" x14ac:dyDescent="0.35">
      <c r="B16" t="s">
        <v>92</v>
      </c>
      <c r="G16" s="22"/>
    </row>
  </sheetData>
  <hyperlinks>
    <hyperlink ref="C8" r:id="rId1" display=" http://www.screener.in/excel" xr:uid="{00000000-0004-0000-0400-000000000000}"/>
  </hyperlink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0"/>
  <sheetViews>
    <sheetView zoomScale="68" zoomScaleNormal="68" zoomScalePageLayoutView="120" workbookViewId="0">
      <pane xSplit="1" ySplit="1" topLeftCell="B2" activePane="bottomRight" state="frozen"/>
      <selection activeCell="C4" sqref="C4"/>
      <selection pane="topRight" activeCell="C4" sqref="C4"/>
      <selection pane="bottomLeft" activeCell="C4" sqref="C4"/>
      <selection pane="bottomRight" activeCell="B8" sqref="B8"/>
    </sheetView>
  </sheetViews>
  <sheetFormatPr defaultColWidth="8.81640625" defaultRowHeight="14.5" x14ac:dyDescent="0.35"/>
  <cols>
    <col min="1" max="1" width="27.6328125" style="4" bestFit="1" customWidth="1"/>
    <col min="2" max="2" width="19.7265625" style="4" bestFit="1" customWidth="1"/>
    <col min="3" max="11" width="13.453125" style="4" bestFit="1" customWidth="1"/>
    <col min="12" max="16384" width="8.81640625" style="4"/>
  </cols>
  <sheetData>
    <row r="1" spans="1:11" s="1" customFormat="1" x14ac:dyDescent="0.35">
      <c r="A1" s="1" t="s">
        <v>0</v>
      </c>
      <c r="B1" s="1" t="s">
        <v>63</v>
      </c>
      <c r="E1" s="277" t="str">
        <f>IF(B2&lt;&gt;B3, "A NEW VERSION OF THE WORKSHEET IS AVAILABLE", "")</f>
        <v/>
      </c>
      <c r="F1" s="277"/>
      <c r="G1" s="277"/>
      <c r="H1" s="277"/>
      <c r="I1" s="277"/>
      <c r="J1" s="277"/>
      <c r="K1" s="277"/>
    </row>
    <row r="2" spans="1:11" x14ac:dyDescent="0.35">
      <c r="A2" s="1" t="s">
        <v>61</v>
      </c>
      <c r="B2" s="4">
        <v>2.1</v>
      </c>
      <c r="E2" s="278" t="s">
        <v>36</v>
      </c>
      <c r="F2" s="278"/>
      <c r="G2" s="278"/>
      <c r="H2" s="278"/>
      <c r="I2" s="278"/>
      <c r="J2" s="278"/>
      <c r="K2" s="278"/>
    </row>
    <row r="3" spans="1:11" x14ac:dyDescent="0.35">
      <c r="A3" s="1" t="s">
        <v>62</v>
      </c>
      <c r="B3" s="4">
        <v>2.1</v>
      </c>
    </row>
    <row r="4" spans="1:11" x14ac:dyDescent="0.35">
      <c r="A4" s="1"/>
    </row>
    <row r="5" spans="1:11" x14ac:dyDescent="0.35">
      <c r="A5" s="1" t="s">
        <v>64</v>
      </c>
    </row>
    <row r="6" spans="1:11" x14ac:dyDescent="0.35">
      <c r="A6" s="4" t="s">
        <v>42</v>
      </c>
      <c r="B6" s="4">
        <f>IF(B9&gt;0, B9/B8, 0)</f>
        <v>361.80875042272578</v>
      </c>
    </row>
    <row r="7" spans="1:11" x14ac:dyDescent="0.35">
      <c r="A7" s="4" t="s">
        <v>31</v>
      </c>
      <c r="B7">
        <v>1</v>
      </c>
    </row>
    <row r="8" spans="1:11" x14ac:dyDescent="0.35">
      <c r="A8" s="4" t="s">
        <v>43</v>
      </c>
      <c r="B8">
        <v>2365.6</v>
      </c>
    </row>
    <row r="9" spans="1:11" x14ac:dyDescent="0.35">
      <c r="A9" s="4" t="s">
        <v>79</v>
      </c>
      <c r="B9">
        <v>855894.78</v>
      </c>
    </row>
    <row r="15" spans="1:11" x14ac:dyDescent="0.35">
      <c r="A15" s="1" t="s">
        <v>37</v>
      </c>
    </row>
    <row r="16" spans="1:11" s="18" customFormat="1" x14ac:dyDescent="0.35">
      <c r="A16" s="17" t="s">
        <v>38</v>
      </c>
      <c r="B16" s="12">
        <v>42825</v>
      </c>
      <c r="C16" s="12">
        <v>43190</v>
      </c>
      <c r="D16" s="12">
        <v>43555</v>
      </c>
      <c r="E16" s="12">
        <v>43921</v>
      </c>
      <c r="F16" s="12">
        <v>44286</v>
      </c>
      <c r="G16" s="12">
        <v>44651</v>
      </c>
      <c r="H16" s="12">
        <v>45016</v>
      </c>
      <c r="I16" s="12">
        <v>45382</v>
      </c>
      <c r="J16" s="12">
        <v>45747</v>
      </c>
      <c r="K16" s="12">
        <v>46112</v>
      </c>
    </row>
    <row r="17" spans="1:11" s="6" customFormat="1" x14ac:dyDescent="0.35">
      <c r="A17" s="6" t="s">
        <v>6</v>
      </c>
      <c r="B17">
        <v>117966</v>
      </c>
      <c r="C17">
        <v>123104</v>
      </c>
      <c r="D17">
        <v>146463</v>
      </c>
      <c r="E17">
        <v>156949</v>
      </c>
      <c r="F17">
        <v>164177</v>
      </c>
      <c r="G17">
        <v>191754</v>
      </c>
      <c r="H17">
        <v>225458</v>
      </c>
      <c r="I17">
        <v>240893</v>
      </c>
      <c r="J17">
        <v>255324</v>
      </c>
      <c r="K17">
        <v>267021</v>
      </c>
    </row>
    <row r="18" spans="1:11" s="6" customFormat="1" x14ac:dyDescent="0.35">
      <c r="A18" s="4" t="s">
        <v>80</v>
      </c>
      <c r="B18">
        <v>94</v>
      </c>
      <c r="C18">
        <v>86</v>
      </c>
      <c r="D18">
        <v>40</v>
      </c>
      <c r="E18">
        <v>18</v>
      </c>
      <c r="F18">
        <v>14</v>
      </c>
      <c r="G18">
        <v>29</v>
      </c>
      <c r="H18">
        <v>37</v>
      </c>
      <c r="I18">
        <v>42</v>
      </c>
      <c r="J18">
        <v>49</v>
      </c>
      <c r="K18">
        <v>43</v>
      </c>
    </row>
    <row r="19" spans="1:11" s="6" customFormat="1" x14ac:dyDescent="0.35">
      <c r="A19" s="4" t="s">
        <v>81</v>
      </c>
      <c r="B19">
        <v>1</v>
      </c>
    </row>
    <row r="20" spans="1:11" s="6" customFormat="1" x14ac:dyDescent="0.35">
      <c r="A20" s="4" t="s">
        <v>82</v>
      </c>
    </row>
    <row r="21" spans="1:11" s="6" customFormat="1" x14ac:dyDescent="0.35">
      <c r="A21" s="4" t="s">
        <v>83</v>
      </c>
      <c r="B21">
        <v>2715</v>
      </c>
      <c r="C21">
        <v>2614</v>
      </c>
      <c r="D21">
        <v>2230</v>
      </c>
      <c r="E21">
        <v>1887</v>
      </c>
      <c r="F21">
        <v>1448</v>
      </c>
      <c r="G21">
        <v>1134</v>
      </c>
      <c r="H21">
        <v>1844</v>
      </c>
      <c r="I21">
        <v>3660</v>
      </c>
      <c r="J21">
        <v>11599</v>
      </c>
      <c r="K21">
        <v>4356</v>
      </c>
    </row>
    <row r="22" spans="1:11" s="6" customFormat="1" x14ac:dyDescent="0.35">
      <c r="A22" s="4" t="s">
        <v>84</v>
      </c>
      <c r="B22">
        <v>61621</v>
      </c>
      <c r="C22">
        <v>66396</v>
      </c>
      <c r="D22">
        <v>78246</v>
      </c>
      <c r="E22">
        <v>85952</v>
      </c>
      <c r="F22">
        <v>91814</v>
      </c>
      <c r="G22">
        <v>107554</v>
      </c>
      <c r="H22">
        <v>127522</v>
      </c>
      <c r="I22">
        <v>140131</v>
      </c>
      <c r="J22">
        <v>145788</v>
      </c>
      <c r="K22">
        <v>154994</v>
      </c>
    </row>
    <row r="23" spans="1:11" s="6" customFormat="1" x14ac:dyDescent="0.35">
      <c r="A23" s="4" t="s">
        <v>85</v>
      </c>
      <c r="B23">
        <v>16392</v>
      </c>
      <c r="C23">
        <v>16808</v>
      </c>
      <c r="D23">
        <v>20387</v>
      </c>
      <c r="E23">
        <v>20527</v>
      </c>
      <c r="F23">
        <v>18322</v>
      </c>
      <c r="G23">
        <v>23187</v>
      </c>
      <c r="H23">
        <v>28913</v>
      </c>
      <c r="I23">
        <v>24151</v>
      </c>
      <c r="J23">
        <v>20729</v>
      </c>
      <c r="K23">
        <v>24434</v>
      </c>
    </row>
    <row r="24" spans="1:11" s="6" customFormat="1" x14ac:dyDescent="0.35">
      <c r="A24" s="4" t="s">
        <v>86</v>
      </c>
      <c r="B24">
        <v>4834</v>
      </c>
      <c r="C24">
        <v>4684</v>
      </c>
      <c r="D24">
        <v>6054</v>
      </c>
      <c r="E24">
        <v>6456</v>
      </c>
      <c r="F24">
        <v>6033</v>
      </c>
      <c r="G24">
        <v>6793</v>
      </c>
      <c r="H24">
        <v>7883</v>
      </c>
      <c r="I24">
        <v>8613</v>
      </c>
      <c r="J24">
        <v>9752</v>
      </c>
      <c r="K24">
        <v>10796</v>
      </c>
    </row>
    <row r="25" spans="1:11" s="6" customFormat="1" x14ac:dyDescent="0.35">
      <c r="A25" s="6" t="s">
        <v>9</v>
      </c>
      <c r="B25">
        <v>4221</v>
      </c>
      <c r="C25">
        <v>3642</v>
      </c>
      <c r="D25">
        <v>4311</v>
      </c>
      <c r="E25">
        <v>4592</v>
      </c>
      <c r="F25">
        <v>1916</v>
      </c>
      <c r="G25">
        <v>4018</v>
      </c>
      <c r="H25">
        <v>3449</v>
      </c>
      <c r="I25">
        <v>3464</v>
      </c>
      <c r="J25">
        <v>3962</v>
      </c>
      <c r="K25">
        <v>-124</v>
      </c>
    </row>
    <row r="26" spans="1:11" s="6" customFormat="1" x14ac:dyDescent="0.35">
      <c r="A26" s="6" t="s">
        <v>10</v>
      </c>
      <c r="B26">
        <v>1987</v>
      </c>
      <c r="C26">
        <v>2014</v>
      </c>
      <c r="D26">
        <v>2056</v>
      </c>
      <c r="E26">
        <v>3529</v>
      </c>
      <c r="F26">
        <v>4065</v>
      </c>
      <c r="G26">
        <v>4604</v>
      </c>
      <c r="H26">
        <v>5022</v>
      </c>
      <c r="I26">
        <v>4985</v>
      </c>
      <c r="J26">
        <v>5242</v>
      </c>
      <c r="K26">
        <v>5560</v>
      </c>
    </row>
    <row r="27" spans="1:11" s="6" customFormat="1" x14ac:dyDescent="0.35">
      <c r="A27" s="6" t="s">
        <v>11</v>
      </c>
      <c r="B27">
        <v>32</v>
      </c>
      <c r="C27">
        <v>52</v>
      </c>
      <c r="D27">
        <v>198</v>
      </c>
      <c r="E27">
        <v>924</v>
      </c>
      <c r="F27">
        <v>637</v>
      </c>
      <c r="G27">
        <v>784</v>
      </c>
      <c r="H27">
        <v>779</v>
      </c>
      <c r="I27">
        <v>778</v>
      </c>
      <c r="J27">
        <v>796</v>
      </c>
      <c r="K27">
        <v>1227</v>
      </c>
    </row>
    <row r="28" spans="1:11" s="6" customFormat="1" x14ac:dyDescent="0.35">
      <c r="A28" s="6" t="s">
        <v>12</v>
      </c>
      <c r="B28">
        <v>34513</v>
      </c>
      <c r="C28">
        <v>34092</v>
      </c>
      <c r="D28">
        <v>41563</v>
      </c>
      <c r="E28">
        <v>42248</v>
      </c>
      <c r="F28">
        <v>43760</v>
      </c>
      <c r="G28">
        <v>51687</v>
      </c>
      <c r="H28">
        <v>56907</v>
      </c>
      <c r="I28">
        <v>61997</v>
      </c>
      <c r="J28">
        <v>65331</v>
      </c>
      <c r="K28">
        <v>65487</v>
      </c>
    </row>
    <row r="29" spans="1:11" s="6" customFormat="1" x14ac:dyDescent="0.35">
      <c r="A29" s="6" t="s">
        <v>13</v>
      </c>
      <c r="B29">
        <v>8156</v>
      </c>
      <c r="C29">
        <v>8212</v>
      </c>
      <c r="D29">
        <v>10001</v>
      </c>
      <c r="E29">
        <v>9801</v>
      </c>
      <c r="F29">
        <v>11198</v>
      </c>
      <c r="G29">
        <v>13238</v>
      </c>
      <c r="H29">
        <v>14604</v>
      </c>
      <c r="I29">
        <v>15898</v>
      </c>
      <c r="J29">
        <v>16534</v>
      </c>
      <c r="K29">
        <v>16033</v>
      </c>
    </row>
    <row r="30" spans="1:11" s="6" customFormat="1" x14ac:dyDescent="0.35">
      <c r="A30" s="6" t="s">
        <v>14</v>
      </c>
      <c r="B30">
        <v>26289</v>
      </c>
      <c r="C30">
        <v>25826</v>
      </c>
      <c r="D30">
        <v>31472</v>
      </c>
      <c r="E30">
        <v>32340</v>
      </c>
      <c r="F30">
        <v>32430</v>
      </c>
      <c r="G30">
        <v>38327</v>
      </c>
      <c r="H30">
        <v>42147</v>
      </c>
      <c r="I30">
        <v>45908</v>
      </c>
      <c r="J30">
        <v>48553</v>
      </c>
      <c r="K30">
        <v>49210</v>
      </c>
    </row>
    <row r="31" spans="1:11" s="6" customFormat="1" x14ac:dyDescent="0.35">
      <c r="A31" s="6" t="s">
        <v>70</v>
      </c>
      <c r="B31">
        <v>9259</v>
      </c>
      <c r="C31">
        <v>9550</v>
      </c>
      <c r="D31">
        <v>11250</v>
      </c>
      <c r="E31">
        <v>27375</v>
      </c>
      <c r="F31">
        <v>14060</v>
      </c>
      <c r="G31">
        <v>15738</v>
      </c>
      <c r="H31">
        <v>42090</v>
      </c>
      <c r="I31">
        <v>26426</v>
      </c>
      <c r="J31">
        <v>45612</v>
      </c>
      <c r="K31">
        <v>39820</v>
      </c>
    </row>
    <row r="32" spans="1:11" s="6" customFormat="1" x14ac:dyDescent="0.35"/>
    <row r="33" spans="1:11" x14ac:dyDescent="0.35">
      <c r="A33" s="6"/>
    </row>
    <row r="34" spans="1:11" x14ac:dyDescent="0.35">
      <c r="A34" s="6"/>
    </row>
    <row r="35" spans="1:11" x14ac:dyDescent="0.35">
      <c r="A35" s="6"/>
    </row>
    <row r="36" spans="1:11" x14ac:dyDescent="0.35">
      <c r="A36" s="6"/>
    </row>
    <row r="37" spans="1:11" x14ac:dyDescent="0.35">
      <c r="A37" s="6"/>
    </row>
    <row r="38" spans="1:11" x14ac:dyDescent="0.35">
      <c r="A38" s="6"/>
    </row>
    <row r="39" spans="1:11" x14ac:dyDescent="0.35">
      <c r="A39" s="6"/>
    </row>
    <row r="40" spans="1:11" x14ac:dyDescent="0.35">
      <c r="A40" s="1" t="s">
        <v>39</v>
      </c>
    </row>
    <row r="41" spans="1:11" s="18" customFormat="1" x14ac:dyDescent="0.35">
      <c r="A41" s="17" t="s">
        <v>38</v>
      </c>
      <c r="B41" s="12">
        <v>45382</v>
      </c>
      <c r="C41" s="12">
        <v>45473</v>
      </c>
      <c r="D41" s="12">
        <v>45565</v>
      </c>
      <c r="E41" s="12">
        <v>45657</v>
      </c>
      <c r="F41" s="12">
        <v>45747</v>
      </c>
      <c r="G41" s="12">
        <v>45838</v>
      </c>
      <c r="H41" s="12">
        <v>45930</v>
      </c>
      <c r="I41" s="12">
        <v>46022</v>
      </c>
      <c r="J41" s="12">
        <v>46112</v>
      </c>
      <c r="K41" s="12">
        <v>46203</v>
      </c>
    </row>
    <row r="42" spans="1:11" s="6" customFormat="1" x14ac:dyDescent="0.35">
      <c r="A42" s="6" t="s">
        <v>6</v>
      </c>
      <c r="B42">
        <v>61237</v>
      </c>
      <c r="C42">
        <v>62613</v>
      </c>
      <c r="D42">
        <v>64259</v>
      </c>
      <c r="E42">
        <v>63973</v>
      </c>
      <c r="F42">
        <v>64479</v>
      </c>
      <c r="G42">
        <v>63437</v>
      </c>
      <c r="H42">
        <v>65799</v>
      </c>
      <c r="I42">
        <v>67087</v>
      </c>
      <c r="J42">
        <v>70698</v>
      </c>
      <c r="K42">
        <v>72275</v>
      </c>
    </row>
    <row r="43" spans="1:11" s="6" customFormat="1" x14ac:dyDescent="0.35">
      <c r="A43" s="6" t="s">
        <v>7</v>
      </c>
      <c r="B43">
        <v>44073</v>
      </c>
      <c r="C43">
        <v>45951</v>
      </c>
      <c r="D43">
        <v>47528</v>
      </c>
      <c r="E43">
        <v>46939</v>
      </c>
      <c r="F43">
        <v>47499</v>
      </c>
      <c r="G43">
        <v>46562</v>
      </c>
      <c r="H43">
        <v>47821</v>
      </c>
      <c r="I43">
        <v>48818</v>
      </c>
      <c r="J43">
        <v>51422</v>
      </c>
      <c r="K43">
        <v>53719</v>
      </c>
    </row>
    <row r="44" spans="1:11" s="6" customFormat="1" x14ac:dyDescent="0.35">
      <c r="A44" s="6" t="s">
        <v>9</v>
      </c>
      <c r="B44">
        <v>1157</v>
      </c>
      <c r="C44">
        <v>962</v>
      </c>
      <c r="D44">
        <v>729</v>
      </c>
      <c r="E44">
        <v>1243</v>
      </c>
      <c r="F44">
        <v>1028</v>
      </c>
      <c r="G44">
        <v>1660</v>
      </c>
      <c r="H44">
        <v>-268</v>
      </c>
      <c r="I44">
        <v>-2273</v>
      </c>
      <c r="J44">
        <v>757</v>
      </c>
      <c r="K44">
        <v>900</v>
      </c>
    </row>
    <row r="45" spans="1:11" s="6" customFormat="1" x14ac:dyDescent="0.35">
      <c r="A45" s="6" t="s">
        <v>10</v>
      </c>
      <c r="B45">
        <v>1246</v>
      </c>
      <c r="C45">
        <v>1220</v>
      </c>
      <c r="D45">
        <v>1266</v>
      </c>
      <c r="E45">
        <v>1377</v>
      </c>
      <c r="F45">
        <v>1379</v>
      </c>
      <c r="G45">
        <v>1361</v>
      </c>
      <c r="H45">
        <v>1413</v>
      </c>
      <c r="I45">
        <v>1380</v>
      </c>
      <c r="J45">
        <v>1406</v>
      </c>
      <c r="K45">
        <v>1239</v>
      </c>
    </row>
    <row r="46" spans="1:11" s="6" customFormat="1" x14ac:dyDescent="0.35">
      <c r="A46" s="6" t="s">
        <v>11</v>
      </c>
      <c r="B46">
        <v>226</v>
      </c>
      <c r="C46">
        <v>173</v>
      </c>
      <c r="D46">
        <v>162</v>
      </c>
      <c r="E46">
        <v>234</v>
      </c>
      <c r="F46">
        <v>227</v>
      </c>
      <c r="G46">
        <v>195</v>
      </c>
      <c r="H46">
        <v>229</v>
      </c>
      <c r="I46">
        <v>538</v>
      </c>
      <c r="J46">
        <v>265</v>
      </c>
      <c r="K46">
        <v>273</v>
      </c>
    </row>
    <row r="47" spans="1:11" s="6" customFormat="1" x14ac:dyDescent="0.35">
      <c r="A47" s="6" t="s">
        <v>12</v>
      </c>
      <c r="B47">
        <v>16849</v>
      </c>
      <c r="C47">
        <v>16231</v>
      </c>
      <c r="D47">
        <v>16032</v>
      </c>
      <c r="E47">
        <v>16666</v>
      </c>
      <c r="F47">
        <v>16402</v>
      </c>
      <c r="G47">
        <v>16979</v>
      </c>
      <c r="H47">
        <v>16068</v>
      </c>
      <c r="I47">
        <v>14078</v>
      </c>
      <c r="J47">
        <v>18362</v>
      </c>
      <c r="K47">
        <v>17944</v>
      </c>
    </row>
    <row r="48" spans="1:11" s="6" customFormat="1" x14ac:dyDescent="0.35">
      <c r="A48" s="6" t="s">
        <v>13</v>
      </c>
      <c r="B48">
        <v>4347</v>
      </c>
      <c r="C48">
        <v>4126</v>
      </c>
      <c r="D48">
        <v>4077</v>
      </c>
      <c r="E48">
        <v>4222</v>
      </c>
      <c r="F48">
        <v>4109</v>
      </c>
      <c r="G48">
        <v>4160</v>
      </c>
      <c r="H48">
        <v>3937</v>
      </c>
      <c r="I48">
        <v>3358</v>
      </c>
      <c r="J48">
        <v>4578</v>
      </c>
      <c r="K48">
        <v>4524</v>
      </c>
    </row>
    <row r="49" spans="1:11" s="6" customFormat="1" x14ac:dyDescent="0.35">
      <c r="A49" s="6" t="s">
        <v>14</v>
      </c>
      <c r="B49">
        <v>12434</v>
      </c>
      <c r="C49">
        <v>12040</v>
      </c>
      <c r="D49">
        <v>11909</v>
      </c>
      <c r="E49">
        <v>12380</v>
      </c>
      <c r="F49">
        <v>12224</v>
      </c>
      <c r="G49">
        <v>12760</v>
      </c>
      <c r="H49">
        <v>12075</v>
      </c>
      <c r="I49">
        <v>10657</v>
      </c>
      <c r="J49">
        <v>13718</v>
      </c>
      <c r="K49">
        <v>13349</v>
      </c>
    </row>
    <row r="50" spans="1:11" x14ac:dyDescent="0.35">
      <c r="A50" s="6" t="s">
        <v>8</v>
      </c>
      <c r="B50">
        <v>17164</v>
      </c>
      <c r="C50">
        <v>16662</v>
      </c>
      <c r="D50">
        <v>16731</v>
      </c>
      <c r="E50">
        <v>17034</v>
      </c>
      <c r="F50">
        <v>16980</v>
      </c>
      <c r="G50">
        <v>16875</v>
      </c>
      <c r="H50">
        <v>17978</v>
      </c>
      <c r="I50">
        <v>18269</v>
      </c>
      <c r="J50">
        <v>19276</v>
      </c>
      <c r="K50">
        <v>18556</v>
      </c>
    </row>
    <row r="51" spans="1:11" x14ac:dyDescent="0.35">
      <c r="A51" s="6"/>
    </row>
    <row r="52" spans="1:11" x14ac:dyDescent="0.35">
      <c r="A52" s="6"/>
    </row>
    <row r="53" spans="1:11" x14ac:dyDescent="0.35">
      <c r="A53" s="6"/>
    </row>
    <row r="54" spans="1:11" x14ac:dyDescent="0.35">
      <c r="A54" s="6"/>
    </row>
    <row r="55" spans="1:11" x14ac:dyDescent="0.35">
      <c r="A55" s="1" t="s">
        <v>40</v>
      </c>
    </row>
    <row r="56" spans="1:11" s="18" customFormat="1" x14ac:dyDescent="0.35">
      <c r="A56" s="17" t="s">
        <v>38</v>
      </c>
      <c r="B56" s="12">
        <v>42825</v>
      </c>
      <c r="C56" s="12">
        <v>43190</v>
      </c>
      <c r="D56" s="12">
        <v>43555</v>
      </c>
      <c r="E56" s="12">
        <v>43921</v>
      </c>
      <c r="F56" s="12">
        <v>44286</v>
      </c>
      <c r="G56" s="12">
        <v>44651</v>
      </c>
      <c r="H56" s="12">
        <v>45016</v>
      </c>
      <c r="I56" s="12">
        <v>45382</v>
      </c>
      <c r="J56" s="12">
        <v>45747</v>
      </c>
      <c r="K56" s="12">
        <v>46112</v>
      </c>
    </row>
    <row r="57" spans="1:11" x14ac:dyDescent="0.35">
      <c r="A57" s="6" t="s">
        <v>24</v>
      </c>
      <c r="B57">
        <v>197</v>
      </c>
      <c r="C57">
        <v>191</v>
      </c>
      <c r="D57">
        <v>375</v>
      </c>
      <c r="E57">
        <v>375</v>
      </c>
      <c r="F57">
        <v>370</v>
      </c>
      <c r="G57">
        <v>366</v>
      </c>
      <c r="H57">
        <v>366</v>
      </c>
      <c r="I57">
        <v>362</v>
      </c>
      <c r="J57">
        <v>362</v>
      </c>
      <c r="K57">
        <v>362</v>
      </c>
    </row>
    <row r="58" spans="1:11" x14ac:dyDescent="0.35">
      <c r="A58" s="6" t="s">
        <v>25</v>
      </c>
      <c r="B58">
        <v>86017</v>
      </c>
      <c r="C58">
        <v>84937</v>
      </c>
      <c r="D58">
        <v>89071</v>
      </c>
      <c r="E58">
        <v>83751</v>
      </c>
      <c r="F58">
        <v>86063</v>
      </c>
      <c r="G58">
        <v>88773</v>
      </c>
      <c r="H58">
        <v>90058</v>
      </c>
      <c r="I58">
        <v>90127</v>
      </c>
      <c r="J58">
        <v>94394</v>
      </c>
      <c r="K58">
        <v>106878</v>
      </c>
    </row>
    <row r="59" spans="1:11" x14ac:dyDescent="0.35">
      <c r="A59" s="6" t="s">
        <v>71</v>
      </c>
      <c r="B59">
        <v>289</v>
      </c>
      <c r="C59">
        <v>247</v>
      </c>
      <c r="D59">
        <v>62</v>
      </c>
      <c r="E59">
        <v>8174</v>
      </c>
      <c r="F59">
        <v>7795</v>
      </c>
      <c r="G59">
        <v>7818</v>
      </c>
      <c r="H59">
        <v>7688</v>
      </c>
      <c r="I59">
        <v>8021</v>
      </c>
      <c r="J59">
        <v>9392</v>
      </c>
      <c r="K59">
        <v>11283</v>
      </c>
    </row>
    <row r="60" spans="1:11" x14ac:dyDescent="0.35">
      <c r="A60" s="6" t="s">
        <v>72</v>
      </c>
      <c r="B60">
        <v>15830</v>
      </c>
      <c r="C60">
        <v>19751</v>
      </c>
      <c r="D60">
        <v>24393</v>
      </c>
      <c r="E60">
        <v>27827</v>
      </c>
      <c r="F60">
        <v>35764</v>
      </c>
      <c r="G60">
        <v>43967</v>
      </c>
      <c r="H60">
        <v>44747</v>
      </c>
      <c r="I60">
        <v>46962</v>
      </c>
      <c r="J60">
        <v>54501</v>
      </c>
      <c r="K60">
        <v>62644</v>
      </c>
    </row>
    <row r="61" spans="1:11" s="1" customFormat="1" x14ac:dyDescent="0.35">
      <c r="A61" s="1" t="s">
        <v>26</v>
      </c>
      <c r="B61">
        <v>102333</v>
      </c>
      <c r="C61">
        <v>105126</v>
      </c>
      <c r="D61">
        <v>113901</v>
      </c>
      <c r="E61">
        <v>120127</v>
      </c>
      <c r="F61">
        <v>129992</v>
      </c>
      <c r="G61">
        <v>140924</v>
      </c>
      <c r="H61">
        <v>142859</v>
      </c>
      <c r="I61">
        <v>145472</v>
      </c>
      <c r="J61">
        <v>158649</v>
      </c>
      <c r="K61">
        <v>181167</v>
      </c>
    </row>
    <row r="62" spans="1:11" x14ac:dyDescent="0.35">
      <c r="A62" s="6" t="s">
        <v>27</v>
      </c>
      <c r="B62">
        <v>11701</v>
      </c>
      <c r="C62">
        <v>11973</v>
      </c>
      <c r="D62">
        <v>12290</v>
      </c>
      <c r="E62">
        <v>20928</v>
      </c>
      <c r="F62">
        <v>21021</v>
      </c>
      <c r="G62">
        <v>21298</v>
      </c>
      <c r="H62">
        <v>20515</v>
      </c>
      <c r="I62">
        <v>19604</v>
      </c>
      <c r="J62">
        <v>23053</v>
      </c>
      <c r="K62">
        <v>31343</v>
      </c>
    </row>
    <row r="63" spans="1:11" x14ac:dyDescent="0.35">
      <c r="A63" s="6" t="s">
        <v>28</v>
      </c>
      <c r="B63">
        <v>1541</v>
      </c>
      <c r="C63">
        <v>1278</v>
      </c>
      <c r="D63">
        <v>963</v>
      </c>
      <c r="E63">
        <v>906</v>
      </c>
      <c r="F63">
        <v>926</v>
      </c>
      <c r="G63">
        <v>1205</v>
      </c>
      <c r="H63">
        <v>1234</v>
      </c>
      <c r="I63">
        <v>1564</v>
      </c>
      <c r="J63">
        <v>1546</v>
      </c>
      <c r="K63">
        <v>2665</v>
      </c>
    </row>
    <row r="64" spans="1:11" x14ac:dyDescent="0.35">
      <c r="A64" s="6" t="s">
        <v>29</v>
      </c>
      <c r="B64">
        <v>41980</v>
      </c>
      <c r="C64">
        <v>36008</v>
      </c>
      <c r="D64">
        <v>29330</v>
      </c>
      <c r="E64">
        <v>26356</v>
      </c>
      <c r="F64">
        <v>29373</v>
      </c>
      <c r="G64">
        <v>30485</v>
      </c>
      <c r="H64">
        <v>37163</v>
      </c>
      <c r="I64">
        <v>31762</v>
      </c>
      <c r="J64">
        <v>30964</v>
      </c>
      <c r="K64">
        <v>33988</v>
      </c>
    </row>
    <row r="65" spans="1:11" x14ac:dyDescent="0.35">
      <c r="A65" s="6" t="s">
        <v>73</v>
      </c>
      <c r="B65">
        <v>47111</v>
      </c>
      <c r="C65">
        <v>55867</v>
      </c>
      <c r="D65">
        <v>71318</v>
      </c>
      <c r="E65">
        <v>71937</v>
      </c>
      <c r="F65">
        <v>78672</v>
      </c>
      <c r="G65">
        <v>87936</v>
      </c>
      <c r="H65">
        <v>83947</v>
      </c>
      <c r="I65">
        <v>92542</v>
      </c>
      <c r="J65">
        <v>103086</v>
      </c>
      <c r="K65">
        <v>113171</v>
      </c>
    </row>
    <row r="66" spans="1:11" s="1" customFormat="1" x14ac:dyDescent="0.35">
      <c r="A66" s="1" t="s">
        <v>26</v>
      </c>
      <c r="B66">
        <v>102333</v>
      </c>
      <c r="C66">
        <v>105126</v>
      </c>
      <c r="D66">
        <v>113901</v>
      </c>
      <c r="E66">
        <v>120127</v>
      </c>
      <c r="F66">
        <v>129992</v>
      </c>
      <c r="G66">
        <v>140924</v>
      </c>
      <c r="H66">
        <v>142859</v>
      </c>
      <c r="I66">
        <v>145472</v>
      </c>
      <c r="J66">
        <v>158649</v>
      </c>
      <c r="K66">
        <v>181167</v>
      </c>
    </row>
    <row r="67" spans="1:11" s="6" customFormat="1" x14ac:dyDescent="0.35">
      <c r="A67" s="6" t="s">
        <v>78</v>
      </c>
      <c r="B67">
        <v>22617</v>
      </c>
      <c r="C67">
        <v>24943</v>
      </c>
      <c r="D67">
        <v>27346</v>
      </c>
      <c r="E67">
        <v>30532</v>
      </c>
      <c r="F67">
        <v>30079</v>
      </c>
      <c r="G67">
        <v>41810</v>
      </c>
      <c r="H67">
        <v>49954</v>
      </c>
      <c r="I67">
        <v>53577</v>
      </c>
      <c r="J67">
        <v>59046</v>
      </c>
      <c r="K67">
        <v>67714</v>
      </c>
    </row>
    <row r="68" spans="1:11" x14ac:dyDescent="0.35">
      <c r="A68" s="6" t="s">
        <v>45</v>
      </c>
      <c r="B68">
        <v>21</v>
      </c>
      <c r="C68">
        <v>26</v>
      </c>
      <c r="D68">
        <v>10</v>
      </c>
      <c r="E68">
        <v>5</v>
      </c>
      <c r="F68">
        <v>8</v>
      </c>
      <c r="G68">
        <v>20</v>
      </c>
      <c r="H68">
        <v>28</v>
      </c>
      <c r="I68">
        <v>28</v>
      </c>
      <c r="J68">
        <v>21</v>
      </c>
      <c r="K68">
        <v>29</v>
      </c>
    </row>
    <row r="69" spans="1:11" x14ac:dyDescent="0.35">
      <c r="A69" s="4" t="s">
        <v>87</v>
      </c>
      <c r="B69">
        <v>4149</v>
      </c>
      <c r="C69">
        <v>7161</v>
      </c>
      <c r="D69">
        <v>12848</v>
      </c>
      <c r="E69">
        <v>9666</v>
      </c>
      <c r="F69">
        <v>9329</v>
      </c>
      <c r="G69">
        <v>18221</v>
      </c>
      <c r="H69">
        <v>11032</v>
      </c>
      <c r="I69">
        <v>13286</v>
      </c>
      <c r="J69">
        <v>15463</v>
      </c>
      <c r="K69">
        <v>12908</v>
      </c>
    </row>
    <row r="70" spans="1:11" x14ac:dyDescent="0.35">
      <c r="A70" s="4" t="s">
        <v>74</v>
      </c>
      <c r="B70">
        <v>1970427941</v>
      </c>
      <c r="C70">
        <v>1914287591</v>
      </c>
      <c r="D70">
        <v>3752384706</v>
      </c>
      <c r="E70">
        <v>3752384706</v>
      </c>
      <c r="F70">
        <v>3699051373</v>
      </c>
      <c r="G70">
        <v>3659051373</v>
      </c>
      <c r="H70">
        <v>3659051373</v>
      </c>
      <c r="I70">
        <v>3618087518</v>
      </c>
      <c r="J70">
        <v>3618087518</v>
      </c>
      <c r="K70">
        <v>3618087518</v>
      </c>
    </row>
    <row r="71" spans="1:11" x14ac:dyDescent="0.35">
      <c r="A71" s="4" t="s">
        <v>75</v>
      </c>
    </row>
    <row r="72" spans="1:11" x14ac:dyDescent="0.35">
      <c r="A72" s="4" t="s">
        <v>88</v>
      </c>
      <c r="B72">
        <v>1</v>
      </c>
      <c r="C72">
        <v>1</v>
      </c>
      <c r="D72">
        <v>1</v>
      </c>
      <c r="E72">
        <v>1</v>
      </c>
      <c r="F72">
        <v>1</v>
      </c>
      <c r="G72">
        <v>1</v>
      </c>
      <c r="H72">
        <v>1</v>
      </c>
      <c r="I72">
        <v>1</v>
      </c>
      <c r="J72">
        <v>1</v>
      </c>
      <c r="K72">
        <v>1</v>
      </c>
    </row>
    <row r="74" spans="1:11" x14ac:dyDescent="0.35">
      <c r="A74" s="6"/>
    </row>
    <row r="75" spans="1:11" x14ac:dyDescent="0.35">
      <c r="A75" s="6" t="str">
        <f>A65</f>
        <v>Other Assets</v>
      </c>
      <c r="B75" s="4">
        <f>B65-(B67+B68+B69)</f>
        <v>20324</v>
      </c>
      <c r="C75" s="4">
        <f t="shared" ref="C75:K75" si="0">C65-(C67+C68+C69)</f>
        <v>23737</v>
      </c>
      <c r="D75" s="4">
        <f t="shared" si="0"/>
        <v>31114</v>
      </c>
      <c r="E75" s="4">
        <f t="shared" si="0"/>
        <v>31734</v>
      </c>
      <c r="F75" s="4">
        <f t="shared" si="0"/>
        <v>39256</v>
      </c>
      <c r="G75" s="4">
        <f t="shared" si="0"/>
        <v>27885</v>
      </c>
      <c r="H75" s="4">
        <f t="shared" si="0"/>
        <v>22933</v>
      </c>
      <c r="I75" s="4">
        <f t="shared" si="0"/>
        <v>25651</v>
      </c>
      <c r="J75" s="4">
        <f t="shared" si="0"/>
        <v>28556</v>
      </c>
      <c r="K75" s="4">
        <f t="shared" si="0"/>
        <v>32520</v>
      </c>
    </row>
    <row r="76" spans="1:11" x14ac:dyDescent="0.35">
      <c r="A76" s="6"/>
    </row>
    <row r="77" spans="1:11" x14ac:dyDescent="0.35">
      <c r="A77" s="6"/>
    </row>
    <row r="78" spans="1:11" x14ac:dyDescent="0.35">
      <c r="A78" s="6"/>
      <c r="B78" s="4">
        <f>B75+B76+B77</f>
        <v>20324</v>
      </c>
    </row>
    <row r="79" spans="1:11" x14ac:dyDescent="0.35">
      <c r="A79" s="6"/>
    </row>
    <row r="80" spans="1:11" x14ac:dyDescent="0.35">
      <c r="A80" s="1" t="s">
        <v>41</v>
      </c>
      <c r="E80" s="4" t="b">
        <f>E75=D67+D68+D69</f>
        <v>0</v>
      </c>
    </row>
    <row r="81" spans="1:11" s="18" customFormat="1" x14ac:dyDescent="0.35">
      <c r="A81" s="17" t="s">
        <v>38</v>
      </c>
      <c r="B81" s="12">
        <v>42825</v>
      </c>
      <c r="C81" s="12">
        <v>43190</v>
      </c>
      <c r="D81" s="12">
        <v>43555</v>
      </c>
      <c r="E81" s="12">
        <v>43921</v>
      </c>
      <c r="F81" s="12">
        <v>44286</v>
      </c>
      <c r="G81" s="12">
        <v>44651</v>
      </c>
      <c r="H81" s="12">
        <v>45016</v>
      </c>
      <c r="I81" s="12">
        <v>45382</v>
      </c>
      <c r="J81" s="12">
        <v>45747</v>
      </c>
      <c r="K81" s="12">
        <v>46112</v>
      </c>
    </row>
    <row r="82" spans="1:11" s="1" customFormat="1" x14ac:dyDescent="0.35">
      <c r="A82" s="6" t="s">
        <v>32</v>
      </c>
      <c r="B82">
        <v>25223</v>
      </c>
      <c r="C82">
        <v>25067</v>
      </c>
      <c r="D82">
        <v>28593</v>
      </c>
      <c r="E82">
        <v>32369</v>
      </c>
      <c r="F82">
        <v>38802</v>
      </c>
      <c r="G82">
        <v>39949</v>
      </c>
      <c r="H82">
        <v>41965</v>
      </c>
      <c r="I82">
        <v>44338</v>
      </c>
      <c r="J82">
        <v>48908</v>
      </c>
      <c r="K82">
        <v>52094</v>
      </c>
    </row>
    <row r="83" spans="1:11" s="6" customFormat="1" x14ac:dyDescent="0.35">
      <c r="A83" s="6" t="s">
        <v>33</v>
      </c>
      <c r="B83">
        <v>-16895</v>
      </c>
      <c r="C83">
        <v>3104</v>
      </c>
      <c r="D83">
        <v>1645</v>
      </c>
      <c r="E83">
        <v>8968</v>
      </c>
      <c r="F83">
        <v>-7956</v>
      </c>
      <c r="G83">
        <v>-738</v>
      </c>
      <c r="H83">
        <v>548</v>
      </c>
      <c r="I83">
        <v>6091</v>
      </c>
      <c r="J83">
        <v>-2144</v>
      </c>
      <c r="K83">
        <v>-11886</v>
      </c>
    </row>
    <row r="84" spans="1:11" s="6" customFormat="1" x14ac:dyDescent="0.35">
      <c r="A84" s="6" t="s">
        <v>34</v>
      </c>
      <c r="B84">
        <v>-11026</v>
      </c>
      <c r="C84">
        <v>-26885</v>
      </c>
      <c r="D84">
        <v>-27897</v>
      </c>
      <c r="E84">
        <v>-39915</v>
      </c>
      <c r="F84">
        <v>-32634</v>
      </c>
      <c r="G84">
        <v>-33581</v>
      </c>
      <c r="H84">
        <v>-47878</v>
      </c>
      <c r="I84">
        <v>-48536</v>
      </c>
      <c r="J84">
        <v>-47438</v>
      </c>
      <c r="K84">
        <v>-42133</v>
      </c>
    </row>
    <row r="85" spans="1:11" s="1" customFormat="1" x14ac:dyDescent="0.35">
      <c r="A85" s="6" t="s">
        <v>35</v>
      </c>
      <c r="B85">
        <v>-2698</v>
      </c>
      <c r="C85">
        <v>1286</v>
      </c>
      <c r="D85">
        <v>2341</v>
      </c>
      <c r="E85">
        <v>1422</v>
      </c>
      <c r="F85">
        <v>-1788</v>
      </c>
      <c r="G85">
        <v>5630</v>
      </c>
      <c r="H85">
        <v>-5365</v>
      </c>
      <c r="I85">
        <v>1893</v>
      </c>
      <c r="J85">
        <v>-674</v>
      </c>
      <c r="K85">
        <v>-1925</v>
      </c>
    </row>
    <row r="86" spans="1:11" x14ac:dyDescent="0.35">
      <c r="A86" s="6"/>
    </row>
    <row r="87" spans="1:11" x14ac:dyDescent="0.35">
      <c r="A87" s="6"/>
    </row>
    <row r="88" spans="1:11" x14ac:dyDescent="0.35">
      <c r="A88" s="6"/>
      <c r="C88" s="4">
        <f>C67/B67-1</f>
        <v>0.10284299420789678</v>
      </c>
      <c r="D88" s="4">
        <f t="shared" ref="D88:K88" si="1">D67/C67-1</f>
        <v>9.6339654412059605E-2</v>
      </c>
      <c r="E88" s="4">
        <f t="shared" si="1"/>
        <v>0.11650698456812703</v>
      </c>
      <c r="F88" s="4">
        <f t="shared" si="1"/>
        <v>-1.4836892440717953E-2</v>
      </c>
      <c r="G88" s="4">
        <f t="shared" si="1"/>
        <v>0.39000631669935837</v>
      </c>
      <c r="H88" s="4">
        <f t="shared" si="1"/>
        <v>0.19478593637885666</v>
      </c>
      <c r="I88" s="4">
        <f t="shared" si="1"/>
        <v>7.2526724586619684E-2</v>
      </c>
      <c r="J88" s="4">
        <f t="shared" si="1"/>
        <v>0.102077383952069</v>
      </c>
      <c r="K88" s="4">
        <f t="shared" si="1"/>
        <v>0.14680079937675705</v>
      </c>
    </row>
    <row r="89" spans="1:11" x14ac:dyDescent="0.35">
      <c r="A89" s="6"/>
    </row>
    <row r="90" spans="1:11" s="1" customFormat="1" x14ac:dyDescent="0.35">
      <c r="A90" s="1" t="s">
        <v>77</v>
      </c>
      <c r="B90">
        <v>1215.9000000000001</v>
      </c>
      <c r="C90">
        <v>1424.58</v>
      </c>
      <c r="D90">
        <v>2001.65</v>
      </c>
      <c r="E90">
        <v>1826.1</v>
      </c>
      <c r="F90">
        <v>3177.85</v>
      </c>
      <c r="G90">
        <v>3739.95</v>
      </c>
      <c r="H90">
        <v>3205.9</v>
      </c>
      <c r="I90">
        <v>3876.3</v>
      </c>
      <c r="J90">
        <v>3606.15</v>
      </c>
      <c r="K90">
        <v>2358.9</v>
      </c>
    </row>
    <row r="92" spans="1:11" s="1" customFormat="1" x14ac:dyDescent="0.35">
      <c r="A92" s="1" t="s">
        <v>76</v>
      </c>
    </row>
    <row r="93" spans="1:11" x14ac:dyDescent="0.35">
      <c r="A93" s="4" t="s">
        <v>89</v>
      </c>
      <c r="B93" s="24">
        <v>394.09</v>
      </c>
      <c r="C93" s="24">
        <v>382.86</v>
      </c>
      <c r="D93" s="24">
        <v>375.24</v>
      </c>
      <c r="E93" s="24">
        <v>375.24</v>
      </c>
      <c r="F93" s="24">
        <v>369.91</v>
      </c>
      <c r="G93" s="24">
        <v>365.91</v>
      </c>
      <c r="H93" s="24">
        <v>365.91</v>
      </c>
      <c r="I93" s="24">
        <v>361.81</v>
      </c>
      <c r="J93" s="24">
        <v>361.81</v>
      </c>
      <c r="K93" s="24">
        <v>361.81</v>
      </c>
    </row>
    <row r="96" spans="1:11" x14ac:dyDescent="0.35">
      <c r="B96" s="4">
        <v>1</v>
      </c>
    </row>
    <row r="99" spans="1:11" x14ac:dyDescent="0.35">
      <c r="C99" s="4">
        <f>B90*B93</f>
        <v>479174.03100000002</v>
      </c>
    </row>
    <row r="100" spans="1:11" x14ac:dyDescent="0.35">
      <c r="A100" s="4" t="s">
        <v>421</v>
      </c>
      <c r="B100" s="4">
        <f>B61-B60</f>
        <v>86503</v>
      </c>
      <c r="C100" s="4">
        <f t="shared" ref="C100:K100" si="2">C61-C60</f>
        <v>85375</v>
      </c>
      <c r="D100" s="4">
        <f t="shared" si="2"/>
        <v>89508</v>
      </c>
      <c r="E100" s="4">
        <f t="shared" si="2"/>
        <v>92300</v>
      </c>
      <c r="F100" s="4">
        <f t="shared" si="2"/>
        <v>94228</v>
      </c>
      <c r="G100" s="4">
        <f t="shared" si="2"/>
        <v>96957</v>
      </c>
      <c r="H100" s="4">
        <f t="shared" si="2"/>
        <v>98112</v>
      </c>
      <c r="I100" s="4">
        <f t="shared" si="2"/>
        <v>98510</v>
      </c>
      <c r="J100" s="4">
        <f t="shared" si="2"/>
        <v>104148</v>
      </c>
      <c r="K100" s="4">
        <f t="shared" si="2"/>
        <v>118523</v>
      </c>
    </row>
    <row r="101" spans="1:11" x14ac:dyDescent="0.35">
      <c r="A101" s="4" t="s">
        <v>416</v>
      </c>
      <c r="B101" s="4">
        <f>B70*B90/100000000</f>
        <v>23958.433334619003</v>
      </c>
      <c r="C101" s="4">
        <f t="shared" ref="C101:K101" si="3">C70*C90/100000000</f>
        <v>27270.558163867798</v>
      </c>
      <c r="D101" s="4">
        <f t="shared" si="3"/>
        <v>75109.608467648999</v>
      </c>
      <c r="E101" s="4">
        <f t="shared" si="3"/>
        <v>68522.297116265996</v>
      </c>
      <c r="F101" s="4">
        <f t="shared" si="3"/>
        <v>117550.30405688049</v>
      </c>
      <c r="G101" s="4">
        <f t="shared" si="3"/>
        <v>136846.69182451349</v>
      </c>
      <c r="H101" s="4">
        <f t="shared" si="3"/>
        <v>117305.52796700702</v>
      </c>
      <c r="I101" s="4">
        <f t="shared" si="3"/>
        <v>140247.92646023401</v>
      </c>
      <c r="J101" s="4">
        <f t="shared" si="3"/>
        <v>130473.66303035701</v>
      </c>
      <c r="K101" s="4">
        <f t="shared" si="3"/>
        <v>85347.066462101997</v>
      </c>
    </row>
    <row r="102" spans="1:11" x14ac:dyDescent="0.35">
      <c r="A102" s="4" t="s">
        <v>201</v>
      </c>
      <c r="B102" s="4">
        <f>B59</f>
        <v>289</v>
      </c>
      <c r="C102" s="4">
        <f t="shared" ref="C102:K102" si="4">C59</f>
        <v>247</v>
      </c>
      <c r="D102" s="4">
        <f t="shared" si="4"/>
        <v>62</v>
      </c>
      <c r="E102" s="4">
        <f t="shared" si="4"/>
        <v>8174</v>
      </c>
      <c r="F102" s="4">
        <f t="shared" si="4"/>
        <v>7795</v>
      </c>
      <c r="G102" s="4">
        <f t="shared" si="4"/>
        <v>7818</v>
      </c>
      <c r="H102" s="4">
        <f t="shared" si="4"/>
        <v>7688</v>
      </c>
      <c r="I102" s="4">
        <f t="shared" si="4"/>
        <v>8021</v>
      </c>
      <c r="J102" s="4">
        <f t="shared" si="4"/>
        <v>9392</v>
      </c>
      <c r="K102" s="4">
        <f t="shared" si="4"/>
        <v>11283</v>
      </c>
    </row>
    <row r="103" spans="1:11" x14ac:dyDescent="0.35">
      <c r="A103" s="4" t="s">
        <v>417</v>
      </c>
      <c r="B103" s="4">
        <f>B69</f>
        <v>4149</v>
      </c>
      <c r="C103" s="4">
        <f t="shared" ref="C103:K103" si="5">C69</f>
        <v>7161</v>
      </c>
      <c r="D103" s="4">
        <f t="shared" si="5"/>
        <v>12848</v>
      </c>
      <c r="E103" s="4">
        <f t="shared" si="5"/>
        <v>9666</v>
      </c>
      <c r="F103" s="4">
        <f t="shared" si="5"/>
        <v>9329</v>
      </c>
      <c r="G103" s="4">
        <f t="shared" si="5"/>
        <v>18221</v>
      </c>
      <c r="H103" s="4">
        <f t="shared" si="5"/>
        <v>11032</v>
      </c>
      <c r="I103" s="4">
        <f t="shared" si="5"/>
        <v>13286</v>
      </c>
      <c r="J103" s="4">
        <f t="shared" si="5"/>
        <v>15463</v>
      </c>
      <c r="K103" s="4">
        <f t="shared" si="5"/>
        <v>12908</v>
      </c>
    </row>
    <row r="105" spans="1:11" x14ac:dyDescent="0.35">
      <c r="A105" s="4" t="s">
        <v>418</v>
      </c>
      <c r="B105" s="4">
        <f>(B101+B102)-B103</f>
        <v>20098.433334619003</v>
      </c>
      <c r="C105" s="4">
        <f t="shared" ref="C105:K105" si="6">(C101+C102)-C103</f>
        <v>20356.558163867798</v>
      </c>
      <c r="D105" s="4">
        <f t="shared" si="6"/>
        <v>62323.608467648999</v>
      </c>
      <c r="E105" s="4">
        <f t="shared" si="6"/>
        <v>67030.297116265996</v>
      </c>
      <c r="F105" s="4">
        <f t="shared" si="6"/>
        <v>116016.30405688049</v>
      </c>
      <c r="G105" s="4">
        <f t="shared" si="6"/>
        <v>126443.69182451349</v>
      </c>
      <c r="H105" s="4">
        <f t="shared" si="6"/>
        <v>113961.52796700702</v>
      </c>
      <c r="I105" s="4">
        <f t="shared" si="6"/>
        <v>134982.92646023401</v>
      </c>
      <c r="J105" s="4">
        <f t="shared" si="6"/>
        <v>124402.66303035701</v>
      </c>
      <c r="K105" s="4">
        <f t="shared" si="6"/>
        <v>83722.066462101997</v>
      </c>
    </row>
    <row r="107" spans="1:11" x14ac:dyDescent="0.35">
      <c r="A107" s="4" t="s">
        <v>419</v>
      </c>
      <c r="B107" s="4">
        <f>B57+B58</f>
        <v>86214</v>
      </c>
      <c r="C107" s="4">
        <f t="shared" ref="C107:K107" si="7">C57+C58</f>
        <v>85128</v>
      </c>
      <c r="D107" s="4">
        <f t="shared" si="7"/>
        <v>89446</v>
      </c>
      <c r="E107" s="4">
        <f t="shared" si="7"/>
        <v>84126</v>
      </c>
      <c r="F107" s="4">
        <f t="shared" si="7"/>
        <v>86433</v>
      </c>
      <c r="G107" s="4">
        <f t="shared" si="7"/>
        <v>89139</v>
      </c>
      <c r="H107" s="4">
        <f t="shared" si="7"/>
        <v>90424</v>
      </c>
      <c r="I107" s="4">
        <f t="shared" si="7"/>
        <v>90489</v>
      </c>
      <c r="J107" s="4">
        <f t="shared" si="7"/>
        <v>94756</v>
      </c>
      <c r="K107" s="4">
        <f t="shared" si="7"/>
        <v>107240</v>
      </c>
    </row>
    <row r="108" spans="1:11" x14ac:dyDescent="0.35">
      <c r="A108" s="4" t="s">
        <v>420</v>
      </c>
      <c r="B108" s="4">
        <f>B101/B107</f>
        <v>0.27789492813950173</v>
      </c>
      <c r="C108" s="4">
        <f t="shared" ref="C108:K108" si="8">C101/C107</f>
        <v>0.32034769011215813</v>
      </c>
      <c r="D108" s="4">
        <f t="shared" si="8"/>
        <v>0.83972014922577864</v>
      </c>
      <c r="E108" s="4">
        <f t="shared" si="8"/>
        <v>0.81451985255766346</v>
      </c>
      <c r="F108" s="4">
        <f t="shared" si="8"/>
        <v>1.3600164758469622</v>
      </c>
      <c r="G108" s="4">
        <f t="shared" si="8"/>
        <v>1.5352055982736343</v>
      </c>
      <c r="H108" s="4">
        <f t="shared" si="8"/>
        <v>1.2972831103137112</v>
      </c>
      <c r="I108" s="4">
        <f t="shared" si="8"/>
        <v>1.5498892291906643</v>
      </c>
      <c r="J108" s="4">
        <f t="shared" si="8"/>
        <v>1.3769435500691989</v>
      </c>
      <c r="K108" s="4">
        <f t="shared" si="8"/>
        <v>0.79585104869546808</v>
      </c>
    </row>
    <row r="109" spans="1:11" x14ac:dyDescent="0.35">
      <c r="A109" s="4" t="s">
        <v>59</v>
      </c>
      <c r="B109" s="4">
        <f>B49/(B57+B58)*$B$96</f>
        <v>0.14422251606467626</v>
      </c>
      <c r="C109" s="4">
        <f t="shared" ref="C109:K109" si="9">C49/(C57+C58)*$B$96</f>
        <v>0.14143407574476083</v>
      </c>
      <c r="D109" s="4">
        <f t="shared" si="9"/>
        <v>0.1331417838695973</v>
      </c>
      <c r="E109" s="4">
        <f t="shared" si="9"/>
        <v>0.14716021206285809</v>
      </c>
      <c r="F109" s="4">
        <f t="shared" si="9"/>
        <v>0.14142746404729675</v>
      </c>
      <c r="G109" s="4">
        <f t="shared" si="9"/>
        <v>0.14314721951110065</v>
      </c>
      <c r="H109" s="4">
        <f t="shared" si="9"/>
        <v>0.13353755640095549</v>
      </c>
      <c r="I109" s="4">
        <f t="shared" si="9"/>
        <v>0.11777122081136934</v>
      </c>
      <c r="J109" s="4">
        <f t="shared" si="9"/>
        <v>0.14477183502891638</v>
      </c>
      <c r="K109" s="4">
        <f t="shared" si="9"/>
        <v>0.12447780678851175</v>
      </c>
    </row>
    <row r="110" spans="1:11" x14ac:dyDescent="0.35">
      <c r="A110" s="4" t="s">
        <v>139</v>
      </c>
      <c r="B110" s="4">
        <f>'Historicail Financial Statement'!D17/'Data Sheet'!B100*'Data Sheet'!$B$96</f>
        <v>0.45670092366738724</v>
      </c>
      <c r="C110" s="4">
        <f>'Historicail Financial Statement'!E17/'Data Sheet'!C100*'Data Sheet'!$B$96</f>
        <v>0.49322401171303076</v>
      </c>
      <c r="D110" s="4">
        <f>'Historicail Financial Statement'!F17/'Data Sheet'!D100*'Data Sheet'!$B$96</f>
        <v>0.52002055682173665</v>
      </c>
      <c r="E110" s="4">
        <f>'Historicail Financial Statement'!G17/'Data Sheet'!E100*'Data Sheet'!$B$96</f>
        <v>0.57483206933911157</v>
      </c>
      <c r="F110" s="4">
        <f>'Historicail Financial Statement'!H17/'Data Sheet'!F100*'Data Sheet'!$B$96</f>
        <v>0.62888950205883598</v>
      </c>
      <c r="G110" s="4">
        <f>'Historicail Financial Statement'!I17/'Data Sheet'!G100*'Data Sheet'!$B$96</f>
        <v>0.66313932980599644</v>
      </c>
      <c r="H110" s="4">
        <f>'Historicail Financial Statement'!J17/'Data Sheet'!H100*'Data Sheet'!$B$96</f>
        <v>0.68704134050880628</v>
      </c>
      <c r="I110" s="4">
        <f>'Historicail Financial Statement'!K17/'Data Sheet'!I100*'Data Sheet'!$B$96</f>
        <v>0.73493046391229322</v>
      </c>
      <c r="J110" s="4">
        <f>'Historicail Financial Statement'!L17/'Data Sheet'!J100*'Data Sheet'!$B$96</f>
        <v>0.71128586242654679</v>
      </c>
      <c r="K110" s="4">
        <f>'Historicail Financial Statement'!K17/'Data Sheet'!K100*'Data Sheet'!$B$96</f>
        <v>0.61083502780051124</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00000000-0004-0000-0500-00000000000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62422-2EDD-4876-8E47-7E0225416587}">
  <sheetPr>
    <pageSetUpPr fitToPage="1"/>
  </sheetPr>
  <dimension ref="A2:N61"/>
  <sheetViews>
    <sheetView showGridLines="0" tabSelected="1" topLeftCell="B2" zoomScale="34" zoomScaleNormal="55" workbookViewId="0">
      <selection activeCell="C69" sqref="C69"/>
    </sheetView>
  </sheetViews>
  <sheetFormatPr defaultRowHeight="14.5" x14ac:dyDescent="0.35"/>
  <cols>
    <col min="1" max="1" width="1.81640625" customWidth="1"/>
    <col min="2" max="2" width="23.81640625" bestFit="1" customWidth="1"/>
    <col min="4" max="4" width="22" bestFit="1" customWidth="1"/>
    <col min="5" max="5" width="29.6328125" bestFit="1" customWidth="1"/>
    <col min="6" max="6" width="10.26953125" bestFit="1" customWidth="1"/>
    <col min="7" max="7" width="16.54296875" bestFit="1" customWidth="1"/>
    <col min="8" max="8" width="2.6328125" customWidth="1"/>
    <col min="9" max="9" width="8.7265625" customWidth="1"/>
    <col min="12" max="12" width="16.453125" bestFit="1" customWidth="1"/>
  </cols>
  <sheetData>
    <row r="2" spans="1:12" x14ac:dyDescent="0.35">
      <c r="B2" s="280" t="s">
        <v>401</v>
      </c>
      <c r="C2" s="276"/>
      <c r="D2" s="276"/>
      <c r="E2" s="276"/>
      <c r="F2" s="276"/>
      <c r="G2" s="276"/>
      <c r="H2" s="276"/>
      <c r="I2" s="276"/>
      <c r="J2" s="276"/>
      <c r="K2" s="276"/>
      <c r="L2" s="276"/>
    </row>
    <row r="9" spans="1:12" ht="15" thickBot="1" x14ac:dyDescent="0.4">
      <c r="A9" s="195"/>
      <c r="B9" s="195"/>
      <c r="C9" s="195"/>
      <c r="D9" s="195"/>
      <c r="E9" s="195"/>
      <c r="F9" s="195"/>
      <c r="G9" s="195"/>
      <c r="H9" s="195"/>
      <c r="I9" s="195"/>
      <c r="J9" s="195"/>
      <c r="K9" s="195"/>
      <c r="L9" s="195"/>
    </row>
    <row r="10" spans="1:12" ht="15" thickTop="1" x14ac:dyDescent="0.35"/>
    <row r="11" spans="1:12" x14ac:dyDescent="0.35">
      <c r="B11" s="114" t="s">
        <v>402</v>
      </c>
      <c r="C11" s="114"/>
      <c r="D11" s="115">
        <f>'Historicail Financial Statement'!H4</f>
        <v>45016</v>
      </c>
      <c r="E11" s="115">
        <f>'Historicail Financial Statement'!I4</f>
        <v>45382</v>
      </c>
      <c r="F11" s="115">
        <f>'Historicail Financial Statement'!J4</f>
        <v>45747</v>
      </c>
      <c r="G11" s="115">
        <f>'Historicail Financial Statement'!K4</f>
        <v>46112</v>
      </c>
      <c r="H11" s="115"/>
      <c r="I11" s="276" t="s">
        <v>442</v>
      </c>
      <c r="J11" s="276"/>
      <c r="K11" s="276"/>
      <c r="L11" s="276"/>
    </row>
    <row r="13" spans="1:12" x14ac:dyDescent="0.35">
      <c r="B13" t="s">
        <v>403</v>
      </c>
      <c r="D13" s="59">
        <f>'Historicail Financial Statement'!H7</f>
        <v>225458</v>
      </c>
      <c r="E13" s="59">
        <f>'Historicail Financial Statement'!I7</f>
        <v>240893</v>
      </c>
      <c r="F13" s="59">
        <f>'Historicail Financial Statement'!J7</f>
        <v>255324</v>
      </c>
      <c r="G13" s="59">
        <f>'Historicail Financial Statement'!K7</f>
        <v>267021</v>
      </c>
    </row>
    <row r="14" spans="1:12" x14ac:dyDescent="0.35">
      <c r="B14" s="161" t="s">
        <v>410</v>
      </c>
      <c r="D14" s="5">
        <f>'Historicail Financial Statement'!H8</f>
        <v>0.17576686796624852</v>
      </c>
      <c r="E14" s="5">
        <f>'Historicail Financial Statement'!I8</f>
        <v>6.8460644554639849E-2</v>
      </c>
      <c r="F14" s="5">
        <f>'Historicail Financial Statement'!J8</f>
        <v>5.9906265437351891E-2</v>
      </c>
      <c r="G14" s="5">
        <f>'Historicail Financial Statement'!K8</f>
        <v>4.581237956478823E-2</v>
      </c>
    </row>
    <row r="15" spans="1:12" x14ac:dyDescent="0.35">
      <c r="B15" s="161" t="s">
        <v>411</v>
      </c>
      <c r="D15" s="5">
        <f>'Historicail Financial Statement'!G13</f>
        <v>0.99393493747196926</v>
      </c>
      <c r="E15" s="5">
        <f>'Historicail Financial Statement'!H13</f>
        <v>0.99165698267526547</v>
      </c>
      <c r="F15" s="5">
        <f>'Historicail Financial Statement'!I13</f>
        <v>0.98463218109285033</v>
      </c>
      <c r="G15" s="5">
        <f>'Historicail Financial Statement'!J13</f>
        <v>0.95437953345553106</v>
      </c>
    </row>
    <row r="16" spans="1:12" x14ac:dyDescent="0.35">
      <c r="B16" t="s">
        <v>404</v>
      </c>
      <c r="D16" s="5">
        <f>'Historicail Financial Statement'!H18</f>
        <v>0.26283831134845514</v>
      </c>
      <c r="E16" s="5">
        <f>'Historicail Financial Statement'!I18</f>
        <v>0.26690688396923118</v>
      </c>
      <c r="F16" s="5">
        <f>'Historicail Financial Statement'!J18</f>
        <v>0.26400573389105608</v>
      </c>
      <c r="G16" s="5">
        <f>'Historicail Financial Statement'!K18</f>
        <v>0.27113223304534101</v>
      </c>
    </row>
    <row r="17" spans="2:12" x14ac:dyDescent="0.35">
      <c r="B17" t="s">
        <v>405</v>
      </c>
      <c r="D17" s="5">
        <f>'Historicail Financial Statement'!H24</f>
        <v>0.24056365265370933</v>
      </c>
      <c r="E17" s="5">
        <f>'Historicail Financial Statement'!I24</f>
        <v>0.24621304894704288</v>
      </c>
      <c r="F17" s="5">
        <f>'Historicail Financial Statement'!J24</f>
        <v>0.24347495730914445</v>
      </c>
      <c r="G17" s="5">
        <f>'Historicail Financial Statement'!K24</f>
        <v>0.25030990071941905</v>
      </c>
    </row>
    <row r="18" spans="2:12" x14ac:dyDescent="0.35">
      <c r="B18" t="s">
        <v>406</v>
      </c>
      <c r="D18" s="5">
        <f>'Historicail Financial Statement'!H39</f>
        <v>0.18763139919630265</v>
      </c>
      <c r="E18" s="5">
        <f>'Historicail Financial Statement'!I39</f>
        <v>0.19136712150207769</v>
      </c>
      <c r="F18" s="5">
        <f>'Historicail Financial Statement'!J39</f>
        <v>0.19111795209224358</v>
      </c>
      <c r="G18" s="5">
        <f>'Historicail Financial Statement'!K39</f>
        <v>0.18520640698671639</v>
      </c>
    </row>
    <row r="19" spans="2:12" x14ac:dyDescent="0.35">
      <c r="B19" t="s">
        <v>407</v>
      </c>
      <c r="D19" s="102">
        <f>'Historicail Financial Statement'!H43</f>
        <v>115.61039599901615</v>
      </c>
      <c r="E19" s="102">
        <f>'Historicail Financial Statement'!I43</f>
        <v>127.41217766230895</v>
      </c>
      <c r="F19" s="102">
        <f>'Historicail Financial Statement'!J43</f>
        <v>134.86913020646196</v>
      </c>
      <c r="G19" s="102">
        <f>'Historicail Financial Statement'!K43</f>
        <v>136.68500041458225</v>
      </c>
    </row>
    <row r="20" spans="2:12" x14ac:dyDescent="0.35">
      <c r="B20" t="s">
        <v>408</v>
      </c>
      <c r="D20" s="5">
        <f>'Historicail Financial Statement'!H44</f>
        <v>0.10023667715675311</v>
      </c>
      <c r="E20" s="5">
        <f>'Historicail Financial Statement'!I44</f>
        <v>0.10208235653299935</v>
      </c>
      <c r="F20" s="5">
        <f>'Historicail Financial Statement'!J44</f>
        <v>5.8526215319204322E-2</v>
      </c>
      <c r="G20" s="5">
        <f>'Historicail Financial Statement'!K44</f>
        <v>1.3463942455478772E-2</v>
      </c>
    </row>
    <row r="21" spans="2:12" x14ac:dyDescent="0.35">
      <c r="B21" t="s">
        <v>119</v>
      </c>
      <c r="D21" s="5">
        <f>'Historicail Financial Statement'!H47</f>
        <v>0.99496489610665895</v>
      </c>
      <c r="E21" s="5">
        <f>'Historicail Financial Statement'!I47</f>
        <v>0.57324453892709171</v>
      </c>
      <c r="F21" s="5">
        <f>'Historicail Financial Statement'!J47</f>
        <v>0.93472959403241995</v>
      </c>
      <c r="G21" s="5">
        <f>'Historicail Financial Statement'!K47</f>
        <v>0.80519270433129775</v>
      </c>
    </row>
    <row r="22" spans="2:12" x14ac:dyDescent="0.35">
      <c r="B22" t="s">
        <v>409</v>
      </c>
      <c r="D22" s="119">
        <f>'Data Sheet'!H88</f>
        <v>0.19478593637885666</v>
      </c>
      <c r="E22" s="119">
        <f>'Data Sheet'!I88</f>
        <v>7.2526724586619684E-2</v>
      </c>
      <c r="F22" s="119">
        <f>'Data Sheet'!J88</f>
        <v>0.102077383952069</v>
      </c>
      <c r="G22" s="119">
        <f>'Data Sheet'!K88</f>
        <v>0.14680079937675705</v>
      </c>
    </row>
    <row r="24" spans="2:12" x14ac:dyDescent="0.35">
      <c r="B24" s="114" t="s">
        <v>412</v>
      </c>
      <c r="C24" s="163"/>
      <c r="D24" s="115">
        <f>D11</f>
        <v>45016</v>
      </c>
      <c r="E24" s="115">
        <f t="shared" ref="E24:G24" si="0">E11</f>
        <v>45382</v>
      </c>
      <c r="F24" s="115">
        <f t="shared" si="0"/>
        <v>45747</v>
      </c>
      <c r="G24" s="115">
        <f t="shared" si="0"/>
        <v>46112</v>
      </c>
      <c r="H24" s="163"/>
      <c r="I24" s="276" t="s">
        <v>444</v>
      </c>
      <c r="J24" s="276"/>
      <c r="K24" s="276"/>
      <c r="L24" s="276"/>
    </row>
    <row r="26" spans="2:12" x14ac:dyDescent="0.35">
      <c r="B26" t="s">
        <v>23</v>
      </c>
      <c r="D26" s="50">
        <f>'Data Sheet'!$B$8/'Historicail Financial Statement'!H43</f>
        <v>20.461827671796325</v>
      </c>
      <c r="E26" s="50">
        <f>'Data Sheet'!$B$8/'Historicail Financial Statement'!I43</f>
        <v>18.56651415432005</v>
      </c>
      <c r="F26" s="50">
        <f>'Data Sheet'!$B$8/'Historicail Financial Statement'!J43</f>
        <v>17.539966309404264</v>
      </c>
      <c r="G26" s="50">
        <f>'Data Sheet'!$B$8/'Historicail Financial Statement'!K43</f>
        <v>17.306946576616653</v>
      </c>
    </row>
    <row r="27" spans="2:12" x14ac:dyDescent="0.35">
      <c r="B27" t="s">
        <v>326</v>
      </c>
      <c r="D27" s="119">
        <f>'Data Sheet'!H105/'Historicail Financial Statement'!H17</f>
        <v>1.9231091980459849</v>
      </c>
      <c r="E27" s="119">
        <f>'Data Sheet'!I105/'Historicail Financial Statement'!I17</f>
        <v>2.0993985078423854</v>
      </c>
      <c r="F27" s="119">
        <f>'Data Sheet'!J105/'Historicail Financial Statement'!J17</f>
        <v>1.8455451663826756</v>
      </c>
      <c r="G27" s="119">
        <f>'Data Sheet'!K105/'Historicail Financial Statement'!K17</f>
        <v>1.1564140785947401</v>
      </c>
    </row>
    <row r="28" spans="2:12" x14ac:dyDescent="0.35">
      <c r="B28" t="s">
        <v>413</v>
      </c>
      <c r="D28" s="119">
        <f>'Data Sheet'!H105/'Historicail Financial Statement'!H7</f>
        <v>0.50546677415308849</v>
      </c>
      <c r="E28" s="119">
        <f>'Data Sheet'!I105/'Historicail Financial Statement'!I7</f>
        <v>0.56034391393786454</v>
      </c>
      <c r="F28" s="119">
        <f>'Data Sheet'!J105/'Historicail Financial Statement'!J7</f>
        <v>0.48723450607994945</v>
      </c>
      <c r="G28" s="119">
        <f>'Data Sheet'!K105/'Historicail Financial Statement'!K7</f>
        <v>0.31354113145446239</v>
      </c>
    </row>
    <row r="29" spans="2:12" x14ac:dyDescent="0.35">
      <c r="B29" t="s">
        <v>414</v>
      </c>
      <c r="D29" s="119">
        <f>'Data Sheet'!H108</f>
        <v>1.2972831103137112</v>
      </c>
      <c r="E29" s="119">
        <f>'Data Sheet'!I108</f>
        <v>1.5498892291906643</v>
      </c>
      <c r="F29" s="119">
        <f>'Data Sheet'!J108</f>
        <v>1.3769435500691989</v>
      </c>
      <c r="G29" s="119">
        <f>'Data Sheet'!K108</f>
        <v>0.79585104869546808</v>
      </c>
    </row>
    <row r="30" spans="2:12" x14ac:dyDescent="0.35">
      <c r="B30" t="s">
        <v>59</v>
      </c>
      <c r="D30" s="119">
        <f>'Data Sheet'!H109</f>
        <v>0.13353755640095549</v>
      </c>
      <c r="E30" s="119">
        <f>'Data Sheet'!I109</f>
        <v>0.11777122081136934</v>
      </c>
      <c r="F30" s="119">
        <f>'Data Sheet'!J109</f>
        <v>0.14477183502891638</v>
      </c>
      <c r="G30" s="119">
        <f>'Data Sheet'!K109</f>
        <v>0.12447780678851175</v>
      </c>
    </row>
    <row r="31" spans="2:12" x14ac:dyDescent="0.35">
      <c r="B31" t="s">
        <v>415</v>
      </c>
      <c r="D31" s="119">
        <f>'Data Sheet'!H110</f>
        <v>0.68704134050880628</v>
      </c>
      <c r="E31" s="119">
        <f>'Data Sheet'!I110</f>
        <v>0.73493046391229322</v>
      </c>
      <c r="F31" s="119">
        <f>'Data Sheet'!J110</f>
        <v>0.71128586242654679</v>
      </c>
      <c r="G31" s="119">
        <f>'Data Sheet'!K110</f>
        <v>0.61083502780051124</v>
      </c>
    </row>
    <row r="34" spans="2:12" x14ac:dyDescent="0.35">
      <c r="B34" s="114" t="s">
        <v>428</v>
      </c>
      <c r="C34" s="114"/>
      <c r="D34" s="114" t="s">
        <v>429</v>
      </c>
      <c r="E34" s="279" t="s">
        <v>423</v>
      </c>
      <c r="F34" s="279"/>
      <c r="G34" s="276" t="s">
        <v>430</v>
      </c>
      <c r="H34" s="276"/>
      <c r="I34" s="281" t="s">
        <v>453</v>
      </c>
      <c r="J34" s="281"/>
      <c r="K34" s="281"/>
      <c r="L34" s="281"/>
    </row>
    <row r="35" spans="2:12" x14ac:dyDescent="0.35">
      <c r="B35" s="199" t="s">
        <v>424</v>
      </c>
      <c r="D35" s="200">
        <v>0.71740000000000004</v>
      </c>
      <c r="E35" s="201">
        <v>2595499419</v>
      </c>
      <c r="G35" s="102">
        <f>E35*Comps_val!$P$28/100000000</f>
        <v>61399.134255863995</v>
      </c>
      <c r="H35" s="102"/>
    </row>
    <row r="36" spans="2:12" x14ac:dyDescent="0.35">
      <c r="B36" s="199" t="s">
        <v>457</v>
      </c>
      <c r="D36" s="200">
        <v>5.5199999999999999E-2</v>
      </c>
      <c r="E36" s="201">
        <v>199553451</v>
      </c>
      <c r="G36" s="102">
        <f>E36*Comps_val!$P$28/100000000</f>
        <v>4720.6364368559998</v>
      </c>
    </row>
    <row r="37" spans="2:12" x14ac:dyDescent="0.35">
      <c r="B37" s="199" t="s">
        <v>425</v>
      </c>
      <c r="D37" s="200">
        <v>1.2500000000000001E-2</v>
      </c>
      <c r="E37" s="201">
        <v>45239395</v>
      </c>
      <c r="G37" s="102">
        <f>E37*Comps_val!$P$28/100000000</f>
        <v>1070.18312812</v>
      </c>
    </row>
    <row r="38" spans="2:12" x14ac:dyDescent="0.35">
      <c r="B38" s="199" t="s">
        <v>456</v>
      </c>
      <c r="D38" s="200">
        <v>1.06E-2</v>
      </c>
      <c r="E38" s="201">
        <v>38172688</v>
      </c>
      <c r="G38" s="102">
        <f>E38*Comps_val!$P$28/100000000</f>
        <v>903.01310732800005</v>
      </c>
    </row>
    <row r="39" spans="2:12" ht="15" customHeight="1" x14ac:dyDescent="0.35">
      <c r="B39" s="199" t="s">
        <v>455</v>
      </c>
      <c r="D39" s="200">
        <v>7.9000000000000008E-3</v>
      </c>
      <c r="E39" s="201">
        <v>28525843</v>
      </c>
      <c r="G39" s="102">
        <f>E39*Comps_val!$P$28/100000000</f>
        <v>674.80734200799998</v>
      </c>
    </row>
    <row r="40" spans="2:12" x14ac:dyDescent="0.35">
      <c r="B40" s="199" t="s">
        <v>454</v>
      </c>
      <c r="D40" s="200">
        <v>5.0000000000000001E-3</v>
      </c>
      <c r="E40" s="201">
        <v>17924007</v>
      </c>
      <c r="G40" s="102">
        <f>E40*Comps_val!$P$28/100000000</f>
        <v>424.01030959199994</v>
      </c>
    </row>
    <row r="41" spans="2:12" x14ac:dyDescent="0.35">
      <c r="B41" s="199" t="s">
        <v>426</v>
      </c>
      <c r="D41" s="200">
        <v>4.8999999999999998E-3</v>
      </c>
      <c r="E41" s="201">
        <v>17573906</v>
      </c>
      <c r="G41" s="102">
        <f>E41*Comps_val!$P$28/100000000</f>
        <v>415.72832033599997</v>
      </c>
    </row>
    <row r="42" spans="2:12" x14ac:dyDescent="0.35">
      <c r="B42" s="199" t="s">
        <v>427</v>
      </c>
      <c r="D42" s="200">
        <v>4.5999999999999999E-3</v>
      </c>
      <c r="E42" s="201">
        <v>16686284</v>
      </c>
      <c r="G42" s="102">
        <f>E42*Comps_val!$P$28/100000000</f>
        <v>394.73073430400001</v>
      </c>
    </row>
    <row r="43" spans="2:12" x14ac:dyDescent="0.35">
      <c r="B43" s="199" t="s">
        <v>459</v>
      </c>
      <c r="D43" s="200">
        <v>4.1000000000000003E-3</v>
      </c>
      <c r="E43" s="201">
        <v>14892949</v>
      </c>
      <c r="G43" s="102">
        <f>E43*Comps_val!$P$28/100000000</f>
        <v>352.30760154400002</v>
      </c>
    </row>
    <row r="44" spans="2:12" x14ac:dyDescent="0.35">
      <c r="B44" s="199" t="s">
        <v>458</v>
      </c>
      <c r="D44" s="200">
        <v>3.8999999999999998E-3</v>
      </c>
      <c r="E44" s="201">
        <v>14139580</v>
      </c>
      <c r="G44" s="102">
        <f>E44*Comps_val!$P$28/100000000</f>
        <v>334.48590447999999</v>
      </c>
    </row>
    <row r="45" spans="2:12" x14ac:dyDescent="0.35">
      <c r="B45" s="114" t="s">
        <v>434</v>
      </c>
      <c r="C45" s="114"/>
      <c r="D45" s="114" t="s">
        <v>435</v>
      </c>
      <c r="E45" s="114" t="s">
        <v>440</v>
      </c>
      <c r="F45" s="114"/>
      <c r="G45" s="114" t="s">
        <v>436</v>
      </c>
      <c r="H45" s="203"/>
      <c r="I45" s="276" t="s">
        <v>465</v>
      </c>
      <c r="J45" s="276"/>
      <c r="K45" s="276"/>
      <c r="L45" s="276"/>
    </row>
    <row r="46" spans="2:12" x14ac:dyDescent="0.35">
      <c r="B46" s="199" t="s">
        <v>431</v>
      </c>
      <c r="D46" s="199" t="s">
        <v>437</v>
      </c>
      <c r="E46" s="197">
        <v>26.52</v>
      </c>
      <c r="G46" s="197">
        <v>221</v>
      </c>
    </row>
    <row r="47" spans="2:12" x14ac:dyDescent="0.35">
      <c r="B47" s="199" t="s">
        <v>432</v>
      </c>
      <c r="D47" s="199" t="s">
        <v>438</v>
      </c>
      <c r="E47" s="197">
        <v>8.64</v>
      </c>
      <c r="G47" s="197">
        <v>72</v>
      </c>
      <c r="I47" t="s">
        <v>460</v>
      </c>
      <c r="L47">
        <f>'Data Sheet'!B8</f>
        <v>2365.6</v>
      </c>
    </row>
    <row r="48" spans="2:12" x14ac:dyDescent="0.35">
      <c r="B48" s="199" t="s">
        <v>433</v>
      </c>
      <c r="D48" s="199" t="s">
        <v>439</v>
      </c>
      <c r="E48" s="197">
        <v>6.18</v>
      </c>
      <c r="G48" s="197">
        <v>51.5</v>
      </c>
      <c r="I48" t="s">
        <v>117</v>
      </c>
      <c r="L48" s="119">
        <f>'Data Sheet'!B6</f>
        <v>361.80875042272578</v>
      </c>
    </row>
    <row r="49" spans="2:14" x14ac:dyDescent="0.35">
      <c r="B49" t="s">
        <v>466</v>
      </c>
      <c r="D49" t="s">
        <v>469</v>
      </c>
      <c r="E49" s="197">
        <v>5.14</v>
      </c>
      <c r="G49" s="197">
        <v>4.5</v>
      </c>
      <c r="I49" s="2" t="s">
        <v>416</v>
      </c>
      <c r="L49" s="119">
        <f>L47*L48</f>
        <v>855894.78</v>
      </c>
    </row>
    <row r="50" spans="2:14" x14ac:dyDescent="0.35">
      <c r="B50" t="s">
        <v>467</v>
      </c>
      <c r="D50" t="s">
        <v>470</v>
      </c>
      <c r="E50" s="197">
        <v>5.12</v>
      </c>
      <c r="G50" s="197">
        <v>4.2</v>
      </c>
      <c r="I50" s="23" t="s">
        <v>461</v>
      </c>
      <c r="J50" s="26"/>
      <c r="K50" s="26"/>
      <c r="L50" s="23">
        <f>'Data Sheet'!K69</f>
        <v>12908</v>
      </c>
    </row>
    <row r="51" spans="2:14" ht="16" customHeight="1" x14ac:dyDescent="0.35">
      <c r="B51" t="s">
        <v>468</v>
      </c>
      <c r="D51" t="s">
        <v>471</v>
      </c>
      <c r="E51" s="197" t="s">
        <v>474</v>
      </c>
      <c r="G51" s="197">
        <v>5.2</v>
      </c>
      <c r="I51" t="s">
        <v>462</v>
      </c>
      <c r="L51" s="119">
        <f>'Data Sheet'!K102</f>
        <v>11283</v>
      </c>
    </row>
    <row r="52" spans="2:14" x14ac:dyDescent="0.35">
      <c r="B52" t="s">
        <v>472</v>
      </c>
      <c r="D52" t="s">
        <v>473</v>
      </c>
      <c r="E52" s="197">
        <v>4.1500000000000004</v>
      </c>
      <c r="G52" s="197">
        <v>3.5</v>
      </c>
      <c r="I52" t="s">
        <v>463</v>
      </c>
      <c r="L52">
        <f>'Data Sheet'!K46</f>
        <v>273</v>
      </c>
    </row>
    <row r="53" spans="2:14" x14ac:dyDescent="0.35">
      <c r="B53" s="199"/>
      <c r="D53" s="199"/>
      <c r="E53" s="197"/>
      <c r="G53" s="197"/>
      <c r="I53" s="2" t="s">
        <v>464</v>
      </c>
      <c r="J53" s="2"/>
      <c r="K53" s="2"/>
      <c r="L53" s="202">
        <f>L49+L51+L52-(L50)</f>
        <v>854542.78</v>
      </c>
    </row>
    <row r="54" spans="2:14" x14ac:dyDescent="0.35">
      <c r="B54" s="279" t="s">
        <v>441</v>
      </c>
      <c r="C54" s="279"/>
      <c r="D54" s="279"/>
      <c r="E54" s="279"/>
      <c r="F54" s="279"/>
      <c r="G54" s="279"/>
      <c r="H54" s="279"/>
      <c r="I54" s="203"/>
      <c r="J54" s="203"/>
      <c r="K54" s="203"/>
      <c r="L54" s="203"/>
      <c r="M54" s="26"/>
    </row>
    <row r="56" spans="2:14" x14ac:dyDescent="0.35">
      <c r="N56" s="2"/>
    </row>
    <row r="59" spans="2:14" x14ac:dyDescent="0.35">
      <c r="K59" s="20"/>
    </row>
    <row r="60" spans="2:14" ht="21" customHeight="1" x14ac:dyDescent="0.35">
      <c r="N60" s="2"/>
    </row>
    <row r="61" spans="2:14" x14ac:dyDescent="0.35">
      <c r="B61" s="203"/>
      <c r="C61" s="203"/>
      <c r="D61" s="203"/>
      <c r="E61" s="203"/>
      <c r="F61" s="203"/>
      <c r="G61" s="203"/>
      <c r="H61" s="203"/>
      <c r="I61" s="203"/>
      <c r="J61" s="203"/>
      <c r="K61" s="203"/>
      <c r="L61" s="203"/>
    </row>
  </sheetData>
  <mergeCells count="8">
    <mergeCell ref="B54:H54"/>
    <mergeCell ref="I45:L45"/>
    <mergeCell ref="B2:L2"/>
    <mergeCell ref="E34:F34"/>
    <mergeCell ref="G34:H34"/>
    <mergeCell ref="I11:L11"/>
    <mergeCell ref="I24:L24"/>
    <mergeCell ref="I34:L34"/>
  </mergeCells>
  <pageMargins left="0.7" right="0.7" top="0.75" bottom="0.75" header="0.3" footer="0.3"/>
  <pageSetup scale="62"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5719E-C0B2-4781-8C7A-984117E4481B}">
  <dimension ref="A3:M83"/>
  <sheetViews>
    <sheetView showGridLines="0" topLeftCell="A72" zoomScale="70" zoomScaleNormal="70" workbookViewId="0">
      <selection activeCell="I99" sqref="I99"/>
    </sheetView>
  </sheetViews>
  <sheetFormatPr defaultRowHeight="14.5" x14ac:dyDescent="0.35"/>
  <cols>
    <col min="1" max="1" width="1.81640625" customWidth="1"/>
    <col min="2" max="2" width="24.81640625" bestFit="1" customWidth="1"/>
    <col min="4" max="11" width="12.6328125" bestFit="1" customWidth="1"/>
    <col min="12" max="12" width="10.453125" bestFit="1" customWidth="1"/>
  </cols>
  <sheetData>
    <row r="3" spans="1:13" x14ac:dyDescent="0.35">
      <c r="B3" s="282" t="str">
        <f>"Historical Financial Statement - "&amp;'Data Sheet'!B1</f>
        <v>Historical Financial Statement - TATA CONSULTANCY SERVICES LTD</v>
      </c>
      <c r="C3" s="282"/>
      <c r="D3" s="282"/>
      <c r="E3" s="282"/>
      <c r="F3" s="282"/>
      <c r="G3" s="282"/>
      <c r="H3" s="282"/>
      <c r="I3" s="282"/>
      <c r="J3" s="282"/>
      <c r="K3" s="282"/>
      <c r="L3" s="282"/>
      <c r="M3" s="25"/>
    </row>
    <row r="4" spans="1:13" x14ac:dyDescent="0.35">
      <c r="B4" s="28" t="s">
        <v>93</v>
      </c>
      <c r="C4" s="28"/>
      <c r="D4" s="273">
        <f>'Data Sheet'!D16</f>
        <v>43555</v>
      </c>
      <c r="E4" s="273">
        <f>'Data Sheet'!E16</f>
        <v>43921</v>
      </c>
      <c r="F4" s="273">
        <f>'Data Sheet'!F16</f>
        <v>44286</v>
      </c>
      <c r="G4" s="273">
        <f>'Data Sheet'!G16</f>
        <v>44651</v>
      </c>
      <c r="H4" s="273">
        <f>'Data Sheet'!H16</f>
        <v>45016</v>
      </c>
      <c r="I4" s="273">
        <f>'Data Sheet'!I16</f>
        <v>45382</v>
      </c>
      <c r="J4" s="273">
        <f>'Data Sheet'!J16</f>
        <v>45747</v>
      </c>
      <c r="K4" s="273">
        <f>'Data Sheet'!K16</f>
        <v>46112</v>
      </c>
      <c r="L4" s="28" t="s">
        <v>94</v>
      </c>
    </row>
    <row r="5" spans="1:13" x14ac:dyDescent="0.35">
      <c r="B5" s="26"/>
      <c r="C5" s="26"/>
      <c r="D5" s="27"/>
      <c r="E5" s="27"/>
      <c r="F5" s="27"/>
      <c r="G5" s="27"/>
      <c r="H5" s="27"/>
      <c r="I5" s="27"/>
      <c r="J5" s="27"/>
      <c r="K5" s="27"/>
      <c r="L5" s="26"/>
    </row>
    <row r="6" spans="1:13" x14ac:dyDescent="0.35">
      <c r="A6" t="s">
        <v>95</v>
      </c>
      <c r="B6" s="37" t="str">
        <f>"Income Statement - "&amp;'Data Sheet'!B1</f>
        <v>Income Statement - TATA CONSULTANCY SERVICES LTD</v>
      </c>
      <c r="C6" s="29"/>
      <c r="D6" s="29"/>
      <c r="E6" s="29"/>
      <c r="F6" s="29"/>
      <c r="G6" s="29"/>
      <c r="H6" s="29"/>
      <c r="I6" s="29"/>
      <c r="J6" s="29"/>
      <c r="K6" s="29"/>
      <c r="L6" s="29"/>
    </row>
    <row r="7" spans="1:13" x14ac:dyDescent="0.35">
      <c r="B7" s="2" t="s">
        <v>6</v>
      </c>
      <c r="C7" s="2"/>
      <c r="D7" s="38">
        <f>IFERROR('Data Sheet'!D17,0)</f>
        <v>146463</v>
      </c>
      <c r="E7" s="38">
        <f>IFERROR('Data Sheet'!E17,0)</f>
        <v>156949</v>
      </c>
      <c r="F7" s="38">
        <f>IFERROR('Data Sheet'!F17,0)</f>
        <v>164177</v>
      </c>
      <c r="G7" s="38">
        <f>IFERROR('Data Sheet'!G17,0)</f>
        <v>191754</v>
      </c>
      <c r="H7" s="38">
        <f>IFERROR('Data Sheet'!H17,0)</f>
        <v>225458</v>
      </c>
      <c r="I7" s="38">
        <f>IFERROR('Data Sheet'!I17,0)</f>
        <v>240893</v>
      </c>
      <c r="J7" s="38">
        <f>IFERROR('Data Sheet'!J17,0)</f>
        <v>255324</v>
      </c>
      <c r="K7" s="38">
        <f>IFERROR('Data Sheet'!K17,0)</f>
        <v>267021</v>
      </c>
      <c r="L7" s="38">
        <f>IFERROR(SUM('Data Sheet'!H42:K42),0)</f>
        <v>275859</v>
      </c>
    </row>
    <row r="8" spans="1:13" x14ac:dyDescent="0.35">
      <c r="B8" s="33" t="s">
        <v>96</v>
      </c>
      <c r="C8" s="33"/>
      <c r="D8" s="33" t="s">
        <v>97</v>
      </c>
      <c r="E8" s="34">
        <f>E7/D7-1</f>
        <v>7.1594873790650215E-2</v>
      </c>
      <c r="F8" s="34">
        <f t="shared" ref="F8:L8" si="0">F7/E7-1</f>
        <v>4.6053176509566862E-2</v>
      </c>
      <c r="G8" s="34">
        <f t="shared" si="0"/>
        <v>0.1679711530847805</v>
      </c>
      <c r="H8" s="34">
        <f t="shared" si="0"/>
        <v>0.17576686796624852</v>
      </c>
      <c r="I8" s="34">
        <f t="shared" si="0"/>
        <v>6.8460644554639849E-2</v>
      </c>
      <c r="J8" s="34">
        <f t="shared" si="0"/>
        <v>5.9906265437351891E-2</v>
      </c>
      <c r="K8" s="34">
        <f t="shared" si="0"/>
        <v>4.581237956478823E-2</v>
      </c>
      <c r="L8" s="34">
        <f t="shared" si="0"/>
        <v>3.3098520341096727E-2</v>
      </c>
    </row>
    <row r="9" spans="1:13" x14ac:dyDescent="0.35">
      <c r="B9" s="33"/>
      <c r="C9" s="33"/>
      <c r="D9" s="33"/>
      <c r="E9" s="34"/>
      <c r="F9" s="34"/>
      <c r="G9" s="34"/>
      <c r="H9" s="34"/>
      <c r="I9" s="34"/>
      <c r="J9" s="34"/>
      <c r="K9" s="34"/>
      <c r="L9" s="34"/>
    </row>
    <row r="10" spans="1:13" x14ac:dyDescent="0.35">
      <c r="B10" t="s">
        <v>98</v>
      </c>
      <c r="D10" s="30">
        <f>IFERROR(SUM('Data Sheet'!D18:D21),0)</f>
        <v>2270</v>
      </c>
      <c r="E10" s="30">
        <f>IFERROR(SUM('Data Sheet'!E18:E21),0)</f>
        <v>1905</v>
      </c>
      <c r="F10" s="30">
        <f>IFERROR(SUM('Data Sheet'!F18:F21),0)</f>
        <v>1462</v>
      </c>
      <c r="G10" s="30">
        <f>IFERROR(SUM('Data Sheet'!G18:G21),0)</f>
        <v>1163</v>
      </c>
      <c r="H10" s="30">
        <f>IFERROR(SUM('Data Sheet'!H18:H21),0)</f>
        <v>1881</v>
      </c>
      <c r="I10" s="30">
        <f>IFERROR(SUM('Data Sheet'!I18:I21),0)</f>
        <v>3702</v>
      </c>
      <c r="J10" s="30">
        <f>IFERROR(SUM('Data Sheet'!J18:J21),0)</f>
        <v>11648</v>
      </c>
      <c r="K10" s="30">
        <f>IFERROR(SUM('Data Sheet'!K18:K21),0)</f>
        <v>4399</v>
      </c>
      <c r="L10" s="30">
        <f>IFERROR(SUM('Data Sheet'!H43:K43),0)</f>
        <v>201780</v>
      </c>
    </row>
    <row r="11" spans="1:13" x14ac:dyDescent="0.35">
      <c r="B11" s="33" t="s">
        <v>99</v>
      </c>
      <c r="C11" s="33"/>
      <c r="D11" s="34">
        <f>D10/D7</f>
        <v>1.5498794917487693E-2</v>
      </c>
      <c r="E11" s="34">
        <f t="shared" ref="E11:L11" si="1">E10/E7</f>
        <v>1.2137700781782617E-2</v>
      </c>
      <c r="F11" s="34">
        <f t="shared" si="1"/>
        <v>8.9050232371160401E-3</v>
      </c>
      <c r="G11" s="34">
        <f t="shared" si="1"/>
        <v>6.0650625280307064E-3</v>
      </c>
      <c r="H11" s="34">
        <f t="shared" si="1"/>
        <v>8.3430173247345408E-3</v>
      </c>
      <c r="I11" s="34">
        <f t="shared" si="1"/>
        <v>1.5367818907149647E-2</v>
      </c>
      <c r="J11" s="34">
        <f t="shared" si="1"/>
        <v>4.5620466544468989E-2</v>
      </c>
      <c r="K11" s="34">
        <f t="shared" si="1"/>
        <v>1.6474359694555858E-2</v>
      </c>
      <c r="L11" s="34">
        <f t="shared" si="1"/>
        <v>0.73146063749959223</v>
      </c>
    </row>
    <row r="12" spans="1:13" x14ac:dyDescent="0.35">
      <c r="B12" s="40" t="s">
        <v>100</v>
      </c>
      <c r="C12" s="40"/>
      <c r="D12" s="41">
        <f>D7-D10</f>
        <v>144193</v>
      </c>
      <c r="E12" s="41">
        <f t="shared" ref="E12:L12" si="2">E7-E10</f>
        <v>155044</v>
      </c>
      <c r="F12" s="41">
        <f t="shared" si="2"/>
        <v>162715</v>
      </c>
      <c r="G12" s="41">
        <f t="shared" si="2"/>
        <v>190591</v>
      </c>
      <c r="H12" s="41">
        <f t="shared" si="2"/>
        <v>223577</v>
      </c>
      <c r="I12" s="41">
        <f t="shared" si="2"/>
        <v>237191</v>
      </c>
      <c r="J12" s="41">
        <f t="shared" si="2"/>
        <v>243676</v>
      </c>
      <c r="K12" s="41">
        <f t="shared" si="2"/>
        <v>262622</v>
      </c>
      <c r="L12" s="41">
        <f t="shared" si="2"/>
        <v>74079</v>
      </c>
    </row>
    <row r="13" spans="1:13" x14ac:dyDescent="0.35">
      <c r="B13" s="33" t="s">
        <v>101</v>
      </c>
      <c r="D13" s="34">
        <f>D12/D7</f>
        <v>0.98450120508251227</v>
      </c>
      <c r="E13" s="34">
        <f t="shared" ref="E13:L13" si="3">E12/E7</f>
        <v>0.98786229921821733</v>
      </c>
      <c r="F13" s="34">
        <f t="shared" si="3"/>
        <v>0.99109497676288394</v>
      </c>
      <c r="G13" s="34">
        <f t="shared" si="3"/>
        <v>0.99393493747196926</v>
      </c>
      <c r="H13" s="34">
        <f t="shared" si="3"/>
        <v>0.99165698267526547</v>
      </c>
      <c r="I13" s="34">
        <f t="shared" si="3"/>
        <v>0.98463218109285033</v>
      </c>
      <c r="J13" s="34">
        <f t="shared" si="3"/>
        <v>0.95437953345553106</v>
      </c>
      <c r="K13" s="34">
        <f t="shared" si="3"/>
        <v>0.98352564030544409</v>
      </c>
      <c r="L13" s="34">
        <f t="shared" si="3"/>
        <v>0.26853936250040783</v>
      </c>
    </row>
    <row r="14" spans="1:13" x14ac:dyDescent="0.35">
      <c r="B14" s="33"/>
      <c r="D14" s="34"/>
      <c r="E14" s="34"/>
      <c r="F14" s="34"/>
      <c r="G14" s="34"/>
      <c r="H14" s="34"/>
      <c r="I14" s="34"/>
      <c r="J14" s="34"/>
      <c r="K14" s="34"/>
      <c r="L14" s="34"/>
    </row>
    <row r="15" spans="1:13" x14ac:dyDescent="0.35">
      <c r="B15" t="s">
        <v>102</v>
      </c>
      <c r="D15" s="30">
        <f>IFERROR(SUM('Data Sheet'!D22:D24),0)</f>
        <v>104687</v>
      </c>
      <c r="E15" s="30">
        <f>IFERROR(SUM('Data Sheet'!E22:E24),0)</f>
        <v>112935</v>
      </c>
      <c r="F15" s="30">
        <f>IFERROR(SUM('Data Sheet'!F22:F24),0)</f>
        <v>116169</v>
      </c>
      <c r="G15" s="30">
        <f>IFERROR(SUM('Data Sheet'!G22:G24),0)</f>
        <v>137534</v>
      </c>
      <c r="H15" s="30">
        <f>IFERROR(SUM('Data Sheet'!H22:H24),0)</f>
        <v>164318</v>
      </c>
      <c r="I15" s="30">
        <f>IFERROR(SUM('Data Sheet'!I22:I24),0)</f>
        <v>172895</v>
      </c>
      <c r="J15" s="30">
        <f>IFERROR(SUM('Data Sheet'!J22:J24),0)</f>
        <v>176269</v>
      </c>
      <c r="K15" s="30">
        <f>IFERROR(SUM('Data Sheet'!K22:K24),0)</f>
        <v>190224</v>
      </c>
      <c r="L15" s="30"/>
    </row>
    <row r="16" spans="1:13" x14ac:dyDescent="0.35">
      <c r="B16" s="33" t="s">
        <v>103</v>
      </c>
      <c r="D16" s="34">
        <f>D15/D7</f>
        <v>0.71476755221455246</v>
      </c>
      <c r="E16" s="34">
        <f t="shared" ref="E16:L16" si="4">E15/E7</f>
        <v>0.7195649542207978</v>
      </c>
      <c r="F16" s="34">
        <f t="shared" si="4"/>
        <v>0.70758388812074768</v>
      </c>
      <c r="G16" s="34">
        <f t="shared" si="4"/>
        <v>0.71724188282904133</v>
      </c>
      <c r="H16" s="34">
        <f t="shared" si="4"/>
        <v>0.72881867132681033</v>
      </c>
      <c r="I16" s="34">
        <f t="shared" si="4"/>
        <v>0.71772529712361921</v>
      </c>
      <c r="J16" s="34">
        <f t="shared" si="4"/>
        <v>0.69037379956447498</v>
      </c>
      <c r="K16" s="34">
        <f t="shared" si="4"/>
        <v>0.71239340726010314</v>
      </c>
      <c r="L16" s="34">
        <f t="shared" si="4"/>
        <v>0</v>
      </c>
    </row>
    <row r="17" spans="2:13" x14ac:dyDescent="0.35">
      <c r="B17" s="40" t="s">
        <v>104</v>
      </c>
      <c r="C17" s="40"/>
      <c r="D17" s="41">
        <f>D12-D15</f>
        <v>39506</v>
      </c>
      <c r="E17" s="41">
        <f t="shared" ref="E17:L17" si="5">E12-E15</f>
        <v>42109</v>
      </c>
      <c r="F17" s="41">
        <f t="shared" si="5"/>
        <v>46546</v>
      </c>
      <c r="G17" s="41">
        <f t="shared" si="5"/>
        <v>53057</v>
      </c>
      <c r="H17" s="41">
        <f t="shared" si="5"/>
        <v>59259</v>
      </c>
      <c r="I17" s="41">
        <f t="shared" si="5"/>
        <v>64296</v>
      </c>
      <c r="J17" s="41">
        <f t="shared" si="5"/>
        <v>67407</v>
      </c>
      <c r="K17" s="41">
        <f t="shared" si="5"/>
        <v>72398</v>
      </c>
      <c r="L17" s="41">
        <f t="shared" si="5"/>
        <v>74079</v>
      </c>
      <c r="M17" s="2"/>
    </row>
    <row r="18" spans="2:13" x14ac:dyDescent="0.35">
      <c r="B18" s="33" t="s">
        <v>105</v>
      </c>
      <c r="D18" s="34">
        <f>D17/D7</f>
        <v>0.26973365286795981</v>
      </c>
      <c r="E18" s="34">
        <f t="shared" ref="E18:L18" si="6">E17/E7</f>
        <v>0.26829734499741953</v>
      </c>
      <c r="F18" s="34">
        <f t="shared" si="6"/>
        <v>0.28351108864213626</v>
      </c>
      <c r="G18" s="34">
        <f t="shared" si="6"/>
        <v>0.27669305464292793</v>
      </c>
      <c r="H18" s="34">
        <f t="shared" si="6"/>
        <v>0.26283831134845514</v>
      </c>
      <c r="I18" s="34">
        <f t="shared" si="6"/>
        <v>0.26690688396923118</v>
      </c>
      <c r="J18" s="34">
        <f t="shared" si="6"/>
        <v>0.26400573389105608</v>
      </c>
      <c r="K18" s="34">
        <f t="shared" si="6"/>
        <v>0.27113223304534101</v>
      </c>
      <c r="L18" s="34">
        <f t="shared" si="6"/>
        <v>0.26853936250040783</v>
      </c>
    </row>
    <row r="19" spans="2:13" x14ac:dyDescent="0.35">
      <c r="B19" s="33"/>
      <c r="D19" s="34"/>
      <c r="E19" s="34"/>
      <c r="F19" s="34"/>
      <c r="G19" s="34"/>
      <c r="H19" s="34"/>
      <c r="I19" s="34"/>
      <c r="J19" s="34"/>
      <c r="K19" s="34"/>
      <c r="L19" s="34"/>
    </row>
    <row r="20" spans="2:13" x14ac:dyDescent="0.35">
      <c r="B20" t="s">
        <v>10</v>
      </c>
      <c r="D20" s="30">
        <f>IFERROR('Data Sheet'!D26,0)</f>
        <v>2056</v>
      </c>
      <c r="E20" s="30">
        <f>IFERROR('Data Sheet'!E26,0)</f>
        <v>3529</v>
      </c>
      <c r="F20" s="30">
        <f>IFERROR('Data Sheet'!F26,0)</f>
        <v>4065</v>
      </c>
      <c r="G20" s="30">
        <f>IFERROR('Data Sheet'!G26,0)</f>
        <v>4604</v>
      </c>
      <c r="H20" s="30">
        <f>IFERROR('Data Sheet'!H26,0)</f>
        <v>5022</v>
      </c>
      <c r="I20" s="30">
        <f>IFERROR('Data Sheet'!I26,0)</f>
        <v>4985</v>
      </c>
      <c r="J20" s="30">
        <f>IFERROR('Data Sheet'!J26,0)</f>
        <v>5242</v>
      </c>
      <c r="K20" s="30">
        <f>IFERROR('Data Sheet'!K26,0)</f>
        <v>5560</v>
      </c>
      <c r="L20" s="30">
        <f>IFERROR(SUM('Data Sheet'!H45:K45),0)</f>
        <v>5438</v>
      </c>
    </row>
    <row r="21" spans="2:13" x14ac:dyDescent="0.35">
      <c r="B21" s="33" t="s">
        <v>106</v>
      </c>
      <c r="D21" s="34">
        <f>D20/D7</f>
        <v>1.4037675044209118E-2</v>
      </c>
      <c r="E21" s="34">
        <f t="shared" ref="E21:L21" si="7">E20/E7</f>
        <v>2.248501105454638E-2</v>
      </c>
      <c r="F21" s="34">
        <f t="shared" si="7"/>
        <v>2.4759862830969016E-2</v>
      </c>
      <c r="G21" s="34">
        <f t="shared" si="7"/>
        <v>2.4009929388695932E-2</v>
      </c>
      <c r="H21" s="34">
        <f t="shared" si="7"/>
        <v>2.2274658694745805E-2</v>
      </c>
      <c r="I21" s="34">
        <f t="shared" si="7"/>
        <v>2.0693835022188273E-2</v>
      </c>
      <c r="J21" s="34">
        <f t="shared" si="7"/>
        <v>2.053077658191161E-2</v>
      </c>
      <c r="K21" s="34">
        <f t="shared" si="7"/>
        <v>2.0822332325921931E-2</v>
      </c>
      <c r="L21" s="34">
        <f t="shared" si="7"/>
        <v>1.9712969306783536E-2</v>
      </c>
    </row>
    <row r="22" spans="2:13" x14ac:dyDescent="0.35">
      <c r="B22" s="33"/>
      <c r="D22" s="34"/>
      <c r="E22" s="34"/>
      <c r="F22" s="34"/>
      <c r="G22" s="34"/>
      <c r="H22" s="34"/>
      <c r="I22" s="34"/>
      <c r="J22" s="34"/>
      <c r="K22" s="34"/>
      <c r="L22" s="34"/>
    </row>
    <row r="23" spans="2:13" x14ac:dyDescent="0.35">
      <c r="B23" s="40" t="s">
        <v>107</v>
      </c>
      <c r="C23" s="40"/>
      <c r="D23" s="41">
        <f>D17-D20</f>
        <v>37450</v>
      </c>
      <c r="E23" s="41">
        <f t="shared" ref="E23:L23" si="8">E17-E20</f>
        <v>38580</v>
      </c>
      <c r="F23" s="41">
        <f t="shared" si="8"/>
        <v>42481</v>
      </c>
      <c r="G23" s="41">
        <f t="shared" si="8"/>
        <v>48453</v>
      </c>
      <c r="H23" s="41">
        <f t="shared" si="8"/>
        <v>54237</v>
      </c>
      <c r="I23" s="41">
        <f t="shared" si="8"/>
        <v>59311</v>
      </c>
      <c r="J23" s="41">
        <f t="shared" si="8"/>
        <v>62165</v>
      </c>
      <c r="K23" s="41">
        <f t="shared" si="8"/>
        <v>66838</v>
      </c>
      <c r="L23" s="41">
        <f t="shared" si="8"/>
        <v>68641</v>
      </c>
    </row>
    <row r="24" spans="2:13" x14ac:dyDescent="0.35">
      <c r="B24" s="33" t="s">
        <v>108</v>
      </c>
      <c r="D24" s="34">
        <f>D23/D7</f>
        <v>0.2556959778237507</v>
      </c>
      <c r="E24" s="34">
        <f t="shared" ref="E24:L24" si="9">E23/E7</f>
        <v>0.24581233394287316</v>
      </c>
      <c r="F24" s="34">
        <f t="shared" si="9"/>
        <v>0.25875122581116722</v>
      </c>
      <c r="G24" s="34">
        <f t="shared" si="9"/>
        <v>0.25268312525423198</v>
      </c>
      <c r="H24" s="34">
        <f t="shared" si="9"/>
        <v>0.24056365265370933</v>
      </c>
      <c r="I24" s="34">
        <f t="shared" si="9"/>
        <v>0.24621304894704288</v>
      </c>
      <c r="J24" s="34">
        <f t="shared" si="9"/>
        <v>0.24347495730914445</v>
      </c>
      <c r="K24" s="34">
        <f t="shared" si="9"/>
        <v>0.25030990071941905</v>
      </c>
      <c r="L24" s="34">
        <f t="shared" si="9"/>
        <v>0.24882639319362429</v>
      </c>
    </row>
    <row r="25" spans="2:13" x14ac:dyDescent="0.35">
      <c r="B25" s="33"/>
      <c r="D25" s="34"/>
      <c r="E25" s="34"/>
      <c r="F25" s="34"/>
      <c r="G25" s="34"/>
      <c r="H25" s="34"/>
      <c r="I25" s="34"/>
      <c r="J25" s="34"/>
      <c r="K25" s="34"/>
      <c r="L25" s="34"/>
    </row>
    <row r="26" spans="2:13" x14ac:dyDescent="0.35">
      <c r="B26" t="s">
        <v>11</v>
      </c>
      <c r="D26" s="30">
        <f>IFERROR('Data Sheet'!D27,0)</f>
        <v>198</v>
      </c>
      <c r="E26" s="30">
        <f>IFERROR('Data Sheet'!E27,0)</f>
        <v>924</v>
      </c>
      <c r="F26" s="30">
        <f>IFERROR('Data Sheet'!F27,0)</f>
        <v>637</v>
      </c>
      <c r="G26" s="30">
        <f>IFERROR('Data Sheet'!G27,0)</f>
        <v>784</v>
      </c>
      <c r="H26" s="30">
        <f>IFERROR('Data Sheet'!H27,0)</f>
        <v>779</v>
      </c>
      <c r="I26" s="30">
        <f>IFERROR('Data Sheet'!I27,0)</f>
        <v>778</v>
      </c>
      <c r="J26" s="30">
        <f>IFERROR('Data Sheet'!J27,0)</f>
        <v>796</v>
      </c>
      <c r="K26" s="30">
        <f>IFERROR('Data Sheet'!K27,0)</f>
        <v>1227</v>
      </c>
      <c r="L26" s="30">
        <f>IFERROR(SUM('Data Sheet'!H46:K46),0)</f>
        <v>1305</v>
      </c>
    </row>
    <row r="27" spans="2:13" x14ac:dyDescent="0.35">
      <c r="B27" s="33" t="s">
        <v>109</v>
      </c>
      <c r="D27" s="34">
        <f>D26/D7</f>
        <v>1.3518772659306445E-3</v>
      </c>
      <c r="E27" s="34">
        <f t="shared" ref="E27:L27" si="10">E26/E7</f>
        <v>5.8872627414000723E-3</v>
      </c>
      <c r="F27" s="34">
        <f t="shared" si="10"/>
        <v>3.879958824926756E-3</v>
      </c>
      <c r="G27" s="34">
        <f t="shared" si="10"/>
        <v>4.0885718159725483E-3</v>
      </c>
      <c r="H27" s="34">
        <f t="shared" si="10"/>
        <v>3.4551889930718805E-3</v>
      </c>
      <c r="I27" s="34">
        <f t="shared" si="10"/>
        <v>3.2296496784879592E-3</v>
      </c>
      <c r="J27" s="34">
        <f t="shared" si="10"/>
        <v>3.1176074321254562E-3</v>
      </c>
      <c r="K27" s="34">
        <f t="shared" si="10"/>
        <v>4.595144202141405E-3</v>
      </c>
      <c r="L27" s="34">
        <f t="shared" si="10"/>
        <v>4.7306776287886201E-3</v>
      </c>
    </row>
    <row r="28" spans="2:13" x14ac:dyDescent="0.35">
      <c r="B28" s="33"/>
      <c r="D28" s="34"/>
      <c r="E28" s="34"/>
      <c r="F28" s="34"/>
      <c r="G28" s="34"/>
      <c r="H28" s="34"/>
      <c r="I28" s="34"/>
      <c r="J28" s="34"/>
      <c r="K28" s="34"/>
      <c r="L28" s="34"/>
    </row>
    <row r="29" spans="2:13" x14ac:dyDescent="0.35">
      <c r="B29" t="s">
        <v>9</v>
      </c>
      <c r="D29" s="30">
        <f>IFERROR('Data Sheet'!D25,0)</f>
        <v>4311</v>
      </c>
      <c r="E29" s="30">
        <f>IFERROR('Data Sheet'!E25,0)</f>
        <v>4592</v>
      </c>
      <c r="F29" s="30">
        <f>IFERROR('Data Sheet'!F25,0)</f>
        <v>1916</v>
      </c>
      <c r="G29" s="30">
        <f>IFERROR('Data Sheet'!G25,0)</f>
        <v>4018</v>
      </c>
      <c r="H29" s="30">
        <f>IFERROR('Data Sheet'!H25,0)</f>
        <v>3449</v>
      </c>
      <c r="I29" s="30">
        <f>IFERROR('Data Sheet'!I25,0)</f>
        <v>3464</v>
      </c>
      <c r="J29" s="30">
        <f>IFERROR('Data Sheet'!J25,0)</f>
        <v>3962</v>
      </c>
      <c r="K29" s="30">
        <f>IFERROR('Data Sheet'!K25,0)</f>
        <v>-124</v>
      </c>
      <c r="L29" s="30">
        <f>IFERROR(SUM('Data Sheet'!H44:K44),0)</f>
        <v>-884</v>
      </c>
    </row>
    <row r="30" spans="2:13" x14ac:dyDescent="0.35">
      <c r="B30" s="33" t="s">
        <v>110</v>
      </c>
      <c r="D30" s="34">
        <f>D29/D7</f>
        <v>2.9434055017308124E-2</v>
      </c>
      <c r="E30" s="34">
        <f t="shared" ref="E30:L30" si="11">E29/E7</f>
        <v>2.9257911805745815E-2</v>
      </c>
      <c r="F30" s="34">
        <f t="shared" si="11"/>
        <v>1.1670331410611717E-2</v>
      </c>
      <c r="G30" s="34">
        <f t="shared" si="11"/>
        <v>2.0953930556859308E-2</v>
      </c>
      <c r="H30" s="34">
        <f t="shared" si="11"/>
        <v>1.5297749469967798E-2</v>
      </c>
      <c r="I30" s="34">
        <f t="shared" si="11"/>
        <v>1.4379828388537649E-2</v>
      </c>
      <c r="J30" s="34">
        <f t="shared" si="11"/>
        <v>1.5517538500101831E-2</v>
      </c>
      <c r="K30" s="35">
        <f t="shared" si="11"/>
        <v>-4.6438295115365459E-4</v>
      </c>
      <c r="L30" s="35">
        <f t="shared" si="11"/>
        <v>-3.2045356504591112E-3</v>
      </c>
    </row>
    <row r="31" spans="2:13" x14ac:dyDescent="0.35">
      <c r="B31" s="33"/>
      <c r="D31" s="34"/>
      <c r="E31" s="34"/>
      <c r="F31" s="34"/>
      <c r="G31" s="34"/>
      <c r="H31" s="34"/>
      <c r="I31" s="34"/>
      <c r="J31" s="34"/>
      <c r="K31" s="35"/>
      <c r="L31" s="35"/>
    </row>
    <row r="32" spans="2:13" x14ac:dyDescent="0.35">
      <c r="B32" s="40" t="s">
        <v>111</v>
      </c>
      <c r="C32" s="40"/>
      <c r="D32" s="41">
        <f>(D23+D29)-D26</f>
        <v>41563</v>
      </c>
      <c r="E32" s="41">
        <f t="shared" ref="E32:L32" si="12">(E23+E29)-E26</f>
        <v>42248</v>
      </c>
      <c r="F32" s="41">
        <f t="shared" si="12"/>
        <v>43760</v>
      </c>
      <c r="G32" s="41">
        <f t="shared" si="12"/>
        <v>51687</v>
      </c>
      <c r="H32" s="41">
        <f t="shared" si="12"/>
        <v>56907</v>
      </c>
      <c r="I32" s="41">
        <f t="shared" si="12"/>
        <v>61997</v>
      </c>
      <c r="J32" s="41">
        <f t="shared" si="12"/>
        <v>65331</v>
      </c>
      <c r="K32" s="41">
        <f t="shared" si="12"/>
        <v>65487</v>
      </c>
      <c r="L32" s="41">
        <f t="shared" si="12"/>
        <v>66452</v>
      </c>
    </row>
    <row r="33" spans="2:12" x14ac:dyDescent="0.35">
      <c r="B33" s="33" t="s">
        <v>112</v>
      </c>
      <c r="D33" s="34">
        <f t="shared" ref="D33:L33" si="13">D32/D7</f>
        <v>0.2837781555751282</v>
      </c>
      <c r="E33" s="34">
        <f t="shared" si="13"/>
        <v>0.26918298300721888</v>
      </c>
      <c r="F33" s="34">
        <f t="shared" si="13"/>
        <v>0.26654159839685215</v>
      </c>
      <c r="G33" s="34">
        <f t="shared" si="13"/>
        <v>0.26954848399511877</v>
      </c>
      <c r="H33" s="34">
        <f t="shared" si="13"/>
        <v>0.25240621313060524</v>
      </c>
      <c r="I33" s="34">
        <f t="shared" si="13"/>
        <v>0.25736322765709257</v>
      </c>
      <c r="J33" s="34">
        <f t="shared" si="13"/>
        <v>0.25587488837712086</v>
      </c>
      <c r="K33" s="34">
        <f t="shared" si="13"/>
        <v>0.245250373566124</v>
      </c>
      <c r="L33" s="34">
        <f t="shared" si="13"/>
        <v>0.24089117991437656</v>
      </c>
    </row>
    <row r="34" spans="2:12" x14ac:dyDescent="0.35">
      <c r="B34" s="33"/>
      <c r="D34" s="34"/>
      <c r="E34" s="34"/>
      <c r="F34" s="34"/>
      <c r="G34" s="34"/>
      <c r="H34" s="34"/>
      <c r="I34" s="34"/>
      <c r="J34" s="34"/>
      <c r="K34" s="34"/>
      <c r="L34" s="34"/>
    </row>
    <row r="35" spans="2:12" x14ac:dyDescent="0.35">
      <c r="B35" t="s">
        <v>113</v>
      </c>
      <c r="D35" s="30">
        <f>IFERROR('Data Sheet'!D29,0)</f>
        <v>10001</v>
      </c>
      <c r="E35" s="30">
        <f>IFERROR('Data Sheet'!E29,0)</f>
        <v>9801</v>
      </c>
      <c r="F35" s="30">
        <f>IFERROR('Data Sheet'!F29,0)</f>
        <v>11198</v>
      </c>
      <c r="G35" s="30">
        <f>IFERROR('Data Sheet'!G29,0)</f>
        <v>13238</v>
      </c>
      <c r="H35" s="30">
        <f>IFERROR('Data Sheet'!H29,0)</f>
        <v>14604</v>
      </c>
      <c r="I35" s="30">
        <f>IFERROR('Data Sheet'!I29,0)</f>
        <v>15898</v>
      </c>
      <c r="J35" s="30">
        <f>IFERROR('Data Sheet'!J29,0)</f>
        <v>16534</v>
      </c>
      <c r="K35" s="30">
        <f>IFERROR('Data Sheet'!K29,0)</f>
        <v>16033</v>
      </c>
      <c r="L35" s="30">
        <f>IFERROR(SUM('Data Sheet'!H48:K48),0)</f>
        <v>16397</v>
      </c>
    </row>
    <row r="36" spans="2:12" x14ac:dyDescent="0.35">
      <c r="B36" s="33" t="s">
        <v>114</v>
      </c>
      <c r="D36" s="34">
        <f t="shared" ref="D36:L36" si="14">D35/D7</f>
        <v>6.8283457255416041E-2</v>
      </c>
      <c r="E36" s="34">
        <f t="shared" si="14"/>
        <v>6.2447036935565053E-2</v>
      </c>
      <c r="F36" s="34">
        <f t="shared" si="14"/>
        <v>6.8206874288115879E-2</v>
      </c>
      <c r="G36" s="34">
        <f t="shared" si="14"/>
        <v>6.9036369515107901E-2</v>
      </c>
      <c r="H36" s="34">
        <f t="shared" si="14"/>
        <v>6.4774813934302622E-2</v>
      </c>
      <c r="I36" s="34">
        <f t="shared" si="14"/>
        <v>6.5996106155014889E-2</v>
      </c>
      <c r="J36" s="34">
        <f t="shared" si="14"/>
        <v>6.4756936284877248E-2</v>
      </c>
      <c r="K36" s="34">
        <f t="shared" si="14"/>
        <v>6.0043966579407609E-2</v>
      </c>
      <c r="L36" s="34">
        <f t="shared" si="14"/>
        <v>5.9439786267622224E-2</v>
      </c>
    </row>
    <row r="37" spans="2:12" ht="15" thickBot="1" x14ac:dyDescent="0.4">
      <c r="B37" s="33"/>
      <c r="D37" s="34"/>
      <c r="E37" s="34"/>
      <c r="F37" s="34"/>
      <c r="G37" s="34"/>
      <c r="H37" s="34"/>
      <c r="I37" s="34"/>
      <c r="J37" s="34"/>
      <c r="K37" s="34"/>
      <c r="L37" s="34"/>
    </row>
    <row r="38" spans="2:12" ht="15" thickBot="1" x14ac:dyDescent="0.4">
      <c r="B38" s="42" t="s">
        <v>115</v>
      </c>
      <c r="C38" s="42"/>
      <c r="D38" s="43">
        <f>D32-D35</f>
        <v>31562</v>
      </c>
      <c r="E38" s="43">
        <f t="shared" ref="E38:L38" si="15">E32-E35</f>
        <v>32447</v>
      </c>
      <c r="F38" s="43">
        <f t="shared" si="15"/>
        <v>32562</v>
      </c>
      <c r="G38" s="43">
        <f t="shared" si="15"/>
        <v>38449</v>
      </c>
      <c r="H38" s="43">
        <f t="shared" si="15"/>
        <v>42303</v>
      </c>
      <c r="I38" s="43">
        <f t="shared" si="15"/>
        <v>46099</v>
      </c>
      <c r="J38" s="43">
        <f t="shared" si="15"/>
        <v>48797</v>
      </c>
      <c r="K38" s="43">
        <f t="shared" si="15"/>
        <v>49454</v>
      </c>
      <c r="L38" s="43">
        <f t="shared" si="15"/>
        <v>50055</v>
      </c>
    </row>
    <row r="39" spans="2:12" ht="15" thickTop="1" x14ac:dyDescent="0.35">
      <c r="B39" s="33" t="s">
        <v>116</v>
      </c>
      <c r="D39" s="34">
        <f t="shared" ref="D39:L39" si="16">D38/D7</f>
        <v>0.21549469831971216</v>
      </c>
      <c r="E39" s="34">
        <f t="shared" si="16"/>
        <v>0.20673594607165385</v>
      </c>
      <c r="F39" s="34">
        <f t="shared" si="16"/>
        <v>0.19833472410873632</v>
      </c>
      <c r="G39" s="34">
        <f t="shared" si="16"/>
        <v>0.20051211448001086</v>
      </c>
      <c r="H39" s="34">
        <f t="shared" si="16"/>
        <v>0.18763139919630265</v>
      </c>
      <c r="I39" s="34">
        <f t="shared" si="16"/>
        <v>0.19136712150207769</v>
      </c>
      <c r="J39" s="34">
        <f t="shared" si="16"/>
        <v>0.19111795209224358</v>
      </c>
      <c r="K39" s="34">
        <f t="shared" si="16"/>
        <v>0.18520640698671639</v>
      </c>
      <c r="L39" s="34">
        <f t="shared" si="16"/>
        <v>0.18145139364675433</v>
      </c>
    </row>
    <row r="41" spans="2:12" x14ac:dyDescent="0.35">
      <c r="B41" s="23" t="s">
        <v>117</v>
      </c>
      <c r="D41">
        <f>IFERROR('Data Sheet'!D93,0)</f>
        <v>375.24</v>
      </c>
      <c r="E41">
        <f>IFERROR('Data Sheet'!E93,0)</f>
        <v>375.24</v>
      </c>
      <c r="F41">
        <f>IFERROR('Data Sheet'!F93,0)</f>
        <v>369.91</v>
      </c>
      <c r="G41">
        <f>IFERROR('Data Sheet'!G93,0)</f>
        <v>365.91</v>
      </c>
      <c r="H41">
        <f>IFERROR('Data Sheet'!H93,0)</f>
        <v>365.91</v>
      </c>
      <c r="I41">
        <f>IFERROR('Data Sheet'!I93,0)</f>
        <v>361.81</v>
      </c>
      <c r="J41">
        <f>IFERROR('Data Sheet'!J93,0)</f>
        <v>361.81</v>
      </c>
      <c r="K41">
        <f>IFERROR('Data Sheet'!K93,0)</f>
        <v>361.81</v>
      </c>
    </row>
    <row r="43" spans="2:12" x14ac:dyDescent="0.35">
      <c r="B43" t="s">
        <v>57</v>
      </c>
      <c r="D43" s="36">
        <f>D38/D41</f>
        <v>84.11150197207121</v>
      </c>
      <c r="E43" s="36">
        <f t="shared" ref="E43:K43" si="17">E38/E41</f>
        <v>86.46999253810894</v>
      </c>
      <c r="F43" s="36">
        <f t="shared" si="17"/>
        <v>88.026817333946084</v>
      </c>
      <c r="G43" s="36">
        <f t="shared" si="17"/>
        <v>105.07775135962395</v>
      </c>
      <c r="H43" s="36">
        <f t="shared" si="17"/>
        <v>115.61039599901615</v>
      </c>
      <c r="I43" s="36">
        <f t="shared" si="17"/>
        <v>127.41217766230895</v>
      </c>
      <c r="J43" s="36">
        <f t="shared" si="17"/>
        <v>134.86913020646196</v>
      </c>
      <c r="K43" s="36">
        <f t="shared" si="17"/>
        <v>136.68500041458225</v>
      </c>
      <c r="L43" s="36"/>
    </row>
    <row r="44" spans="2:12" x14ac:dyDescent="0.35">
      <c r="B44" s="33" t="s">
        <v>118</v>
      </c>
      <c r="D44" t="s">
        <v>97</v>
      </c>
      <c r="E44" s="34">
        <f>E43/D43-1</f>
        <v>2.804004815917871E-2</v>
      </c>
      <c r="F44" s="34">
        <f t="shared" ref="F44:K44" si="18">F43/E43-1</f>
        <v>1.8004220309733698E-2</v>
      </c>
      <c r="G44" s="34">
        <f t="shared" si="18"/>
        <v>0.19370158483626621</v>
      </c>
      <c r="H44" s="34">
        <f t="shared" si="18"/>
        <v>0.10023667715675311</v>
      </c>
      <c r="I44" s="34">
        <f t="shared" si="18"/>
        <v>0.10208235653299935</v>
      </c>
      <c r="J44" s="34">
        <f t="shared" si="18"/>
        <v>5.8526215319204322E-2</v>
      </c>
      <c r="K44" s="34">
        <f t="shared" si="18"/>
        <v>1.3463942455478772E-2</v>
      </c>
    </row>
    <row r="46" spans="2:12" x14ac:dyDescent="0.35">
      <c r="B46" t="s">
        <v>119</v>
      </c>
      <c r="D46" s="36">
        <f>IFERROR('Data Sheet'!D31/'Historicail Financial Statement'!D41,0)</f>
        <v>29.980812280140711</v>
      </c>
      <c r="E46" s="36">
        <f>IFERROR('Data Sheet'!E31/'Historicail Financial Statement'!E41,0)</f>
        <v>72.953309881675722</v>
      </c>
      <c r="F46" s="36">
        <f>IFERROR('Data Sheet'!F31/'Historicail Financial Statement'!F41,0)</f>
        <v>38.009245492146739</v>
      </c>
      <c r="G46" s="36">
        <f>IFERROR('Data Sheet'!G31/'Historicail Financial Statement'!G41,0)</f>
        <v>43.010576371238827</v>
      </c>
      <c r="H46" s="36">
        <f>IFERROR('Data Sheet'!H31/'Historicail Financial Statement'!H41,0)</f>
        <v>115.02828564401081</v>
      </c>
      <c r="I46" s="36">
        <f>IFERROR('Data Sheet'!I31/'Historicail Financial Statement'!I41,0)</f>
        <v>73.038335037726981</v>
      </c>
      <c r="J46" s="36">
        <f>IFERROR('Data Sheet'!J31/'Historicail Financial Statement'!J41,0)</f>
        <v>126.06616732539177</v>
      </c>
      <c r="K46" s="36">
        <f>IFERROR('Data Sheet'!K31/'Historicail Financial Statement'!K41,0)</f>
        <v>110.05776512534203</v>
      </c>
    </row>
    <row r="47" spans="2:12" x14ac:dyDescent="0.35">
      <c r="B47" s="33" t="s">
        <v>120</v>
      </c>
      <c r="D47" s="34">
        <f>D46/D43</f>
        <v>0.35644129015905202</v>
      </c>
      <c r="E47" s="34">
        <f t="shared" ref="E47:K47" si="19">E46/E43</f>
        <v>0.8436835454741578</v>
      </c>
      <c r="F47" s="34">
        <f t="shared" si="19"/>
        <v>0.43179165898900568</v>
      </c>
      <c r="G47" s="34">
        <f t="shared" si="19"/>
        <v>0.4093214387890452</v>
      </c>
      <c r="H47" s="34">
        <f t="shared" si="19"/>
        <v>0.99496489610665895</v>
      </c>
      <c r="I47" s="34">
        <f t="shared" si="19"/>
        <v>0.57324453892709171</v>
      </c>
      <c r="J47" s="34">
        <f t="shared" si="19"/>
        <v>0.93472959403241995</v>
      </c>
      <c r="K47" s="34">
        <f t="shared" si="19"/>
        <v>0.80519270433129775</v>
      </c>
    </row>
    <row r="49" spans="1:12" x14ac:dyDescent="0.35">
      <c r="B49" t="s">
        <v>121</v>
      </c>
      <c r="D49" s="31">
        <f>IFERROR(IF(D43&gt;D46,1-D47,0),0)</f>
        <v>0.64355870984094798</v>
      </c>
      <c r="E49" s="31">
        <f t="shared" ref="E49:K49" si="20">IFERROR(IF(E43&gt;E46,1-E47,0),0)</f>
        <v>0.1563164545258422</v>
      </c>
      <c r="F49" s="31">
        <f t="shared" si="20"/>
        <v>0.56820834101099438</v>
      </c>
      <c r="G49" s="31">
        <f t="shared" si="20"/>
        <v>0.59067856121095486</v>
      </c>
      <c r="H49" s="31">
        <f t="shared" si="20"/>
        <v>5.035103893341053E-3</v>
      </c>
      <c r="I49" s="31">
        <f t="shared" si="20"/>
        <v>0.42675546107290829</v>
      </c>
      <c r="J49" s="31">
        <f t="shared" si="20"/>
        <v>6.5270405967580047E-2</v>
      </c>
      <c r="K49" s="31">
        <f t="shared" si="20"/>
        <v>0.19480729566870225</v>
      </c>
    </row>
    <row r="51" spans="1:12" x14ac:dyDescent="0.35">
      <c r="A51" t="s">
        <v>95</v>
      </c>
      <c r="B51" s="37" t="str">
        <f>"Balance Sheet  - "&amp;'Data Sheet'!B1</f>
        <v>Balance Sheet  - TATA CONSULTANCY SERVICES LTD</v>
      </c>
      <c r="C51" s="29"/>
      <c r="D51" s="29"/>
      <c r="E51" s="29"/>
      <c r="F51" s="29"/>
      <c r="G51" s="29"/>
      <c r="H51" s="29"/>
      <c r="I51" s="29"/>
      <c r="J51" s="29"/>
      <c r="K51" s="29"/>
      <c r="L51" s="29"/>
    </row>
    <row r="53" spans="1:12" x14ac:dyDescent="0.35">
      <c r="B53" t="s">
        <v>24</v>
      </c>
      <c r="D53" s="39">
        <f>IFERROR('Data Sheet'!D57,0)</f>
        <v>375</v>
      </c>
      <c r="E53" s="39">
        <f>IFERROR('Data Sheet'!E57,0)</f>
        <v>375</v>
      </c>
      <c r="F53" s="39">
        <f>IFERROR('Data Sheet'!F57,0)</f>
        <v>370</v>
      </c>
      <c r="G53" s="39">
        <f>IFERROR('Data Sheet'!G57,0)</f>
        <v>366</v>
      </c>
      <c r="H53" s="39">
        <f>IFERROR('Data Sheet'!H57,0)</f>
        <v>366</v>
      </c>
      <c r="I53" s="39">
        <f>IFERROR('Data Sheet'!I57,0)</f>
        <v>362</v>
      </c>
      <c r="J53" s="39">
        <f>IFERROR('Data Sheet'!J57,0)</f>
        <v>362</v>
      </c>
      <c r="K53" s="39">
        <f>IFERROR('Data Sheet'!K57,0)</f>
        <v>362</v>
      </c>
    </row>
    <row r="54" spans="1:12" x14ac:dyDescent="0.35">
      <c r="B54" t="s">
        <v>25</v>
      </c>
      <c r="D54" s="39">
        <f>IFERROR('Data Sheet'!D58,0)</f>
        <v>89071</v>
      </c>
      <c r="E54" s="39">
        <f>IFERROR('Data Sheet'!E58,0)</f>
        <v>83751</v>
      </c>
      <c r="F54" s="39">
        <f>IFERROR('Data Sheet'!F58,0)</f>
        <v>86063</v>
      </c>
      <c r="G54" s="39">
        <f>IFERROR('Data Sheet'!G58,0)</f>
        <v>88773</v>
      </c>
      <c r="H54" s="39">
        <f>IFERROR('Data Sheet'!H58,0)</f>
        <v>90058</v>
      </c>
      <c r="I54" s="39">
        <f>IFERROR('Data Sheet'!I58,0)</f>
        <v>90127</v>
      </c>
      <c r="J54" s="39">
        <f>IFERROR('Data Sheet'!J58,0)</f>
        <v>94394</v>
      </c>
      <c r="K54" s="39">
        <f>IFERROR('Data Sheet'!K58,0)</f>
        <v>106878</v>
      </c>
    </row>
    <row r="55" spans="1:12" x14ac:dyDescent="0.35">
      <c r="B55" t="s">
        <v>71</v>
      </c>
      <c r="D55" s="39">
        <f>IFERROR('Data Sheet'!D59,0)</f>
        <v>62</v>
      </c>
      <c r="E55" s="39">
        <f>IFERROR('Data Sheet'!E59,0)</f>
        <v>8174</v>
      </c>
      <c r="F55" s="39">
        <f>IFERROR('Data Sheet'!F59,0)</f>
        <v>7795</v>
      </c>
      <c r="G55" s="39">
        <f>IFERROR('Data Sheet'!G59,0)</f>
        <v>7818</v>
      </c>
      <c r="H55" s="39">
        <f>IFERROR('Data Sheet'!H59,0)</f>
        <v>7688</v>
      </c>
      <c r="I55" s="39">
        <f>IFERROR('Data Sheet'!I59,0)</f>
        <v>8021</v>
      </c>
      <c r="J55" s="39">
        <f>IFERROR('Data Sheet'!J59,0)</f>
        <v>9392</v>
      </c>
      <c r="K55" s="39">
        <f>IFERROR('Data Sheet'!K59,0)</f>
        <v>11283</v>
      </c>
    </row>
    <row r="56" spans="1:12" ht="15" thickBot="1" x14ac:dyDescent="0.4">
      <c r="B56" t="s">
        <v>72</v>
      </c>
      <c r="D56" s="39">
        <f>IFERROR('Data Sheet'!D60,0)</f>
        <v>24393</v>
      </c>
      <c r="E56" s="39">
        <f>IFERROR('Data Sheet'!E60,0)</f>
        <v>27827</v>
      </c>
      <c r="F56" s="39">
        <f>IFERROR('Data Sheet'!F60,0)</f>
        <v>35764</v>
      </c>
      <c r="G56" s="39">
        <f>IFERROR('Data Sheet'!G60,0)</f>
        <v>43967</v>
      </c>
      <c r="H56" s="39">
        <f>IFERROR('Data Sheet'!H60,0)</f>
        <v>44747</v>
      </c>
      <c r="I56" s="39">
        <f>IFERROR('Data Sheet'!I60,0)</f>
        <v>46962</v>
      </c>
      <c r="J56" s="39">
        <f>IFERROR('Data Sheet'!J60,0)</f>
        <v>54501</v>
      </c>
      <c r="K56" s="39">
        <f>IFERROR('Data Sheet'!K60,0)</f>
        <v>62644</v>
      </c>
    </row>
    <row r="57" spans="1:12" ht="15" thickBot="1" x14ac:dyDescent="0.4">
      <c r="B57" s="42" t="s">
        <v>122</v>
      </c>
      <c r="C57" s="44"/>
      <c r="D57" s="45">
        <f>SUM(D53:D56)</f>
        <v>113901</v>
      </c>
      <c r="E57" s="45">
        <f t="shared" ref="E57:K57" si="21">SUM(E53:E56)</f>
        <v>120127</v>
      </c>
      <c r="F57" s="45">
        <f t="shared" si="21"/>
        <v>129992</v>
      </c>
      <c r="G57" s="45">
        <f t="shared" si="21"/>
        <v>140924</v>
      </c>
      <c r="H57" s="45">
        <f t="shared" si="21"/>
        <v>142859</v>
      </c>
      <c r="I57" s="45">
        <f t="shared" si="21"/>
        <v>145472</v>
      </c>
      <c r="J57" s="45">
        <f t="shared" si="21"/>
        <v>158649</v>
      </c>
      <c r="K57" s="45">
        <f t="shared" si="21"/>
        <v>181167</v>
      </c>
    </row>
    <row r="58" spans="1:12" ht="15" thickTop="1" x14ac:dyDescent="0.35">
      <c r="D58" s="39"/>
      <c r="E58" s="39"/>
      <c r="F58" s="39"/>
      <c r="G58" s="39"/>
      <c r="H58" s="39"/>
      <c r="I58" s="39"/>
      <c r="J58" s="39"/>
      <c r="K58" s="39"/>
    </row>
    <row r="59" spans="1:12" x14ac:dyDescent="0.35">
      <c r="B59" t="s">
        <v>123</v>
      </c>
      <c r="D59" s="39">
        <f>IFERROR('Data Sheet'!D62,0)</f>
        <v>12290</v>
      </c>
      <c r="E59" s="39">
        <f>IFERROR('Data Sheet'!E62,0)</f>
        <v>20928</v>
      </c>
      <c r="F59" s="39">
        <f>IFERROR('Data Sheet'!F62,0)</f>
        <v>21021</v>
      </c>
      <c r="G59" s="39">
        <f>IFERROR('Data Sheet'!G62,0)</f>
        <v>21298</v>
      </c>
      <c r="H59" s="39">
        <f>IFERROR('Data Sheet'!H62,0)</f>
        <v>20515</v>
      </c>
      <c r="I59" s="39">
        <f>IFERROR('Data Sheet'!I62,0)</f>
        <v>19604</v>
      </c>
      <c r="J59" s="39">
        <f>IFERROR('Data Sheet'!J62,0)</f>
        <v>23053</v>
      </c>
      <c r="K59" s="39">
        <f>IFERROR('Data Sheet'!K62,0)</f>
        <v>31343</v>
      </c>
    </row>
    <row r="60" spans="1:12" x14ac:dyDescent="0.35">
      <c r="B60" t="s">
        <v>28</v>
      </c>
      <c r="D60" s="39">
        <f>IFERROR('Data Sheet'!D63,0)</f>
        <v>963</v>
      </c>
      <c r="E60" s="39">
        <f>IFERROR('Data Sheet'!E63,0)</f>
        <v>906</v>
      </c>
      <c r="F60" s="39">
        <f>IFERROR('Data Sheet'!F63,0)</f>
        <v>926</v>
      </c>
      <c r="G60" s="39">
        <f>IFERROR('Data Sheet'!G63,0)</f>
        <v>1205</v>
      </c>
      <c r="H60" s="39">
        <f>IFERROR('Data Sheet'!H63,0)</f>
        <v>1234</v>
      </c>
      <c r="I60" s="39">
        <f>IFERROR('Data Sheet'!I63,0)</f>
        <v>1564</v>
      </c>
      <c r="J60" s="39">
        <f>IFERROR('Data Sheet'!J63,0)</f>
        <v>1546</v>
      </c>
      <c r="K60" s="39">
        <f>IFERROR('Data Sheet'!K63,0)</f>
        <v>2665</v>
      </c>
    </row>
    <row r="61" spans="1:12" x14ac:dyDescent="0.35">
      <c r="B61" t="s">
        <v>29</v>
      </c>
      <c r="D61" s="39">
        <f>IFERROR('Data Sheet'!D64,0)</f>
        <v>29330</v>
      </c>
      <c r="E61" s="39">
        <f>IFERROR('Data Sheet'!E64,0)</f>
        <v>26356</v>
      </c>
      <c r="F61" s="39">
        <f>IFERROR('Data Sheet'!F64,0)</f>
        <v>29373</v>
      </c>
      <c r="G61" s="39">
        <f>IFERROR('Data Sheet'!G64,0)</f>
        <v>30485</v>
      </c>
      <c r="H61" s="39">
        <f>IFERROR('Data Sheet'!H64,0)</f>
        <v>37163</v>
      </c>
      <c r="I61" s="39">
        <f>IFERROR('Data Sheet'!I64,0)</f>
        <v>31762</v>
      </c>
      <c r="J61" s="39">
        <f>IFERROR('Data Sheet'!J64,0)</f>
        <v>30964</v>
      </c>
      <c r="K61" s="39">
        <f>IFERROR('Data Sheet'!K64,0)</f>
        <v>33988</v>
      </c>
    </row>
    <row r="62" spans="1:12" ht="15" thickBot="1" x14ac:dyDescent="0.4">
      <c r="B62" t="s">
        <v>73</v>
      </c>
      <c r="D62" s="39">
        <f>'Data Sheet'!D75</f>
        <v>31114</v>
      </c>
      <c r="E62" s="39">
        <f>'Data Sheet'!E75</f>
        <v>31734</v>
      </c>
      <c r="F62" s="39">
        <f>'Data Sheet'!F75</f>
        <v>39256</v>
      </c>
      <c r="G62" s="39">
        <f>'Data Sheet'!G75</f>
        <v>27885</v>
      </c>
      <c r="H62" s="39">
        <f>'Data Sheet'!H75</f>
        <v>22933</v>
      </c>
      <c r="I62" s="39">
        <f>'Data Sheet'!I75</f>
        <v>25651</v>
      </c>
      <c r="J62" s="39">
        <f>'Data Sheet'!J75</f>
        <v>28556</v>
      </c>
      <c r="K62" s="39">
        <f>'Data Sheet'!K75</f>
        <v>32520</v>
      </c>
    </row>
    <row r="63" spans="1:12" ht="15" thickBot="1" x14ac:dyDescent="0.4">
      <c r="B63" s="42" t="s">
        <v>124</v>
      </c>
      <c r="C63" s="42"/>
      <c r="D63" s="45">
        <f>SUM(D59:D62)</f>
        <v>73697</v>
      </c>
      <c r="E63" s="45">
        <f t="shared" ref="E63:K63" si="22">SUM(E59:E62)</f>
        <v>79924</v>
      </c>
      <c r="F63" s="45">
        <f t="shared" si="22"/>
        <v>90576</v>
      </c>
      <c r="G63" s="45">
        <f t="shared" si="22"/>
        <v>80873</v>
      </c>
      <c r="H63" s="45">
        <f t="shared" si="22"/>
        <v>81845</v>
      </c>
      <c r="I63" s="45">
        <f t="shared" si="22"/>
        <v>78581</v>
      </c>
      <c r="J63" s="45">
        <f t="shared" si="22"/>
        <v>84119</v>
      </c>
      <c r="K63" s="45">
        <f t="shared" si="22"/>
        <v>100516</v>
      </c>
    </row>
    <row r="64" spans="1:12" ht="15" thickTop="1" x14ac:dyDescent="0.35">
      <c r="D64" s="39"/>
      <c r="E64" s="39"/>
      <c r="F64" s="39"/>
      <c r="G64" s="39"/>
      <c r="H64" s="39"/>
      <c r="I64" s="39"/>
      <c r="J64" s="39"/>
      <c r="K64" s="39"/>
    </row>
    <row r="65" spans="1:11" x14ac:dyDescent="0.35">
      <c r="B65" s="6" t="s">
        <v>78</v>
      </c>
      <c r="D65" s="39">
        <f>IFERROR('Data Sheet'!D67,0)</f>
        <v>27346</v>
      </c>
      <c r="E65" s="39">
        <f>IFERROR('Data Sheet'!E67,0)</f>
        <v>30532</v>
      </c>
      <c r="F65" s="39">
        <f>IFERROR('Data Sheet'!F67,0)</f>
        <v>30079</v>
      </c>
      <c r="G65" s="39">
        <f>IFERROR('Data Sheet'!G67,0)</f>
        <v>41810</v>
      </c>
      <c r="H65" s="39">
        <f>IFERROR('Data Sheet'!H67,0)</f>
        <v>49954</v>
      </c>
      <c r="I65" s="39">
        <f>IFERROR('Data Sheet'!I67,0)</f>
        <v>53577</v>
      </c>
      <c r="J65" s="39">
        <f>IFERROR('Data Sheet'!J67,0)</f>
        <v>59046</v>
      </c>
      <c r="K65" s="39">
        <f>IFERROR('Data Sheet'!K67,0)</f>
        <v>67714</v>
      </c>
    </row>
    <row r="66" spans="1:11" x14ac:dyDescent="0.35">
      <c r="B66" s="6" t="s">
        <v>45</v>
      </c>
      <c r="D66" s="39">
        <f>IFERROR('Data Sheet'!D68,0)</f>
        <v>10</v>
      </c>
      <c r="E66" s="39">
        <f>IFERROR('Data Sheet'!E68,0)</f>
        <v>5</v>
      </c>
      <c r="F66" s="39">
        <f>IFERROR('Data Sheet'!F68,0)</f>
        <v>8</v>
      </c>
      <c r="G66" s="39">
        <f>IFERROR('Data Sheet'!G68,0)</f>
        <v>20</v>
      </c>
      <c r="H66" s="39">
        <f>IFERROR('Data Sheet'!H68,0)</f>
        <v>28</v>
      </c>
      <c r="I66" s="39">
        <f>IFERROR('Data Sheet'!I68,0)</f>
        <v>28</v>
      </c>
      <c r="J66" s="39">
        <f>IFERROR('Data Sheet'!J68,0)</f>
        <v>21</v>
      </c>
      <c r="K66" s="39">
        <f>IFERROR('Data Sheet'!K68,0)</f>
        <v>29</v>
      </c>
    </row>
    <row r="67" spans="1:11" ht="15" thickBot="1" x14ac:dyDescent="0.4">
      <c r="B67" s="4" t="s">
        <v>87</v>
      </c>
      <c r="D67" s="39">
        <f>IFERROR('Data Sheet'!D69,0)</f>
        <v>12848</v>
      </c>
      <c r="E67" s="39">
        <f>IFERROR('Data Sheet'!E69,0)</f>
        <v>9666</v>
      </c>
      <c r="F67" s="39">
        <f>IFERROR('Data Sheet'!F69,0)</f>
        <v>9329</v>
      </c>
      <c r="G67" s="39">
        <f>IFERROR('Data Sheet'!G69,0)</f>
        <v>18221</v>
      </c>
      <c r="H67" s="39">
        <f>IFERROR('Data Sheet'!H69,0)</f>
        <v>11032</v>
      </c>
      <c r="I67" s="39">
        <f>IFERROR('Data Sheet'!I69,0)</f>
        <v>13286</v>
      </c>
      <c r="J67" s="39">
        <f>IFERROR('Data Sheet'!J69,0)</f>
        <v>15463</v>
      </c>
      <c r="K67" s="39">
        <f>IFERROR('Data Sheet'!K69,0)</f>
        <v>12908</v>
      </c>
    </row>
    <row r="68" spans="1:11" ht="15" thickBot="1" x14ac:dyDescent="0.4">
      <c r="B68" s="46" t="s">
        <v>125</v>
      </c>
      <c r="C68" s="42"/>
      <c r="D68" s="45">
        <f>SUM(D65:D67)</f>
        <v>40204</v>
      </c>
      <c r="E68" s="45">
        <f t="shared" ref="E68:K68" si="23">SUM(E65:E67)</f>
        <v>40203</v>
      </c>
      <c r="F68" s="45">
        <f t="shared" si="23"/>
        <v>39416</v>
      </c>
      <c r="G68" s="45">
        <f t="shared" si="23"/>
        <v>60051</v>
      </c>
      <c r="H68" s="45">
        <f t="shared" si="23"/>
        <v>61014</v>
      </c>
      <c r="I68" s="45">
        <f t="shared" si="23"/>
        <v>66891</v>
      </c>
      <c r="J68" s="45">
        <f t="shared" si="23"/>
        <v>74530</v>
      </c>
      <c r="K68" s="45">
        <f t="shared" si="23"/>
        <v>80651</v>
      </c>
    </row>
    <row r="69" spans="1:11" ht="15.5" thickTop="1" thickBot="1" x14ac:dyDescent="0.4"/>
    <row r="70" spans="1:11" ht="15" thickBot="1" x14ac:dyDescent="0.4">
      <c r="B70" s="46" t="s">
        <v>126</v>
      </c>
      <c r="C70" s="42"/>
      <c r="D70" s="47">
        <f>D63+D68</f>
        <v>113901</v>
      </c>
      <c r="E70" s="47">
        <f t="shared" ref="E70:K70" si="24">E63+E68</f>
        <v>120127</v>
      </c>
      <c r="F70" s="47">
        <f t="shared" si="24"/>
        <v>129992</v>
      </c>
      <c r="G70" s="47">
        <f t="shared" si="24"/>
        <v>140924</v>
      </c>
      <c r="H70" s="47">
        <f t="shared" si="24"/>
        <v>142859</v>
      </c>
      <c r="I70" s="47">
        <f t="shared" si="24"/>
        <v>145472</v>
      </c>
      <c r="J70" s="47">
        <f t="shared" si="24"/>
        <v>158649</v>
      </c>
      <c r="K70" s="47">
        <f t="shared" si="24"/>
        <v>181167</v>
      </c>
    </row>
    <row r="71" spans="1:11" ht="15" thickTop="1" x14ac:dyDescent="0.35"/>
    <row r="72" spans="1:11" x14ac:dyDescent="0.35">
      <c r="B72" s="33" t="s">
        <v>127</v>
      </c>
      <c r="D72" s="33" t="b">
        <f>D57=D70</f>
        <v>1</v>
      </c>
      <c r="E72" s="33" t="b">
        <f t="shared" ref="E72:K72" si="25">E57=E70</f>
        <v>1</v>
      </c>
      <c r="F72" s="33" t="b">
        <f t="shared" si="25"/>
        <v>1</v>
      </c>
      <c r="G72" s="33" t="b">
        <f t="shared" si="25"/>
        <v>1</v>
      </c>
      <c r="H72" s="33" t="b">
        <f t="shared" si="25"/>
        <v>1</v>
      </c>
      <c r="I72" s="33" t="b">
        <f t="shared" si="25"/>
        <v>1</v>
      </c>
      <c r="J72" s="33" t="b">
        <f t="shared" si="25"/>
        <v>1</v>
      </c>
      <c r="K72" s="33" t="b">
        <f t="shared" si="25"/>
        <v>1</v>
      </c>
    </row>
    <row r="74" spans="1:11" x14ac:dyDescent="0.35">
      <c r="A74" t="s">
        <v>95</v>
      </c>
      <c r="B74" s="37" t="str">
        <f>"Cash Flow Statement-"&amp;'Data Sheet'!B1</f>
        <v>Cash Flow Statement-TATA CONSULTANCY SERVICES LTD</v>
      </c>
      <c r="C74" s="29"/>
      <c r="D74" s="29"/>
      <c r="E74" s="29"/>
      <c r="F74" s="29"/>
      <c r="G74" s="29"/>
      <c r="H74" s="29"/>
      <c r="I74" s="29"/>
      <c r="J74" s="29"/>
      <c r="K74" s="29"/>
    </row>
    <row r="76" spans="1:11" x14ac:dyDescent="0.35">
      <c r="B76" t="s">
        <v>32</v>
      </c>
      <c r="D76" s="39">
        <f>IFERROR('Data Sheet'!D82,0)</f>
        <v>28593</v>
      </c>
      <c r="E76" s="39">
        <f>IFERROR('Data Sheet'!E82,0)</f>
        <v>32369</v>
      </c>
      <c r="F76" s="39">
        <f>IFERROR('Data Sheet'!F82,0)</f>
        <v>38802</v>
      </c>
      <c r="G76" s="39">
        <f>IFERROR('Data Sheet'!G82,0)</f>
        <v>39949</v>
      </c>
      <c r="H76" s="39">
        <f>IFERROR('Data Sheet'!H82,0)</f>
        <v>41965</v>
      </c>
      <c r="I76" s="39">
        <f>IFERROR('Data Sheet'!I82,0)</f>
        <v>44338</v>
      </c>
      <c r="J76" s="39">
        <f>IFERROR('Data Sheet'!J82,0)</f>
        <v>48908</v>
      </c>
      <c r="K76" s="39">
        <f>IFERROR('Data Sheet'!K82,0)</f>
        <v>52094</v>
      </c>
    </row>
    <row r="77" spans="1:11" x14ac:dyDescent="0.35">
      <c r="D77" s="39"/>
      <c r="E77" s="39"/>
      <c r="F77" s="39"/>
      <c r="G77" s="39"/>
      <c r="H77" s="39"/>
      <c r="I77" s="39"/>
      <c r="J77" s="39"/>
      <c r="K77" s="39"/>
    </row>
    <row r="78" spans="1:11" x14ac:dyDescent="0.35">
      <c r="B78" t="s">
        <v>33</v>
      </c>
      <c r="D78" s="39">
        <f>IFERROR('Data Sheet'!D83,0)</f>
        <v>1645</v>
      </c>
      <c r="E78" s="39">
        <f>IFERROR('Data Sheet'!E83,0)</f>
        <v>8968</v>
      </c>
      <c r="F78" s="39">
        <f>IFERROR('Data Sheet'!F83,0)</f>
        <v>-7956</v>
      </c>
      <c r="G78" s="39">
        <f>IFERROR('Data Sheet'!G83,0)</f>
        <v>-738</v>
      </c>
      <c r="H78" s="39">
        <f>IFERROR('Data Sheet'!H83,0)</f>
        <v>548</v>
      </c>
      <c r="I78" s="39">
        <f>IFERROR('Data Sheet'!I83,0)</f>
        <v>6091</v>
      </c>
      <c r="J78" s="39">
        <f>IFERROR('Data Sheet'!J83,0)</f>
        <v>-2144</v>
      </c>
      <c r="K78" s="39">
        <f>IFERROR('Data Sheet'!K83,0)</f>
        <v>-11886</v>
      </c>
    </row>
    <row r="79" spans="1:11" x14ac:dyDescent="0.35">
      <c r="D79" s="39"/>
      <c r="E79" s="39"/>
      <c r="F79" s="39"/>
      <c r="G79" s="39"/>
      <c r="H79" s="39"/>
      <c r="I79" s="39"/>
      <c r="J79" s="39"/>
      <c r="K79" s="39"/>
    </row>
    <row r="80" spans="1:11" x14ac:dyDescent="0.35">
      <c r="B80" t="s">
        <v>34</v>
      </c>
      <c r="D80" s="39">
        <f>IFERROR('Data Sheet'!D84,0)</f>
        <v>-27897</v>
      </c>
      <c r="E80" s="39">
        <f>IFERROR('Data Sheet'!E84,0)</f>
        <v>-39915</v>
      </c>
      <c r="F80" s="39">
        <f>IFERROR('Data Sheet'!F84,0)</f>
        <v>-32634</v>
      </c>
      <c r="G80" s="39">
        <f>IFERROR('Data Sheet'!G84,0)</f>
        <v>-33581</v>
      </c>
      <c r="H80" s="39">
        <f>IFERROR('Data Sheet'!H84,0)</f>
        <v>-47878</v>
      </c>
      <c r="I80" s="39">
        <f>IFERROR('Data Sheet'!I84,0)</f>
        <v>-48536</v>
      </c>
      <c r="J80" s="39">
        <f>IFERROR('Data Sheet'!J84,0)</f>
        <v>-47438</v>
      </c>
      <c r="K80" s="39">
        <f>IFERROR('Data Sheet'!K84,0)</f>
        <v>-42133</v>
      </c>
    </row>
    <row r="81" spans="2:11" ht="15" thickBot="1" x14ac:dyDescent="0.4">
      <c r="D81" s="39"/>
      <c r="E81" s="39"/>
      <c r="F81" s="39"/>
      <c r="G81" s="39"/>
      <c r="H81" s="39"/>
      <c r="I81" s="39"/>
      <c r="J81" s="39"/>
      <c r="K81" s="39"/>
    </row>
    <row r="82" spans="2:11" ht="15" thickBot="1" x14ac:dyDescent="0.4">
      <c r="B82" s="42" t="s">
        <v>35</v>
      </c>
      <c r="C82" s="42"/>
      <c r="D82" s="45">
        <f t="shared" ref="D82:K82" si="26">SUM(D76:D80)</f>
        <v>2341</v>
      </c>
      <c r="E82" s="45">
        <f t="shared" si="26"/>
        <v>1422</v>
      </c>
      <c r="F82" s="45">
        <f t="shared" si="26"/>
        <v>-1788</v>
      </c>
      <c r="G82" s="45">
        <f t="shared" si="26"/>
        <v>5630</v>
      </c>
      <c r="H82" s="45">
        <f t="shared" si="26"/>
        <v>-5365</v>
      </c>
      <c r="I82" s="45">
        <f t="shared" si="26"/>
        <v>1893</v>
      </c>
      <c r="J82" s="45">
        <f t="shared" si="26"/>
        <v>-674</v>
      </c>
      <c r="K82" s="45">
        <f t="shared" si="26"/>
        <v>-1925</v>
      </c>
    </row>
    <row r="83" spans="2:11" ht="15" thickTop="1" x14ac:dyDescent="0.35"/>
  </sheetData>
  <mergeCells count="1">
    <mergeCell ref="B3:L3"/>
  </mergeCells>
  <pageMargins left="0.7" right="0.7" top="0.75" bottom="0.75" header="0.3" footer="0.3"/>
  <pageSetup orientation="portrait" r:id="rId1"/>
  <ignoredErrors>
    <ignoredError sqref="L7 D10:J10 D15:K15 L20 L26 L29 L35 K10" formulaRange="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836C2-CE1A-4482-AFCE-51586549509A}">
  <dimension ref="B5:N45"/>
  <sheetViews>
    <sheetView showGridLines="0" topLeftCell="A4" zoomScale="46" zoomScaleNormal="40" workbookViewId="0">
      <selection activeCell="V20" sqref="V20"/>
    </sheetView>
  </sheetViews>
  <sheetFormatPr defaultRowHeight="14.5" x14ac:dyDescent="0.35"/>
  <cols>
    <col min="1" max="1" width="1.81640625" customWidth="1"/>
    <col min="2" max="2" width="26.7265625" bestFit="1" customWidth="1"/>
    <col min="4" max="6" width="11.1796875" bestFit="1" customWidth="1"/>
    <col min="7" max="9" width="10.36328125" bestFit="1" customWidth="1"/>
    <col min="10" max="10" width="10.7265625" bestFit="1" customWidth="1"/>
    <col min="11" max="11" width="10.36328125" bestFit="1" customWidth="1"/>
    <col min="12" max="12" width="13.36328125" bestFit="1" customWidth="1"/>
    <col min="13" max="13" width="10.7265625" bestFit="1" customWidth="1"/>
    <col min="14" max="14" width="10.36328125" bestFit="1" customWidth="1"/>
  </cols>
  <sheetData>
    <row r="5" spans="2:14" x14ac:dyDescent="0.35">
      <c r="B5" s="283" t="str">
        <f>"Rario Analysis-"&amp;'Data Sheet'!B1</f>
        <v>Rario Analysis-TATA CONSULTANCY SERVICES LTD</v>
      </c>
      <c r="C5" s="283"/>
      <c r="D5" s="283"/>
      <c r="E5" s="283"/>
      <c r="F5" s="283"/>
      <c r="G5" s="283"/>
      <c r="H5" s="283"/>
      <c r="I5" s="283"/>
      <c r="J5" s="283"/>
      <c r="K5" s="283"/>
      <c r="L5" s="283"/>
      <c r="M5" s="283"/>
      <c r="N5" s="283"/>
    </row>
    <row r="6" spans="2:14" x14ac:dyDescent="0.35">
      <c r="B6" s="68" t="s">
        <v>93</v>
      </c>
      <c r="C6" s="48"/>
      <c r="D6" s="49">
        <f>'Historicail Financial Statement'!D4</f>
        <v>43555</v>
      </c>
      <c r="E6" s="49">
        <f>'Historicail Financial Statement'!E4</f>
        <v>43921</v>
      </c>
      <c r="F6" s="49">
        <f>'Historicail Financial Statement'!F4</f>
        <v>44286</v>
      </c>
      <c r="G6" s="49">
        <f>'Historicail Financial Statement'!G4</f>
        <v>44651</v>
      </c>
      <c r="H6" s="49">
        <f>'Historicail Financial Statement'!H4</f>
        <v>45016</v>
      </c>
      <c r="I6" s="49">
        <f>'Historicail Financial Statement'!I4</f>
        <v>45382</v>
      </c>
      <c r="J6" s="49">
        <f>'Historicail Financial Statement'!J4</f>
        <v>45747</v>
      </c>
      <c r="K6" s="49">
        <f>'Historicail Financial Statement'!K4</f>
        <v>46112</v>
      </c>
      <c r="L6" s="51" t="s">
        <v>154</v>
      </c>
      <c r="M6" s="51" t="s">
        <v>156</v>
      </c>
      <c r="N6" s="51" t="s">
        <v>155</v>
      </c>
    </row>
    <row r="8" spans="2:14" x14ac:dyDescent="0.35">
      <c r="B8" t="s">
        <v>128</v>
      </c>
      <c r="D8" t="str">
        <f>'Historicail Financial Statement'!D8</f>
        <v>-</v>
      </c>
      <c r="E8" s="32">
        <f>'Historicail Financial Statement'!E8</f>
        <v>7.1594873790650215E-2</v>
      </c>
      <c r="F8" s="32">
        <f>'Historicail Financial Statement'!F8</f>
        <v>4.6053176509566862E-2</v>
      </c>
      <c r="G8" s="32">
        <f>'Historicail Financial Statement'!G8</f>
        <v>0.1679711530847805</v>
      </c>
      <c r="H8" s="32">
        <f>'Historicail Financial Statement'!H8</f>
        <v>0.17576686796624852</v>
      </c>
      <c r="I8" s="32">
        <f>'Historicail Financial Statement'!I8</f>
        <v>6.8460644554639849E-2</v>
      </c>
      <c r="J8" s="32">
        <f>'Historicail Financial Statement'!J8</f>
        <v>5.9906265437351891E-2</v>
      </c>
      <c r="K8" s="32">
        <f>'Historicail Financial Statement'!K8</f>
        <v>4.581237956478823E-2</v>
      </c>
      <c r="M8" s="32">
        <f>AVERAGE(E8:K8)</f>
        <v>9.0795051558289444E-2</v>
      </c>
      <c r="N8" s="32">
        <f>MEDIAN(E8:K8)</f>
        <v>6.8460644554639849E-2</v>
      </c>
    </row>
    <row r="9" spans="2:14" x14ac:dyDescent="0.35">
      <c r="B9" t="s">
        <v>129</v>
      </c>
      <c r="E9" s="32">
        <f>'Historicail Financial Statement'!E17/'Historicail Financial Statement'!D17-1</f>
        <v>6.5888725763175282E-2</v>
      </c>
      <c r="F9" s="32">
        <f>'Historicail Financial Statement'!F17/'Historicail Financial Statement'!E17-1</f>
        <v>0.10536939846588611</v>
      </c>
      <c r="G9" s="32">
        <f>'Historicail Financial Statement'!G17/'Historicail Financial Statement'!F17-1</f>
        <v>0.13988312636961275</v>
      </c>
      <c r="H9" s="32">
        <f>'Historicail Financial Statement'!H17/'Historicail Financial Statement'!G17-1</f>
        <v>0.11689315264715305</v>
      </c>
      <c r="I9" s="32">
        <f>'Historicail Financial Statement'!I17/'Historicail Financial Statement'!H17-1</f>
        <v>8.4999746873892557E-2</v>
      </c>
      <c r="J9" s="32">
        <f>'Historicail Financial Statement'!J17/'Historicail Financial Statement'!I17-1</f>
        <v>4.8385591638671066E-2</v>
      </c>
      <c r="K9" s="32">
        <f>'Historicail Financial Statement'!K17/'Historicail Financial Statement'!J17-1</f>
        <v>7.4042755203465482E-2</v>
      </c>
      <c r="M9" s="32">
        <f t="shared" ref="M9:M12" si="0">AVERAGE(E9:K9)</f>
        <v>9.0780356708836621E-2</v>
      </c>
      <c r="N9" s="32">
        <f t="shared" ref="N9:N12" si="1">MEDIAN(E9:K9)</f>
        <v>8.4999746873892557E-2</v>
      </c>
    </row>
    <row r="10" spans="2:14" x14ac:dyDescent="0.35">
      <c r="B10" t="s">
        <v>130</v>
      </c>
      <c r="E10" s="5">
        <f>'Historicail Financial Statement'!E23/'Historicail Financial Statement'!D23-1</f>
        <v>3.0173564753003923E-2</v>
      </c>
      <c r="F10" s="5">
        <f>'Historicail Financial Statement'!F23/'Historicail Financial Statement'!E23-1</f>
        <v>0.10111456713322964</v>
      </c>
      <c r="G10" s="5">
        <f>'Historicail Financial Statement'!G23/'Historicail Financial Statement'!F23-1</f>
        <v>0.14058049480944423</v>
      </c>
      <c r="H10" s="5">
        <f>'Historicail Financial Statement'!H23/'Historicail Financial Statement'!G23-1</f>
        <v>0.11937341341093433</v>
      </c>
      <c r="I10" s="5">
        <f>'Historicail Financial Statement'!I23/'Historicail Financial Statement'!H23-1</f>
        <v>9.3552371996976191E-2</v>
      </c>
      <c r="J10" s="5">
        <f>'Historicail Financial Statement'!J23/'Historicail Financial Statement'!I23-1</f>
        <v>4.8119235892161605E-2</v>
      </c>
      <c r="K10" s="5">
        <f>'Historicail Financial Statement'!K23/'Historicail Financial Statement'!J23-1</f>
        <v>7.5170916110351538E-2</v>
      </c>
      <c r="M10" s="32">
        <f t="shared" si="0"/>
        <v>8.6869223443728785E-2</v>
      </c>
      <c r="N10" s="32">
        <f t="shared" si="1"/>
        <v>9.3552371996976191E-2</v>
      </c>
    </row>
    <row r="11" spans="2:14" x14ac:dyDescent="0.35">
      <c r="B11" t="s">
        <v>131</v>
      </c>
      <c r="E11" s="5">
        <f>'Historicail Financial Statement'!E38/'Historicail Financial Statement'!D38-1</f>
        <v>2.804004815917871E-2</v>
      </c>
      <c r="F11" s="5">
        <f>'Historicail Financial Statement'!F38/'Historicail Financial Statement'!E38-1</f>
        <v>3.5442413782476034E-3</v>
      </c>
      <c r="G11" s="5">
        <f>'Historicail Financial Statement'!G38/'Historicail Financial Statement'!F38-1</f>
        <v>0.18079356304895278</v>
      </c>
      <c r="H11" s="5">
        <f>'Historicail Financial Statement'!H38/'Historicail Financial Statement'!G38-1</f>
        <v>0.10023667715675311</v>
      </c>
      <c r="I11" s="5">
        <f>'Historicail Financial Statement'!I38/'Historicail Financial Statement'!H38-1</f>
        <v>8.9733588634375749E-2</v>
      </c>
      <c r="J11" s="5">
        <f>'Historicail Financial Statement'!J38/'Historicail Financial Statement'!I38-1</f>
        <v>5.8526215319204322E-2</v>
      </c>
      <c r="K11" s="5">
        <f>'Historicail Financial Statement'!K38/'Historicail Financial Statement'!J38-1</f>
        <v>1.3463942455478772E-2</v>
      </c>
      <c r="M11" s="32">
        <f t="shared" si="0"/>
        <v>6.7762610878884438E-2</v>
      </c>
      <c r="N11" s="32">
        <f t="shared" si="1"/>
        <v>5.8526215319204322E-2</v>
      </c>
    </row>
    <row r="12" spans="2:14" x14ac:dyDescent="0.35">
      <c r="B12" t="s">
        <v>132</v>
      </c>
      <c r="E12" s="5">
        <f>'Historicail Financial Statement'!E46/'Historicail Financial Statement'!D46-1</f>
        <v>1.4333333333333331</v>
      </c>
      <c r="F12" s="5">
        <f>'Historicail Financial Statement'!F46/'Historicail Financial Statement'!E46-1</f>
        <v>-0.4789921724758669</v>
      </c>
      <c r="G12" s="5">
        <f>'Historicail Financial Statement'!G46/'Historicail Financial Statement'!F46-1</f>
        <v>0.13158195629338221</v>
      </c>
      <c r="H12" s="5">
        <f>'Historicail Financial Statement'!H46/'Historicail Financial Statement'!G46-1</f>
        <v>1.6744186046511627</v>
      </c>
      <c r="I12" s="5">
        <f>'Historicail Financial Statement'!I46/'Historicail Financial Statement'!H46-1</f>
        <v>-0.36504021920516316</v>
      </c>
      <c r="J12" s="5">
        <f>'Historicail Financial Statement'!J46/'Historicail Financial Statement'!I46-1</f>
        <v>0.72602739726027399</v>
      </c>
      <c r="K12" s="5">
        <f>'Historicail Financial Statement'!K46/'Historicail Financial Statement'!J46-1</f>
        <v>-0.12698412698412698</v>
      </c>
      <c r="M12" s="32">
        <f t="shared" si="0"/>
        <v>0.42776353898185632</v>
      </c>
      <c r="N12" s="32">
        <f t="shared" si="1"/>
        <v>0.13158195629338221</v>
      </c>
    </row>
    <row r="13" spans="2:14" x14ac:dyDescent="0.35">
      <c r="B13" s="53"/>
      <c r="C13" s="53"/>
      <c r="D13" s="53"/>
      <c r="E13" s="53"/>
      <c r="F13" s="53"/>
      <c r="G13" s="53"/>
      <c r="H13" s="53"/>
      <c r="I13" s="53"/>
      <c r="J13" s="53"/>
      <c r="K13" s="53"/>
      <c r="L13" s="53"/>
      <c r="M13" s="54"/>
      <c r="N13" s="54"/>
    </row>
    <row r="14" spans="2:14" x14ac:dyDescent="0.35">
      <c r="B14" t="s">
        <v>133</v>
      </c>
      <c r="D14" s="5">
        <f>'Historicail Financial Statement'!D13</f>
        <v>0.98450120508251227</v>
      </c>
      <c r="E14" s="5">
        <f>'Historicail Financial Statement'!E13</f>
        <v>0.98786229921821733</v>
      </c>
      <c r="F14" s="5">
        <f>'Historicail Financial Statement'!F13</f>
        <v>0.99109497676288394</v>
      </c>
      <c r="G14" s="5">
        <f>'Historicail Financial Statement'!G13</f>
        <v>0.99393493747196926</v>
      </c>
      <c r="H14" s="5">
        <f>'Historicail Financial Statement'!H13</f>
        <v>0.99165698267526547</v>
      </c>
      <c r="I14" s="5">
        <f>'Historicail Financial Statement'!I13</f>
        <v>0.98463218109285033</v>
      </c>
      <c r="J14" s="5">
        <f>'Historicail Financial Statement'!J13</f>
        <v>0.95437953345553106</v>
      </c>
      <c r="K14" s="5">
        <f>'Historicail Financial Statement'!K13</f>
        <v>0.98352564030544409</v>
      </c>
      <c r="M14" s="32">
        <f t="shared" ref="M14:M18" si="2">AVERAGE(E14:K14)</f>
        <v>0.98386950728316591</v>
      </c>
      <c r="N14" s="32">
        <f t="shared" ref="N14:N18" si="3">MEDIAN(E14:K14)</f>
        <v>0.98786229921821733</v>
      </c>
    </row>
    <row r="15" spans="2:14" x14ac:dyDescent="0.35">
      <c r="B15" t="s">
        <v>134</v>
      </c>
      <c r="D15" s="5">
        <f>'Historicail Financial Statement'!D18</f>
        <v>0.26973365286795981</v>
      </c>
      <c r="E15" s="5">
        <f>'Historicail Financial Statement'!E18</f>
        <v>0.26829734499741953</v>
      </c>
      <c r="F15" s="5">
        <f>'Historicail Financial Statement'!F18</f>
        <v>0.28351108864213626</v>
      </c>
      <c r="G15" s="5">
        <f>'Historicail Financial Statement'!G18</f>
        <v>0.27669305464292793</v>
      </c>
      <c r="H15" s="5">
        <f>'Historicail Financial Statement'!H18</f>
        <v>0.26283831134845514</v>
      </c>
      <c r="I15" s="5">
        <f>'Historicail Financial Statement'!I18</f>
        <v>0.26690688396923118</v>
      </c>
      <c r="J15" s="5">
        <f>'Historicail Financial Statement'!J18</f>
        <v>0.26400573389105608</v>
      </c>
      <c r="K15" s="5">
        <f>'Historicail Financial Statement'!K18</f>
        <v>0.27113223304534101</v>
      </c>
      <c r="M15" s="32">
        <f t="shared" si="2"/>
        <v>0.27048352150522387</v>
      </c>
      <c r="N15" s="32">
        <f t="shared" si="3"/>
        <v>0.26829734499741953</v>
      </c>
    </row>
    <row r="16" spans="2:14" x14ac:dyDescent="0.35">
      <c r="B16" t="s">
        <v>108</v>
      </c>
      <c r="D16" s="5">
        <f>'Historicail Financial Statement'!D24</f>
        <v>0.2556959778237507</v>
      </c>
      <c r="E16" s="5">
        <f>'Historicail Financial Statement'!E24</f>
        <v>0.24581233394287316</v>
      </c>
      <c r="F16" s="5">
        <f>'Historicail Financial Statement'!F24</f>
        <v>0.25875122581116722</v>
      </c>
      <c r="G16" s="5">
        <f>'Historicail Financial Statement'!G24</f>
        <v>0.25268312525423198</v>
      </c>
      <c r="H16" s="5">
        <f>'Historicail Financial Statement'!H24</f>
        <v>0.24056365265370933</v>
      </c>
      <c r="I16" s="5">
        <f>'Historicail Financial Statement'!I24</f>
        <v>0.24621304894704288</v>
      </c>
      <c r="J16" s="5">
        <f>'Historicail Financial Statement'!J24</f>
        <v>0.24347495730914445</v>
      </c>
      <c r="K16" s="5">
        <f>'Historicail Financial Statement'!K24</f>
        <v>0.25030990071941905</v>
      </c>
      <c r="M16" s="32">
        <f t="shared" si="2"/>
        <v>0.24825832066251255</v>
      </c>
      <c r="N16" s="32">
        <f t="shared" si="3"/>
        <v>0.24621304894704288</v>
      </c>
    </row>
    <row r="17" spans="2:14" x14ac:dyDescent="0.35">
      <c r="B17" t="s">
        <v>112</v>
      </c>
      <c r="D17" s="5">
        <f>'Historicail Financial Statement'!D33</f>
        <v>0.2837781555751282</v>
      </c>
      <c r="E17" s="5">
        <f>'Historicail Financial Statement'!E33</f>
        <v>0.26918298300721888</v>
      </c>
      <c r="F17" s="5">
        <f>'Historicail Financial Statement'!F33</f>
        <v>0.26654159839685215</v>
      </c>
      <c r="G17" s="5">
        <f>'Historicail Financial Statement'!G33</f>
        <v>0.26954848399511877</v>
      </c>
      <c r="H17" s="5">
        <f>'Historicail Financial Statement'!H33</f>
        <v>0.25240621313060524</v>
      </c>
      <c r="I17" s="5">
        <f>'Historicail Financial Statement'!I33</f>
        <v>0.25736322765709257</v>
      </c>
      <c r="J17" s="5">
        <f>'Historicail Financial Statement'!J33</f>
        <v>0.25587488837712086</v>
      </c>
      <c r="K17" s="5">
        <f>'Historicail Financial Statement'!K33</f>
        <v>0.245250373566124</v>
      </c>
      <c r="M17" s="32">
        <f t="shared" si="2"/>
        <v>0.25945253830430465</v>
      </c>
      <c r="N17" s="32">
        <f t="shared" si="3"/>
        <v>0.25736322765709257</v>
      </c>
    </row>
    <row r="18" spans="2:14" x14ac:dyDescent="0.35">
      <c r="B18" t="s">
        <v>135</v>
      </c>
      <c r="D18" s="5">
        <f>'Historicail Financial Statement'!D39</f>
        <v>0.21549469831971216</v>
      </c>
      <c r="E18" s="5">
        <f>'Historicail Financial Statement'!E39</f>
        <v>0.20673594607165385</v>
      </c>
      <c r="F18" s="5">
        <f>'Historicail Financial Statement'!F39</f>
        <v>0.19833472410873632</v>
      </c>
      <c r="G18" s="5">
        <f>'Historicail Financial Statement'!G39</f>
        <v>0.20051211448001086</v>
      </c>
      <c r="H18" s="5">
        <f>'Historicail Financial Statement'!H39</f>
        <v>0.18763139919630265</v>
      </c>
      <c r="I18" s="5">
        <f>'Historicail Financial Statement'!I39</f>
        <v>0.19136712150207769</v>
      </c>
      <c r="J18" s="5">
        <f>'Historicail Financial Statement'!J39</f>
        <v>0.19111795209224358</v>
      </c>
      <c r="K18" s="5">
        <f>'Historicail Financial Statement'!K39</f>
        <v>0.18520640698671639</v>
      </c>
      <c r="M18" s="32">
        <f t="shared" si="2"/>
        <v>0.19441509491967732</v>
      </c>
      <c r="N18" s="32">
        <f t="shared" si="3"/>
        <v>0.19136712150207769</v>
      </c>
    </row>
    <row r="19" spans="2:14" x14ac:dyDescent="0.35">
      <c r="B19" s="53"/>
      <c r="C19" s="53"/>
      <c r="D19" s="53"/>
      <c r="E19" s="53"/>
      <c r="F19" s="53"/>
      <c r="G19" s="53"/>
      <c r="H19" s="53"/>
      <c r="I19" s="53"/>
      <c r="J19" s="53"/>
      <c r="K19" s="53"/>
      <c r="L19" s="53"/>
      <c r="M19" s="54"/>
      <c r="N19" s="54"/>
    </row>
    <row r="20" spans="2:14" x14ac:dyDescent="0.35">
      <c r="B20" t="s">
        <v>136</v>
      </c>
      <c r="D20" s="5">
        <f>'Historicail Financial Statement'!D16</f>
        <v>0.71476755221455246</v>
      </c>
      <c r="E20" s="5">
        <f>'Historicail Financial Statement'!E16</f>
        <v>0.7195649542207978</v>
      </c>
      <c r="F20" s="5">
        <f>'Historicail Financial Statement'!F16</f>
        <v>0.70758388812074768</v>
      </c>
      <c r="G20" s="5">
        <f>'Historicail Financial Statement'!G16</f>
        <v>0.71724188282904133</v>
      </c>
      <c r="H20" s="5">
        <f>'Historicail Financial Statement'!H16</f>
        <v>0.72881867132681033</v>
      </c>
      <c r="I20" s="5">
        <f>'Historicail Financial Statement'!I16</f>
        <v>0.71772529712361921</v>
      </c>
      <c r="J20" s="5">
        <f>'Historicail Financial Statement'!J16</f>
        <v>0.69037379956447498</v>
      </c>
      <c r="K20" s="5">
        <f>'Historicail Financial Statement'!K16</f>
        <v>0.71239340726010314</v>
      </c>
      <c r="M20" s="32">
        <f t="shared" ref="M20:M22" si="4">AVERAGE(E20:K20)</f>
        <v>0.71338598577794199</v>
      </c>
      <c r="N20" s="32">
        <f t="shared" ref="N20:N22" si="5">MEDIAN(E20:K20)</f>
        <v>0.71724188282904133</v>
      </c>
    </row>
    <row r="21" spans="2:14" x14ac:dyDescent="0.35">
      <c r="B21" t="s">
        <v>137</v>
      </c>
      <c r="D21" s="5">
        <f>'Historicail Financial Statement'!D21</f>
        <v>1.4037675044209118E-2</v>
      </c>
      <c r="E21" s="5">
        <f>'Historicail Financial Statement'!E21</f>
        <v>2.248501105454638E-2</v>
      </c>
      <c r="F21" s="5">
        <f>'Historicail Financial Statement'!F21</f>
        <v>2.4759862830969016E-2</v>
      </c>
      <c r="G21" s="5">
        <f>'Historicail Financial Statement'!G21</f>
        <v>2.4009929388695932E-2</v>
      </c>
      <c r="H21" s="5">
        <f>'Historicail Financial Statement'!H21</f>
        <v>2.2274658694745805E-2</v>
      </c>
      <c r="I21" s="5">
        <f>'Historicail Financial Statement'!I21</f>
        <v>2.0693835022188273E-2</v>
      </c>
      <c r="J21" s="5">
        <f>'Historicail Financial Statement'!J21</f>
        <v>2.053077658191161E-2</v>
      </c>
      <c r="K21" s="5">
        <f>'Historicail Financial Statement'!K21</f>
        <v>2.0822332325921931E-2</v>
      </c>
      <c r="M21" s="32">
        <f t="shared" si="4"/>
        <v>2.222520084271128E-2</v>
      </c>
      <c r="N21" s="32">
        <f t="shared" si="5"/>
        <v>2.2274658694745805E-2</v>
      </c>
    </row>
    <row r="22" spans="2:14" x14ac:dyDescent="0.35">
      <c r="B22" t="s">
        <v>138</v>
      </c>
      <c r="D22" s="5">
        <f t="shared" ref="D22:K22" si="6">D17</f>
        <v>0.2837781555751282</v>
      </c>
      <c r="E22" s="5">
        <f t="shared" si="6"/>
        <v>0.26918298300721888</v>
      </c>
      <c r="F22" s="5">
        <f t="shared" si="6"/>
        <v>0.26654159839685215</v>
      </c>
      <c r="G22" s="5">
        <f t="shared" si="6"/>
        <v>0.26954848399511877</v>
      </c>
      <c r="H22" s="5">
        <f t="shared" si="6"/>
        <v>0.25240621313060524</v>
      </c>
      <c r="I22" s="5">
        <f t="shared" si="6"/>
        <v>0.25736322765709257</v>
      </c>
      <c r="J22" s="5">
        <f t="shared" si="6"/>
        <v>0.25587488837712086</v>
      </c>
      <c r="K22" s="5">
        <f t="shared" si="6"/>
        <v>0.245250373566124</v>
      </c>
      <c r="M22" s="32">
        <f t="shared" si="4"/>
        <v>0.25945253830430465</v>
      </c>
      <c r="N22" s="32">
        <f t="shared" si="5"/>
        <v>0.25736322765709257</v>
      </c>
    </row>
    <row r="23" spans="2:14" x14ac:dyDescent="0.35">
      <c r="B23" s="53"/>
      <c r="C23" s="53"/>
      <c r="D23" s="53"/>
      <c r="E23" s="53"/>
      <c r="F23" s="53"/>
      <c r="G23" s="53"/>
      <c r="H23" s="53"/>
      <c r="I23" s="53"/>
      <c r="J23" s="53"/>
      <c r="K23" s="53"/>
      <c r="L23" s="53"/>
      <c r="M23" s="53"/>
      <c r="N23" s="53"/>
    </row>
    <row r="24" spans="2:14" x14ac:dyDescent="0.35">
      <c r="B24" t="s">
        <v>139</v>
      </c>
      <c r="D24" s="5">
        <f>'Historicail Financial Statement'!D23/SUM('Historicail Financial Statement'!D53:D55)</f>
        <v>0.41839835545426107</v>
      </c>
      <c r="E24" s="5">
        <f>'Historicail Financial Statement'!E23/SUM('Historicail Financial Statement'!E53:E55)</f>
        <v>0.41798483206933912</v>
      </c>
      <c r="F24" s="5">
        <f>'Historicail Financial Statement'!F23/SUM('Historicail Financial Statement'!F53:F55)</f>
        <v>0.4508320244513308</v>
      </c>
      <c r="G24" s="5">
        <f>'Historicail Financial Statement'!G23/SUM('Historicail Financial Statement'!G53:G55)</f>
        <v>0.4997369968130202</v>
      </c>
      <c r="H24" s="5">
        <f>'Historicail Financial Statement'!H23/SUM('Historicail Financial Statement'!H53:H55)</f>
        <v>0.55280699608610573</v>
      </c>
      <c r="I24" s="5">
        <f>'Historicail Financial Statement'!I23/SUM('Historicail Financial Statement'!I53:I55)</f>
        <v>0.60208100700436507</v>
      </c>
      <c r="J24" s="5">
        <f>'Historicail Financial Statement'!J23/SUM('Historicail Financial Statement'!J53:J55)</f>
        <v>0.59689096286054466</v>
      </c>
      <c r="K24" s="5">
        <f>'Historicail Financial Statement'!K23/SUM('Historicail Financial Statement'!K53:K55)</f>
        <v>0.5639243016123453</v>
      </c>
      <c r="M24" s="32">
        <f t="shared" ref="M24:M28" si="7">AVERAGE(E24:K24)</f>
        <v>0.52632244584243593</v>
      </c>
      <c r="N24" s="32">
        <f t="shared" ref="N24:N28" si="8">MEDIAN(E24:K24)</f>
        <v>0.55280699608610573</v>
      </c>
    </row>
    <row r="25" spans="2:14" x14ac:dyDescent="0.35">
      <c r="B25" t="s">
        <v>140</v>
      </c>
      <c r="D25" s="5">
        <f>'Historicail Financial Statement'!D49</f>
        <v>0.64355870984094798</v>
      </c>
      <c r="E25" s="5">
        <f>'Historicail Financial Statement'!E49</f>
        <v>0.1563164545258422</v>
      </c>
      <c r="F25" s="5">
        <f>'Historicail Financial Statement'!F49</f>
        <v>0.56820834101099438</v>
      </c>
      <c r="G25" s="5">
        <f>'Historicail Financial Statement'!G49</f>
        <v>0.59067856121095486</v>
      </c>
      <c r="H25" s="5">
        <f>'Historicail Financial Statement'!H49</f>
        <v>5.035103893341053E-3</v>
      </c>
      <c r="I25" s="5">
        <f>'Historicail Financial Statement'!I49</f>
        <v>0.42675546107290829</v>
      </c>
      <c r="J25" s="5">
        <f>'Historicail Financial Statement'!J49</f>
        <v>6.5270405967580047E-2</v>
      </c>
      <c r="K25" s="5">
        <f>'Historicail Financial Statement'!K49</f>
        <v>0.19480729566870225</v>
      </c>
      <c r="M25" s="32">
        <f t="shared" si="7"/>
        <v>0.28672451762147472</v>
      </c>
      <c r="N25" s="32">
        <f t="shared" si="8"/>
        <v>0.19480729566870225</v>
      </c>
    </row>
    <row r="26" spans="2:14" x14ac:dyDescent="0.35">
      <c r="B26" t="s">
        <v>141</v>
      </c>
      <c r="D26" s="5">
        <f>'Historicail Financial Statement'!D38/SUM('Historicail Financial Statement'!D53:D54)</f>
        <v>0.35286094403327145</v>
      </c>
      <c r="E26" s="5">
        <f>'Historicail Financial Statement'!E38/SUM('Historicail Financial Statement'!E53:E54)</f>
        <v>0.38569526662387371</v>
      </c>
      <c r="F26" s="5">
        <f>'Historicail Financial Statement'!F38/SUM('Historicail Financial Statement'!F53:F54)</f>
        <v>0.37673110964562145</v>
      </c>
      <c r="G26" s="5">
        <f>'Historicail Financial Statement'!G38/SUM('Historicail Financial Statement'!G53:G54)</f>
        <v>0.43133757390143485</v>
      </c>
      <c r="H26" s="5">
        <f>'Historicail Financial Statement'!H38/SUM('Historicail Financial Statement'!H53:H54)</f>
        <v>0.46782933734406795</v>
      </c>
      <c r="I26" s="5">
        <f>'Historicail Financial Statement'!I38/SUM('Historicail Financial Statement'!I53:I54)</f>
        <v>0.50944313673485175</v>
      </c>
      <c r="J26" s="5">
        <f>'Historicail Financial Statement'!J38/SUM('Historicail Financial Statement'!J53:J54)</f>
        <v>0.514975304993879</v>
      </c>
      <c r="K26" s="5">
        <f>'Historicail Financial Statement'!K38/SUM('Historicail Financial Statement'!K53:K54)</f>
        <v>0.46115255501678476</v>
      </c>
      <c r="M26" s="32">
        <f t="shared" si="7"/>
        <v>0.44959489775150185</v>
      </c>
      <c r="N26" s="32">
        <f t="shared" si="8"/>
        <v>0.46115255501678476</v>
      </c>
    </row>
    <row r="27" spans="2:14" x14ac:dyDescent="0.35">
      <c r="B27" t="s">
        <v>142</v>
      </c>
      <c r="D27" s="5">
        <f>D25*D26</f>
        <v>0.22708673389531112</v>
      </c>
      <c r="E27" s="5">
        <f t="shared" ref="E27:K27" si="9">E25*E26</f>
        <v>6.0290516606043336E-2</v>
      </c>
      <c r="F27" s="5">
        <f t="shared" si="9"/>
        <v>0.21406175881896958</v>
      </c>
      <c r="G27" s="5">
        <f t="shared" si="9"/>
        <v>0.25478185754832344</v>
      </c>
      <c r="H27" s="5">
        <f t="shared" si="9"/>
        <v>2.3555693178802816E-3</v>
      </c>
      <c r="I27" s="5">
        <f t="shared" si="9"/>
        <v>0.21740764070771032</v>
      </c>
      <c r="J27" s="5">
        <f t="shared" si="9"/>
        <v>3.3612647220228838E-2</v>
      </c>
      <c r="K27" s="5">
        <f t="shared" si="9"/>
        <v>8.9835882133532274E-2</v>
      </c>
      <c r="M27" s="32">
        <f t="shared" si="7"/>
        <v>0.12462083890752686</v>
      </c>
      <c r="N27" s="32">
        <f t="shared" si="8"/>
        <v>8.9835882133532274E-2</v>
      </c>
    </row>
    <row r="28" spans="2:14" x14ac:dyDescent="0.35">
      <c r="B28" t="s">
        <v>143</v>
      </c>
      <c r="D28" s="50">
        <f>'Historicail Financial Statement'!D23/'Historicail Financial Statement'!D26</f>
        <v>189.14141414141415</v>
      </c>
      <c r="E28" s="50">
        <f>'Historicail Financial Statement'!E23/'Historicail Financial Statement'!E26</f>
        <v>41.753246753246756</v>
      </c>
      <c r="F28" s="50">
        <f>'Historicail Financial Statement'!F23/'Historicail Financial Statement'!F26</f>
        <v>66.689167974882267</v>
      </c>
      <c r="G28" s="50">
        <f>'Historicail Financial Statement'!G23/'Historicail Financial Statement'!G26</f>
        <v>61.802295918367349</v>
      </c>
      <c r="H28" s="50">
        <f>'Historicail Financial Statement'!H23/'Historicail Financial Statement'!H26</f>
        <v>69.623876765083438</v>
      </c>
      <c r="I28" s="50">
        <f>'Historicail Financial Statement'!I23/'Historicail Financial Statement'!I26</f>
        <v>76.235218508997434</v>
      </c>
      <c r="J28" s="50">
        <f>'Historicail Financial Statement'!J23/'Historicail Financial Statement'!J26</f>
        <v>78.096733668341713</v>
      </c>
      <c r="K28" s="50">
        <f>'Historicail Financial Statement'!K23/'Historicail Financial Statement'!K26</f>
        <v>54.472697636511818</v>
      </c>
      <c r="M28" s="50">
        <f t="shared" si="7"/>
        <v>64.096176746490116</v>
      </c>
      <c r="N28" s="50">
        <f t="shared" si="8"/>
        <v>66.689167974882267</v>
      </c>
    </row>
    <row r="29" spans="2:14" x14ac:dyDescent="0.35">
      <c r="B29" s="53"/>
      <c r="C29" s="53"/>
      <c r="D29" s="53"/>
      <c r="E29" s="53"/>
      <c r="F29" s="53"/>
      <c r="G29" s="53"/>
      <c r="H29" s="53"/>
      <c r="I29" s="53"/>
      <c r="J29" s="53"/>
      <c r="K29" s="53"/>
      <c r="L29" s="53"/>
      <c r="M29" s="53"/>
      <c r="N29" s="53"/>
    </row>
    <row r="30" spans="2:14" x14ac:dyDescent="0.35">
      <c r="B30" t="s">
        <v>144</v>
      </c>
      <c r="D30" s="50">
        <f>'Historicail Financial Statement'!D7/'Historicail Financial Statement'!D65</f>
        <v>5.3559204271191403</v>
      </c>
      <c r="E30" s="50">
        <f>'Historicail Financial Statement'!E7/'Historicail Financial Statement'!E65</f>
        <v>5.1404755666186297</v>
      </c>
      <c r="F30" s="50">
        <f>'Historicail Financial Statement'!F7/'Historicail Financial Statement'!F65</f>
        <v>5.4581934239835102</v>
      </c>
      <c r="G30" s="50">
        <f>'Historicail Financial Statement'!G7/'Historicail Financial Statement'!G65</f>
        <v>4.5863190624252574</v>
      </c>
      <c r="H30" s="50">
        <f>'Historicail Financial Statement'!H7/'Historicail Financial Statement'!H65</f>
        <v>4.5133122472674865</v>
      </c>
      <c r="I30" s="50">
        <f>'Historicail Financial Statement'!I7/'Historicail Financial Statement'!I65</f>
        <v>4.4962017283535847</v>
      </c>
      <c r="J30" s="50">
        <f>'Historicail Financial Statement'!J7/'Historicail Financial Statement'!J65</f>
        <v>4.3241540493852249</v>
      </c>
      <c r="K30" s="50">
        <f>'Historicail Financial Statement'!K7/'Historicail Financial Statement'!K65</f>
        <v>3.9433647399356118</v>
      </c>
      <c r="M30" s="50">
        <f t="shared" ref="M30:M34" si="10">AVERAGE(E30:K30)</f>
        <v>4.6374315454241861</v>
      </c>
      <c r="N30" s="50">
        <f t="shared" ref="N30:N34" si="11">MEDIAN(E30:K30)</f>
        <v>4.5133122472674865</v>
      </c>
    </row>
    <row r="31" spans="2:14" x14ac:dyDescent="0.35">
      <c r="B31" t="s">
        <v>145</v>
      </c>
      <c r="D31" s="50">
        <f>'Historicail Financial Statement'!D7/'Historicail Financial Statement'!D56</f>
        <v>6.0043045135899646</v>
      </c>
      <c r="E31" s="50">
        <f>'Historicail Financial Statement'!E7/'Historicail Financial Statement'!E56</f>
        <v>5.6401696194343627</v>
      </c>
      <c r="F31" s="50">
        <f>'Historicail Financial Statement'!F7/'Historicail Financial Statement'!F56</f>
        <v>4.5905659322223462</v>
      </c>
      <c r="G31" s="50">
        <f>'Historicail Financial Statement'!G7/'Historicail Financial Statement'!G56</f>
        <v>4.3613164418768626</v>
      </c>
      <c r="H31" s="50">
        <f>'Historicail Financial Statement'!H7/'Historicail Financial Statement'!H56</f>
        <v>5.0385053746619883</v>
      </c>
      <c r="I31" s="50">
        <f>'Historicail Financial Statement'!I7/'Historicail Financial Statement'!I56</f>
        <v>5.129530258506878</v>
      </c>
      <c r="J31" s="50">
        <f>'Historicail Financial Statement'!J7/'Historicail Financial Statement'!J56</f>
        <v>4.6847580778334343</v>
      </c>
      <c r="K31" s="50">
        <f>'Historicail Financial Statement'!K7/'Historicail Financial Statement'!K56</f>
        <v>4.2625151650597024</v>
      </c>
      <c r="M31" s="50">
        <f t="shared" si="10"/>
        <v>4.8153372670850825</v>
      </c>
      <c r="N31" s="50">
        <f t="shared" si="11"/>
        <v>4.6847580778334343</v>
      </c>
    </row>
    <row r="32" spans="2:14" x14ac:dyDescent="0.35">
      <c r="B32" t="s">
        <v>47</v>
      </c>
      <c r="D32" s="50">
        <f>'Historicail Financial Statement'!D7/'Historicail Financial Statement'!D66</f>
        <v>14646.3</v>
      </c>
      <c r="E32" s="50">
        <f>'Historicail Financial Statement'!E7/'Historicail Financial Statement'!E66</f>
        <v>31389.8</v>
      </c>
      <c r="F32" s="50">
        <f>'Historicail Financial Statement'!F7/'Historicail Financial Statement'!F66</f>
        <v>20522.125</v>
      </c>
      <c r="G32" s="50">
        <f>'Historicail Financial Statement'!G7/'Historicail Financial Statement'!G66</f>
        <v>9587.7000000000007</v>
      </c>
      <c r="H32" s="50">
        <f>'Historicail Financial Statement'!H7/'Historicail Financial Statement'!H66</f>
        <v>8052.0714285714284</v>
      </c>
      <c r="I32" s="50">
        <f>'Historicail Financial Statement'!I7/'Historicail Financial Statement'!I66</f>
        <v>8603.3214285714294</v>
      </c>
      <c r="J32" s="50">
        <f>'Historicail Financial Statement'!J7/'Historicail Financial Statement'!J66</f>
        <v>12158.285714285714</v>
      </c>
      <c r="K32" s="50">
        <f>'Historicail Financial Statement'!K7/'Historicail Financial Statement'!K66</f>
        <v>9207.6206896551721</v>
      </c>
      <c r="M32" s="50">
        <f t="shared" si="10"/>
        <v>14217.274894440536</v>
      </c>
      <c r="N32" s="50">
        <f t="shared" si="11"/>
        <v>9587.7000000000007</v>
      </c>
    </row>
    <row r="33" spans="2:14" x14ac:dyDescent="0.35">
      <c r="B33" t="s">
        <v>146</v>
      </c>
      <c r="D33" s="50">
        <f>'Historicail Financial Statement'!D7/'Historicail Financial Statement'!D59</f>
        <v>11.917249796582588</v>
      </c>
      <c r="E33" s="50">
        <f>'Historicail Financial Statement'!E7/'Historicail Financial Statement'!E59</f>
        <v>7.4994743883792045</v>
      </c>
      <c r="F33" s="50">
        <f>'Historicail Financial Statement'!F7/'Historicail Financial Statement'!F59</f>
        <v>7.8101422387136674</v>
      </c>
      <c r="G33" s="50">
        <f>'Historicail Financial Statement'!G7/'Historicail Financial Statement'!G59</f>
        <v>9.0033805991172873</v>
      </c>
      <c r="H33" s="50">
        <f>'Historicail Financial Statement'!H7/'Historicail Financial Statement'!H59</f>
        <v>10.989909822081405</v>
      </c>
      <c r="I33" s="50">
        <f>'Historicail Financial Statement'!I7/'Historicail Financial Statement'!I59</f>
        <v>12.287951438481942</v>
      </c>
      <c r="J33" s="50">
        <f>'Historicail Financial Statement'!J7/'Historicail Financial Statement'!J59</f>
        <v>11.075521624083633</v>
      </c>
      <c r="K33" s="50">
        <f>'Historicail Financial Statement'!K7/'Historicail Financial Statement'!K59</f>
        <v>8.5193185081198362</v>
      </c>
      <c r="M33" s="50">
        <f t="shared" si="10"/>
        <v>9.5979569455681393</v>
      </c>
      <c r="N33" s="50">
        <f t="shared" si="11"/>
        <v>9.0033805991172873</v>
      </c>
    </row>
    <row r="34" spans="2:14" x14ac:dyDescent="0.35">
      <c r="B34" t="s">
        <v>147</v>
      </c>
      <c r="D34" s="50">
        <f>'Historicail Financial Statement'!D7/SUM('Historicail Financial Statement'!D53:D54)</f>
        <v>1.637446056838763</v>
      </c>
      <c r="E34" s="50">
        <f>'Historicail Financial Statement'!E7/SUM('Historicail Financial Statement'!E53:E54)</f>
        <v>1.8656420131707201</v>
      </c>
      <c r="F34" s="50">
        <f>'Historicail Financial Statement'!F7/SUM('Historicail Financial Statement'!F53:F54)</f>
        <v>1.8994712667615379</v>
      </c>
      <c r="G34" s="50">
        <f>'Historicail Financial Statement'!G7/SUM('Historicail Financial Statement'!G53:G54)</f>
        <v>2.1511796183488707</v>
      </c>
      <c r="H34" s="50">
        <f>'Historicail Financial Statement'!H7/SUM('Historicail Financial Statement'!H53:H54)</f>
        <v>2.4933424754489959</v>
      </c>
      <c r="I34" s="50">
        <f>'Historicail Financial Statement'!I7/SUM('Historicail Financial Statement'!I53:I54)</f>
        <v>2.6621246781376744</v>
      </c>
      <c r="J34" s="50">
        <f>'Historicail Financial Statement'!J7/SUM('Historicail Financial Statement'!J53:J54)</f>
        <v>2.6945417704419774</v>
      </c>
      <c r="K34" s="50">
        <f>'Historicail Financial Statement'!K7/SUM('Historicail Financial Statement'!K53:K54)</f>
        <v>2.4899384558000746</v>
      </c>
      <c r="M34" s="50">
        <f t="shared" si="10"/>
        <v>2.3223200397299792</v>
      </c>
      <c r="N34" s="50">
        <f t="shared" si="11"/>
        <v>2.4899384558000746</v>
      </c>
    </row>
    <row r="35" spans="2:14" x14ac:dyDescent="0.35">
      <c r="B35" s="57"/>
      <c r="C35" s="57"/>
      <c r="D35" s="57"/>
      <c r="E35" s="57"/>
      <c r="F35" s="57"/>
      <c r="G35" s="57"/>
      <c r="H35" s="57"/>
      <c r="I35" s="57"/>
      <c r="J35" s="57"/>
      <c r="K35" s="57"/>
      <c r="L35" s="57"/>
      <c r="M35" s="57"/>
      <c r="N35" s="57"/>
    </row>
    <row r="36" spans="2:14" x14ac:dyDescent="0.35">
      <c r="B36" s="55"/>
      <c r="C36" s="55"/>
      <c r="D36" s="55"/>
      <c r="E36" s="55"/>
      <c r="F36" s="55"/>
      <c r="G36" s="55"/>
      <c r="H36" s="55"/>
      <c r="I36" s="55"/>
      <c r="J36" s="55"/>
      <c r="K36" s="55"/>
      <c r="L36" s="55"/>
      <c r="M36" s="55"/>
      <c r="N36" s="55"/>
    </row>
    <row r="37" spans="2:14" x14ac:dyDescent="0.35">
      <c r="B37" t="s">
        <v>46</v>
      </c>
      <c r="D37" s="50">
        <f>365/D30</f>
        <v>68.148884018489312</v>
      </c>
      <c r="E37" s="50">
        <f t="shared" ref="E37:K37" si="12">365/E30</f>
        <v>71.005103568675167</v>
      </c>
      <c r="F37" s="50">
        <f t="shared" si="12"/>
        <v>66.871943085815914</v>
      </c>
      <c r="G37" s="50">
        <f t="shared" si="12"/>
        <v>79.584519749262071</v>
      </c>
      <c r="H37" s="50">
        <f t="shared" si="12"/>
        <v>80.871869705222252</v>
      </c>
      <c r="I37" s="50">
        <f t="shared" si="12"/>
        <v>81.179631620678052</v>
      </c>
      <c r="J37" s="50">
        <f t="shared" si="12"/>
        <v>84.409573718099367</v>
      </c>
      <c r="K37" s="50">
        <f t="shared" si="12"/>
        <v>92.56054767228045</v>
      </c>
      <c r="M37" s="50">
        <f t="shared" ref="M37:M40" si="13">AVERAGE(E37:K37)</f>
        <v>79.497598445719049</v>
      </c>
      <c r="N37" s="50">
        <f t="shared" ref="N37:N40" si="14">MEDIAN(E37:K37)</f>
        <v>80.871869705222252</v>
      </c>
    </row>
    <row r="38" spans="2:14" x14ac:dyDescent="0.35">
      <c r="B38" t="s">
        <v>148</v>
      </c>
      <c r="D38" s="50">
        <f>365/D31</f>
        <v>60.789721636181149</v>
      </c>
      <c r="E38" s="50">
        <f t="shared" ref="E38:K38" si="15">365/E31</f>
        <v>64.714365813098524</v>
      </c>
      <c r="F38" s="50">
        <f t="shared" si="15"/>
        <v>79.510893730546911</v>
      </c>
      <c r="G38" s="50">
        <f t="shared" si="15"/>
        <v>83.690327190045565</v>
      </c>
      <c r="H38" s="50">
        <f t="shared" si="15"/>
        <v>72.442117822388212</v>
      </c>
      <c r="I38" s="50">
        <f t="shared" si="15"/>
        <v>71.156613102082659</v>
      </c>
      <c r="J38" s="50">
        <f t="shared" si="15"/>
        <v>77.912240917422565</v>
      </c>
      <c r="K38" s="50">
        <f t="shared" si="15"/>
        <v>85.630193879882114</v>
      </c>
      <c r="M38" s="50">
        <f t="shared" si="13"/>
        <v>76.436678922209495</v>
      </c>
      <c r="N38" s="50">
        <f t="shared" si="14"/>
        <v>77.912240917422565</v>
      </c>
    </row>
    <row r="39" spans="2:14" x14ac:dyDescent="0.35">
      <c r="B39" t="s">
        <v>149</v>
      </c>
      <c r="D39" s="50">
        <f>365/D32</f>
        <v>2.4920969801246733E-2</v>
      </c>
      <c r="E39" s="50">
        <f t="shared" ref="E39:K39" si="16">365/E32</f>
        <v>1.1627981063912482E-2</v>
      </c>
      <c r="F39" s="50">
        <f t="shared" si="16"/>
        <v>1.7785682525566917E-2</v>
      </c>
      <c r="G39" s="50">
        <f t="shared" si="16"/>
        <v>3.8069610021172956E-2</v>
      </c>
      <c r="H39" s="50">
        <f t="shared" si="16"/>
        <v>4.5329950589466775E-2</v>
      </c>
      <c r="I39" s="50">
        <f t="shared" si="16"/>
        <v>4.2425475210985789E-2</v>
      </c>
      <c r="J39" s="50">
        <f t="shared" si="16"/>
        <v>3.0020679607087465E-2</v>
      </c>
      <c r="K39" s="50">
        <f t="shared" si="16"/>
        <v>3.9641076919043824E-2</v>
      </c>
      <c r="M39" s="50">
        <f t="shared" si="13"/>
        <v>3.2128636562462308E-2</v>
      </c>
      <c r="N39" s="50">
        <f t="shared" si="14"/>
        <v>3.8069610021172956E-2</v>
      </c>
    </row>
    <row r="40" spans="2:14" x14ac:dyDescent="0.35">
      <c r="B40" t="s">
        <v>150</v>
      </c>
      <c r="D40" s="50">
        <f>SUM(D37,D39)-D38</f>
        <v>7.3840833521094069</v>
      </c>
      <c r="E40" s="50">
        <f t="shared" ref="E40:K40" si="17">SUM(E37,E39)-E38</f>
        <v>6.302365736640553</v>
      </c>
      <c r="F40" s="50">
        <f t="shared" si="17"/>
        <v>-12.621164962205427</v>
      </c>
      <c r="G40" s="50">
        <f t="shared" si="17"/>
        <v>-4.0677378307623258</v>
      </c>
      <c r="H40" s="50">
        <f t="shared" si="17"/>
        <v>8.4750818334235021</v>
      </c>
      <c r="I40" s="50">
        <f t="shared" si="17"/>
        <v>10.065443993806383</v>
      </c>
      <c r="J40" s="50">
        <f t="shared" si="17"/>
        <v>6.5273534802838924</v>
      </c>
      <c r="K40" s="50">
        <f t="shared" si="17"/>
        <v>6.9699948693173752</v>
      </c>
      <c r="M40" s="50">
        <f t="shared" si="13"/>
        <v>3.0930481600719935</v>
      </c>
      <c r="N40" s="50">
        <f t="shared" si="14"/>
        <v>6.5273534802838924</v>
      </c>
    </row>
    <row r="41" spans="2:14" x14ac:dyDescent="0.35">
      <c r="B41" s="53"/>
      <c r="C41" s="53"/>
      <c r="D41" s="53"/>
      <c r="E41" s="53"/>
      <c r="F41" s="53"/>
      <c r="G41" s="53"/>
      <c r="H41" s="53"/>
      <c r="I41" s="53"/>
      <c r="J41" s="53"/>
      <c r="K41" s="53"/>
      <c r="L41" s="53"/>
      <c r="M41" s="53"/>
      <c r="N41" s="53"/>
    </row>
    <row r="42" spans="2:14" x14ac:dyDescent="0.35">
      <c r="B42" t="s">
        <v>151</v>
      </c>
      <c r="D42" s="32">
        <f>'Historicail Financial Statement'!D76/'Historicail Financial Statement'!D7</f>
        <v>0.19522336699371173</v>
      </c>
      <c r="E42" s="32">
        <f>'Historicail Financial Statement'!E76/'Historicail Financial Statement'!E7</f>
        <v>0.20623896934673047</v>
      </c>
      <c r="F42" s="32">
        <f>'Historicail Financial Statement'!F76/'Historicail Financial Statement'!F7</f>
        <v>0.23634248402638616</v>
      </c>
      <c r="G42" s="32">
        <f>'Historicail Financial Statement'!G76/'Historicail Financial Statement'!G7</f>
        <v>0.20833463708710118</v>
      </c>
      <c r="H42" s="32">
        <f>'Historicail Financial Statement'!H76/'Historicail Financial Statement'!H7</f>
        <v>0.18613222861907761</v>
      </c>
      <c r="I42" s="32">
        <f>'Historicail Financial Statement'!I76/'Historicail Financial Statement'!I7</f>
        <v>0.18405682190848219</v>
      </c>
      <c r="J42" s="32">
        <f>'Historicail Financial Statement'!J76/'Historicail Financial Statement'!J7</f>
        <v>0.19155269383215051</v>
      </c>
      <c r="K42" s="32">
        <f>'Historicail Financial Statement'!K76/'Historicail Financial Statement'!K7</f>
        <v>0.1950932698177297</v>
      </c>
      <c r="M42" s="32">
        <f t="shared" ref="M42:M44" si="18">AVERAGE(E42:K42)</f>
        <v>0.20110730066252255</v>
      </c>
      <c r="N42" s="32">
        <f t="shared" ref="N42:N44" si="19">MEDIAN(E42:K42)</f>
        <v>0.1950932698177297</v>
      </c>
    </row>
    <row r="43" spans="2:14" x14ac:dyDescent="0.35">
      <c r="B43" t="s">
        <v>152</v>
      </c>
      <c r="D43" s="32">
        <f>'Historicail Financial Statement'!D76/'Historicail Financial Statement'!D70</f>
        <v>0.25103379250401664</v>
      </c>
      <c r="E43" s="32">
        <f>'Historicail Financial Statement'!E76/'Historicail Financial Statement'!E70</f>
        <v>0.26945649187942761</v>
      </c>
      <c r="F43" s="32">
        <f>'Historicail Financial Statement'!F76/'Historicail Financial Statement'!F70</f>
        <v>0.29849529201797032</v>
      </c>
      <c r="G43" s="32">
        <f>'Historicail Financial Statement'!G76/'Historicail Financial Statement'!G70</f>
        <v>0.28347903834691041</v>
      </c>
      <c r="H43" s="32">
        <f>'Historicail Financial Statement'!H76/'Historicail Financial Statement'!H70</f>
        <v>0.29375118123464394</v>
      </c>
      <c r="I43" s="32">
        <f>'Historicail Financial Statement'!I76/'Historicail Financial Statement'!I70</f>
        <v>0.30478717553893531</v>
      </c>
      <c r="J43" s="32">
        <f>'Historicail Financial Statement'!J76/'Historicail Financial Statement'!J70</f>
        <v>0.3082780225529313</v>
      </c>
      <c r="K43" s="32">
        <f>'Historicail Financial Statement'!K76/'Historicail Financial Statement'!K70</f>
        <v>0.28754684903983618</v>
      </c>
      <c r="M43" s="32">
        <f t="shared" si="18"/>
        <v>0.29225629294437933</v>
      </c>
      <c r="N43" s="32">
        <f t="shared" si="19"/>
        <v>0.29375118123464394</v>
      </c>
    </row>
    <row r="44" spans="2:14" x14ac:dyDescent="0.35">
      <c r="B44" t="s">
        <v>153</v>
      </c>
      <c r="D44" s="32">
        <f>'Historicail Financial Statement'!D76/'Historicail Financial Statement'!D55</f>
        <v>461.17741935483872</v>
      </c>
      <c r="E44" s="32">
        <f>'Historicail Financial Statement'!E76/'Historicail Financial Statement'!E55</f>
        <v>3.9599951064350378</v>
      </c>
      <c r="F44" s="32">
        <f>'Historicail Financial Statement'!F76/'Historicail Financial Statement'!F55</f>
        <v>4.9778062860808214</v>
      </c>
      <c r="G44" s="32">
        <f>'Historicail Financial Statement'!G76/'Historicail Financial Statement'!G55</f>
        <v>5.1098746482476338</v>
      </c>
      <c r="H44" s="32">
        <f>'Historicail Financial Statement'!H76/'Historicail Financial Statement'!H55</f>
        <v>5.4585067637877209</v>
      </c>
      <c r="I44" s="32">
        <f>'Historicail Financial Statement'!I76/'Historicail Financial Statement'!I55</f>
        <v>5.5277396833312551</v>
      </c>
      <c r="J44" s="32">
        <f>'Historicail Financial Statement'!J76/'Historicail Financial Statement'!J55</f>
        <v>5.2074105621805789</v>
      </c>
      <c r="K44" s="32">
        <f>'Historicail Financial Statement'!K76/'Historicail Financial Statement'!K55</f>
        <v>4.6170344766462819</v>
      </c>
      <c r="M44" s="32">
        <f t="shared" si="18"/>
        <v>4.9797667895299043</v>
      </c>
      <c r="N44" s="32">
        <f t="shared" si="19"/>
        <v>5.1098746482476338</v>
      </c>
    </row>
    <row r="45" spans="2:14" x14ac:dyDescent="0.35">
      <c r="B45" s="55"/>
      <c r="C45" s="55"/>
      <c r="D45" s="55"/>
      <c r="E45" s="55"/>
      <c r="F45" s="55"/>
      <c r="G45" s="55"/>
      <c r="H45" s="55"/>
      <c r="I45" s="55"/>
      <c r="J45" s="55"/>
      <c r="K45" s="55"/>
      <c r="L45" s="55"/>
      <c r="M45" s="56"/>
      <c r="N45" s="55"/>
    </row>
  </sheetData>
  <mergeCells count="1">
    <mergeCell ref="B5:N5"/>
  </mergeCells>
  <pageMargins left="0.7" right="0.7" top="0.75" bottom="0.75" header="0.3" footer="0.3"/>
  <pageSetup orientation="portrait" r:id="rId1"/>
  <extLst>
    <ext xmlns:x14="http://schemas.microsoft.com/office/spreadsheetml/2009/9/main" uri="{05C60535-1F16-4fd2-B633-F4F36F0B64E0}">
      <x14:sparklineGroups xmlns:xm="http://schemas.microsoft.com/office/excel/2006/main">
        <x14:sparklineGroup displayEmptyCellsAs="gap" markers="1" xr2:uid="{3F27ABF7-EFB9-4C46-9505-38DD43A0D107}">
          <x14:colorSeries rgb="FF0070C0"/>
          <x14:colorNegative rgb="FF000000"/>
          <x14:colorAxis rgb="FF000000"/>
          <x14:colorMarkers rgb="FF000000"/>
          <x14:colorFirst rgb="FF000000"/>
          <x14:colorLast rgb="FF000000"/>
          <x14:colorHigh rgb="FF000000"/>
          <x14:colorLow rgb="FF000000"/>
          <x14:sparklines>
            <x14:sparkline>
              <xm:f>'Ratio Analysis'!E14:K14</xm:f>
              <xm:sqref>L14</xm:sqref>
            </x14:sparkline>
            <x14:sparkline>
              <xm:f>'Ratio Analysis'!E15:K15</xm:f>
              <xm:sqref>L15</xm:sqref>
            </x14:sparkline>
            <x14:sparkline>
              <xm:f>'Ratio Analysis'!E16:K16</xm:f>
              <xm:sqref>L16</xm:sqref>
            </x14:sparkline>
            <x14:sparkline>
              <xm:f>'Ratio Analysis'!E17:K17</xm:f>
              <xm:sqref>L17</xm:sqref>
            </x14:sparkline>
            <x14:sparkline>
              <xm:f>'Ratio Analysis'!E18:K18</xm:f>
              <xm:sqref>L18</xm:sqref>
            </x14:sparkline>
          </x14:sparklines>
        </x14:sparklineGroup>
        <x14:sparklineGroup displayEmptyCellsAs="gap" markers="1" xr2:uid="{B7968C07-F6A2-4349-B5DD-823724217314}">
          <x14:colorSeries rgb="FF0070C0"/>
          <x14:colorNegative rgb="FF000000"/>
          <x14:colorAxis rgb="FF000000"/>
          <x14:colorMarkers rgb="FF000000"/>
          <x14:colorFirst rgb="FF000000"/>
          <x14:colorLast rgb="FF000000"/>
          <x14:colorHigh rgb="FF000000"/>
          <x14:colorLow rgb="FF000000"/>
          <x14:sparklines>
            <x14:sparkline>
              <xm:f>'Ratio Analysis'!E8:K8</xm:f>
              <xm:sqref>L8</xm:sqref>
            </x14:sparkline>
            <x14:sparkline>
              <xm:f>'Ratio Analysis'!E9:K9</xm:f>
              <xm:sqref>L9</xm:sqref>
            </x14:sparkline>
            <x14:sparkline>
              <xm:f>'Ratio Analysis'!E10:K10</xm:f>
              <xm:sqref>L10</xm:sqref>
            </x14:sparkline>
            <x14:sparkline>
              <xm:f>'Ratio Analysis'!E11:K11</xm:f>
              <xm:sqref>L11</xm:sqref>
            </x14:sparkline>
            <x14:sparkline>
              <xm:f>'Ratio Analysis'!E12:K12</xm:f>
              <xm:sqref>L12</xm:sqref>
            </x14:sparkline>
          </x14:sparklines>
        </x14:sparklineGroup>
        <x14:sparklineGroup displayEmptyCellsAs="gap" markers="1" xr2:uid="{88138FC4-22E7-4DB9-B1C5-F7E363BAA50C}">
          <x14:colorSeries rgb="FF0070C0"/>
          <x14:colorNegative rgb="FF000000"/>
          <x14:colorAxis rgb="FF000000"/>
          <x14:colorMarkers rgb="FF000000"/>
          <x14:colorFirst rgb="FF000000"/>
          <x14:colorLast rgb="FF000000"/>
          <x14:colorHigh rgb="FF000000"/>
          <x14:colorLow rgb="FF000000"/>
          <x14:sparklines>
            <x14:sparkline>
              <xm:f>'Ratio Analysis'!E20:K20</xm:f>
              <xm:sqref>L20</xm:sqref>
            </x14:sparkline>
            <x14:sparkline>
              <xm:f>'Ratio Analysis'!E21:K21</xm:f>
              <xm:sqref>L21</xm:sqref>
            </x14:sparkline>
            <x14:sparkline>
              <xm:f>'Ratio Analysis'!E22:K22</xm:f>
              <xm:sqref>L22</xm:sqref>
            </x14:sparkline>
          </x14:sparklines>
        </x14:sparklineGroup>
        <x14:sparklineGroup displayEmptyCellsAs="gap" markers="1" xr2:uid="{25689480-C743-446F-A097-F7CC49A4AFE4}">
          <x14:colorSeries rgb="FF0070C0"/>
          <x14:colorNegative rgb="FF000000"/>
          <x14:colorAxis rgb="FF000000"/>
          <x14:colorMarkers rgb="FF000000"/>
          <x14:colorFirst rgb="FF000000"/>
          <x14:colorLast rgb="FF000000"/>
          <x14:colorHigh rgb="FF000000"/>
          <x14:colorLow rgb="FF000000"/>
          <x14:sparklines>
            <x14:sparkline>
              <xm:f>'Ratio Analysis'!E24:K24</xm:f>
              <xm:sqref>L24</xm:sqref>
            </x14:sparkline>
            <x14:sparkline>
              <xm:f>'Ratio Analysis'!E25:K25</xm:f>
              <xm:sqref>L25</xm:sqref>
            </x14:sparkline>
            <x14:sparkline>
              <xm:f>'Ratio Analysis'!E26:K26</xm:f>
              <xm:sqref>L26</xm:sqref>
            </x14:sparkline>
            <x14:sparkline>
              <xm:f>'Ratio Analysis'!E27:K27</xm:f>
              <xm:sqref>L27</xm:sqref>
            </x14:sparkline>
            <x14:sparkline>
              <xm:f>'Ratio Analysis'!E28:K28</xm:f>
              <xm:sqref>L28</xm:sqref>
            </x14:sparkline>
          </x14:sparklines>
        </x14:sparklineGroup>
        <x14:sparklineGroup displayEmptyCellsAs="gap" markers="1" xr2:uid="{58317F28-1DD6-4AFD-99EE-E1805B0AD0C0}">
          <x14:colorSeries rgb="FF0070C0"/>
          <x14:colorNegative rgb="FF000000"/>
          <x14:colorAxis rgb="FF000000"/>
          <x14:colorMarkers rgb="FF000000"/>
          <x14:colorFirst rgb="FF000000"/>
          <x14:colorLast rgb="FF000000"/>
          <x14:colorHigh rgb="FF000000"/>
          <x14:colorLow rgb="FF000000"/>
          <x14:sparklines>
            <x14:sparkline>
              <xm:f>'Ratio Analysis'!E30:K30</xm:f>
              <xm:sqref>L30</xm:sqref>
            </x14:sparkline>
            <x14:sparkline>
              <xm:f>'Ratio Analysis'!E31:K31</xm:f>
              <xm:sqref>L31</xm:sqref>
            </x14:sparkline>
            <x14:sparkline>
              <xm:f>'Ratio Analysis'!E32:K32</xm:f>
              <xm:sqref>L32</xm:sqref>
            </x14:sparkline>
            <x14:sparkline>
              <xm:f>'Ratio Analysis'!E33:K33</xm:f>
              <xm:sqref>L33</xm:sqref>
            </x14:sparkline>
            <x14:sparkline>
              <xm:f>'Ratio Analysis'!E34:K34</xm:f>
              <xm:sqref>L34</xm:sqref>
            </x14:sparkline>
          </x14:sparklines>
        </x14:sparklineGroup>
        <x14:sparklineGroup displayEmptyCellsAs="gap" markers="1" xr2:uid="{2CD52787-E0E3-4DDF-A99F-5EFBC3B53405}">
          <x14:colorSeries rgb="FF0070C0"/>
          <x14:colorNegative rgb="FF000000"/>
          <x14:colorAxis rgb="FF000000"/>
          <x14:colorMarkers rgb="FF000000"/>
          <x14:colorFirst rgb="FF000000"/>
          <x14:colorLast rgb="FF000000"/>
          <x14:colorHigh rgb="FF000000"/>
          <x14:colorLow rgb="FF000000"/>
          <x14:sparklines>
            <x14:sparkline>
              <xm:f>'Ratio Analysis'!E37:K37</xm:f>
              <xm:sqref>L37</xm:sqref>
            </x14:sparkline>
            <x14:sparkline>
              <xm:f>'Ratio Analysis'!E38:K38</xm:f>
              <xm:sqref>L38</xm:sqref>
            </x14:sparkline>
            <x14:sparkline>
              <xm:f>'Ratio Analysis'!E39:K39</xm:f>
              <xm:sqref>L39</xm:sqref>
            </x14:sparkline>
            <x14:sparkline>
              <xm:f>'Ratio Analysis'!E40:K40</xm:f>
              <xm:sqref>L40</xm:sqref>
            </x14:sparkline>
          </x14:sparklines>
        </x14:sparklineGroup>
        <x14:sparklineGroup displayEmptyCellsAs="gap" markers="1" xr2:uid="{0B39873C-698B-4808-951A-2628FBC6B8B6}">
          <x14:colorSeries rgb="FF0070C0"/>
          <x14:colorNegative rgb="FF000000"/>
          <x14:colorAxis rgb="FF000000"/>
          <x14:colorMarkers rgb="FF000000"/>
          <x14:colorFirst rgb="FF000000"/>
          <x14:colorLast rgb="FF000000"/>
          <x14:colorHigh rgb="FF000000"/>
          <x14:colorLow rgb="FF000000"/>
          <x14:sparklines>
            <x14:sparkline>
              <xm:f>'Ratio Analysis'!E42:K42</xm:f>
              <xm:sqref>L42</xm:sqref>
            </x14:sparkline>
            <x14:sparkline>
              <xm:f>'Ratio Analysis'!E43:K43</xm:f>
              <xm:sqref>L43</xm:sqref>
            </x14:sparkline>
            <x14:sparkline>
              <xm:f>'Ratio Analysis'!E44:K44</xm:f>
              <xm:sqref>L44</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102A0-FF72-4CBC-91DE-5D19E862F2CA}">
  <dimension ref="B3:O19"/>
  <sheetViews>
    <sheetView showGridLines="0" topLeftCell="A5" workbookViewId="0">
      <selection activeCell="O5" activeCellId="3" sqref="B5:B19 E5:E19 J5:J19 O5:O19"/>
    </sheetView>
  </sheetViews>
  <sheetFormatPr defaultRowHeight="14.5" x14ac:dyDescent="0.35"/>
  <cols>
    <col min="1" max="1" width="1.81640625" customWidth="1"/>
    <col min="2" max="2" width="11.08984375" bestFit="1" customWidth="1"/>
    <col min="4" max="4" width="10.26953125" bestFit="1" customWidth="1"/>
    <col min="5" max="5" width="11.81640625" bestFit="1" customWidth="1"/>
    <col min="6" max="6" width="0.81640625" customWidth="1"/>
    <col min="7" max="7" width="11.08984375" style="20" bestFit="1" customWidth="1"/>
    <col min="10" max="10" width="13.81640625" bestFit="1" customWidth="1"/>
    <col min="11" max="11" width="0.7265625" customWidth="1"/>
    <col min="12" max="12" width="11.08984375" bestFit="1" customWidth="1"/>
    <col min="15" max="15" width="10.6328125" bestFit="1" customWidth="1"/>
  </cols>
  <sheetData>
    <row r="3" spans="2:15" x14ac:dyDescent="0.35">
      <c r="B3" s="276" t="str">
        <f>"FORECASTING OF -"&amp;'Data Sheet'!B1</f>
        <v>FORECASTING OF -TATA CONSULTANCY SERVICES LTD</v>
      </c>
      <c r="C3" s="276"/>
      <c r="D3" s="276"/>
      <c r="E3" s="276"/>
      <c r="F3" s="276"/>
      <c r="G3" s="276"/>
      <c r="H3" s="276"/>
      <c r="I3" s="276"/>
      <c r="J3" s="276"/>
      <c r="K3" s="276"/>
      <c r="L3" s="276"/>
      <c r="M3" s="276"/>
      <c r="N3" s="276"/>
      <c r="O3" s="276"/>
    </row>
    <row r="4" spans="2:15" x14ac:dyDescent="0.35">
      <c r="B4" s="26"/>
      <c r="C4" s="26"/>
      <c r="D4" s="26"/>
      <c r="E4" s="26"/>
      <c r="F4" s="26"/>
      <c r="G4" s="67"/>
    </row>
    <row r="5" spans="2:15" x14ac:dyDescent="0.35">
      <c r="B5" s="48" t="s">
        <v>157</v>
      </c>
      <c r="C5" s="48" t="s">
        <v>93</v>
      </c>
      <c r="D5" s="48" t="s">
        <v>6</v>
      </c>
      <c r="E5" s="48" t="s">
        <v>22</v>
      </c>
      <c r="F5" s="52"/>
      <c r="G5" s="68" t="s">
        <v>157</v>
      </c>
      <c r="H5" s="48" t="s">
        <v>93</v>
      </c>
      <c r="I5" s="48" t="s">
        <v>104</v>
      </c>
      <c r="J5" s="48" t="s">
        <v>129</v>
      </c>
      <c r="L5" s="48" t="s">
        <v>157</v>
      </c>
      <c r="M5" s="48" t="s">
        <v>93</v>
      </c>
      <c r="N5" s="48" t="s">
        <v>57</v>
      </c>
      <c r="O5" s="48" t="s">
        <v>118</v>
      </c>
    </row>
    <row r="6" spans="2:15" x14ac:dyDescent="0.35">
      <c r="D6" s="59"/>
    </row>
    <row r="7" spans="2:15" x14ac:dyDescent="0.35">
      <c r="B7" s="20">
        <v>1</v>
      </c>
      <c r="C7" s="58" cm="1">
        <f t="array" ref="C7:C14">TRANSPOSE('Historicail Financial Statement'!D4:K4)</f>
        <v>43555</v>
      </c>
      <c r="D7" s="59" cm="1">
        <f t="array" ref="D7:D14">TRANSPOSE('Historicail Financial Statement'!D7:K7)</f>
        <v>146463</v>
      </c>
      <c r="G7" s="20">
        <v>1</v>
      </c>
      <c r="H7" s="58" cm="1">
        <f t="array" ref="H7:H14">TRANSPOSE('Historicail Financial Statement'!D4:K4)</f>
        <v>43555</v>
      </c>
      <c r="I7" s="59" cm="1">
        <f t="array" ref="I7:I14">TRANSPOSE('Historicail Financial Statement'!D17:K17)</f>
        <v>39506</v>
      </c>
      <c r="L7">
        <v>1</v>
      </c>
      <c r="M7" s="58" cm="1">
        <f t="array" ref="M7:M14">TRANSPOSE('Historicail Financial Statement'!D4:K4)</f>
        <v>43555</v>
      </c>
      <c r="N7" s="59" cm="1">
        <f t="array" ref="N7:N14">TRANSPOSE('Historicail Financial Statement'!D43:K43)</f>
        <v>84.11150197207121</v>
      </c>
    </row>
    <row r="8" spans="2:15" x14ac:dyDescent="0.35">
      <c r="B8" s="20">
        <v>2</v>
      </c>
      <c r="C8" s="58">
        <v>43921</v>
      </c>
      <c r="D8" s="59">
        <v>156949</v>
      </c>
      <c r="E8" s="32">
        <f>D8/D7-1</f>
        <v>7.1594873790650215E-2</v>
      </c>
      <c r="G8" s="20">
        <v>2</v>
      </c>
      <c r="H8" s="58">
        <v>43921</v>
      </c>
      <c r="I8" s="59">
        <v>42109</v>
      </c>
      <c r="J8" s="32">
        <f>I8/I7-1</f>
        <v>6.5888725763175282E-2</v>
      </c>
      <c r="L8">
        <v>2</v>
      </c>
      <c r="M8" s="58">
        <v>43921</v>
      </c>
      <c r="N8" s="59">
        <v>86.46999253810894</v>
      </c>
      <c r="O8" s="32">
        <f>N8/N7-1</f>
        <v>2.804004815917871E-2</v>
      </c>
    </row>
    <row r="9" spans="2:15" x14ac:dyDescent="0.35">
      <c r="B9" s="20">
        <v>3</v>
      </c>
      <c r="C9" s="58">
        <v>44286</v>
      </c>
      <c r="D9" s="59">
        <v>164177</v>
      </c>
      <c r="E9" s="32">
        <f t="shared" ref="E9:E19" si="0">D9/D8-1</f>
        <v>4.6053176509566862E-2</v>
      </c>
      <c r="G9" s="20">
        <v>3</v>
      </c>
      <c r="H9" s="58">
        <v>44286</v>
      </c>
      <c r="I9" s="59">
        <v>46546</v>
      </c>
      <c r="J9" s="32">
        <f t="shared" ref="J9:J18" si="1">I9/I8-1</f>
        <v>0.10536939846588611</v>
      </c>
      <c r="L9">
        <v>3</v>
      </c>
      <c r="M9" s="58">
        <v>44286</v>
      </c>
      <c r="N9" s="59">
        <v>88.026817333946084</v>
      </c>
      <c r="O9" s="32">
        <f t="shared" ref="O9:O19" si="2">N9/N8-1</f>
        <v>1.8004220309733698E-2</v>
      </c>
    </row>
    <row r="10" spans="2:15" x14ac:dyDescent="0.35">
      <c r="B10" s="20">
        <v>4</v>
      </c>
      <c r="C10" s="58">
        <v>44651</v>
      </c>
      <c r="D10" s="59">
        <v>191754</v>
      </c>
      <c r="E10" s="32">
        <f t="shared" si="0"/>
        <v>0.1679711530847805</v>
      </c>
      <c r="G10" s="20">
        <v>4</v>
      </c>
      <c r="H10" s="58">
        <v>44651</v>
      </c>
      <c r="I10" s="59">
        <v>53057</v>
      </c>
      <c r="J10" s="32">
        <f t="shared" si="1"/>
        <v>0.13988312636961275</v>
      </c>
      <c r="L10">
        <v>4</v>
      </c>
      <c r="M10" s="58">
        <v>44651</v>
      </c>
      <c r="N10" s="59">
        <v>105.07775135962395</v>
      </c>
      <c r="O10" s="32">
        <f t="shared" si="2"/>
        <v>0.19370158483626621</v>
      </c>
    </row>
    <row r="11" spans="2:15" x14ac:dyDescent="0.35">
      <c r="B11" s="20">
        <v>5</v>
      </c>
      <c r="C11" s="58">
        <v>45016</v>
      </c>
      <c r="D11" s="59">
        <v>225458</v>
      </c>
      <c r="E11" s="32">
        <f t="shared" si="0"/>
        <v>0.17576686796624852</v>
      </c>
      <c r="G11" s="20">
        <v>5</v>
      </c>
      <c r="H11" s="58">
        <v>45016</v>
      </c>
      <c r="I11" s="59">
        <v>59259</v>
      </c>
      <c r="J11" s="32">
        <f t="shared" si="1"/>
        <v>0.11689315264715305</v>
      </c>
      <c r="L11">
        <v>5</v>
      </c>
      <c r="M11" s="58">
        <v>45016</v>
      </c>
      <c r="N11" s="59">
        <v>115.61039599901615</v>
      </c>
      <c r="O11" s="32">
        <f t="shared" si="2"/>
        <v>0.10023667715675311</v>
      </c>
    </row>
    <row r="12" spans="2:15" x14ac:dyDescent="0.35">
      <c r="B12" s="20">
        <v>6</v>
      </c>
      <c r="C12" s="58">
        <v>45382</v>
      </c>
      <c r="D12" s="59">
        <v>240893</v>
      </c>
      <c r="E12" s="32">
        <f t="shared" si="0"/>
        <v>6.8460644554639849E-2</v>
      </c>
      <c r="G12" s="20">
        <v>6</v>
      </c>
      <c r="H12" s="58">
        <v>45382</v>
      </c>
      <c r="I12" s="59">
        <v>64296</v>
      </c>
      <c r="J12" s="32">
        <f t="shared" si="1"/>
        <v>8.4999746873892557E-2</v>
      </c>
      <c r="L12">
        <v>6</v>
      </c>
      <c r="M12" s="58">
        <v>45382</v>
      </c>
      <c r="N12" s="59">
        <v>127.41217766230895</v>
      </c>
      <c r="O12" s="32">
        <f t="shared" si="2"/>
        <v>0.10208235653299935</v>
      </c>
    </row>
    <row r="13" spans="2:15" x14ac:dyDescent="0.35">
      <c r="B13" s="20">
        <v>7</v>
      </c>
      <c r="C13" s="58">
        <v>45747</v>
      </c>
      <c r="D13" s="59">
        <v>255324</v>
      </c>
      <c r="E13" s="32">
        <f t="shared" si="0"/>
        <v>5.9906265437351891E-2</v>
      </c>
      <c r="G13" s="20">
        <v>7</v>
      </c>
      <c r="H13" s="58">
        <v>45747</v>
      </c>
      <c r="I13" s="59">
        <v>67407</v>
      </c>
      <c r="J13" s="32">
        <f t="shared" si="1"/>
        <v>4.8385591638671066E-2</v>
      </c>
      <c r="L13">
        <v>7</v>
      </c>
      <c r="M13" s="58">
        <v>45747</v>
      </c>
      <c r="N13" s="59">
        <v>134.86913020646196</v>
      </c>
      <c r="O13" s="32">
        <f t="shared" si="2"/>
        <v>5.8526215319204322E-2</v>
      </c>
    </row>
    <row r="14" spans="2:15" x14ac:dyDescent="0.35">
      <c r="B14" s="20">
        <v>8</v>
      </c>
      <c r="C14" s="58">
        <v>46112</v>
      </c>
      <c r="D14" s="59">
        <v>267021</v>
      </c>
      <c r="E14" s="32">
        <f t="shared" si="0"/>
        <v>4.581237956478823E-2</v>
      </c>
      <c r="G14" s="20">
        <v>8</v>
      </c>
      <c r="H14" s="58">
        <v>46112</v>
      </c>
      <c r="I14" s="59">
        <v>72398</v>
      </c>
      <c r="J14" s="32">
        <f t="shared" si="1"/>
        <v>7.4042755203465482E-2</v>
      </c>
      <c r="L14">
        <v>8</v>
      </c>
      <c r="M14" s="58">
        <v>46112</v>
      </c>
      <c r="N14" s="59">
        <v>136.68500041458225</v>
      </c>
      <c r="O14" s="32">
        <f t="shared" si="2"/>
        <v>1.3463942455478772E-2</v>
      </c>
    </row>
    <row r="15" spans="2:15" x14ac:dyDescent="0.35">
      <c r="B15" s="60">
        <v>9</v>
      </c>
      <c r="C15" s="61">
        <f>C14+365</f>
        <v>46477</v>
      </c>
      <c r="D15" s="62">
        <f>FORECAST(B15,_xlfn.ANCHORARRAY($D$7),$B$7:$B$14)</f>
        <v>291699.5</v>
      </c>
      <c r="E15" s="63">
        <f t="shared" si="0"/>
        <v>9.2421569839076234E-2</v>
      </c>
      <c r="G15" s="69">
        <v>9</v>
      </c>
      <c r="H15" s="65">
        <f>H14+365</f>
        <v>46477</v>
      </c>
      <c r="I15" s="64">
        <f>FORECAST(G15,_xlfn.ANCHORARRAY($I$7),$G$7:$G$14)</f>
        <v>77867.92857142858</v>
      </c>
      <c r="J15" s="66">
        <f t="shared" si="1"/>
        <v>7.5553586721022414E-2</v>
      </c>
      <c r="L15" s="64">
        <v>9</v>
      </c>
      <c r="M15" s="65">
        <f>M14+365</f>
        <v>46477</v>
      </c>
      <c r="N15" s="64">
        <f>FORECAST(L15,_xlfn.ANCHORARRAY($N$7),$L$7:$L$14)</f>
        <v>149.35600145704115</v>
      </c>
      <c r="O15" s="66">
        <f t="shared" si="2"/>
        <v>9.270220583111688E-2</v>
      </c>
    </row>
    <row r="16" spans="2:15" x14ac:dyDescent="0.35">
      <c r="B16" s="60">
        <v>10</v>
      </c>
      <c r="C16" s="61">
        <f t="shared" ref="C16:C18" si="3">C15+365</f>
        <v>46842</v>
      </c>
      <c r="D16" s="62">
        <f t="shared" ref="D16:D18" si="4">FORECAST(B16,_xlfn.ANCHORARRAY($D$7),$B$7:$B$14)</f>
        <v>310742.75</v>
      </c>
      <c r="E16" s="63">
        <f t="shared" si="0"/>
        <v>6.5283793767215936E-2</v>
      </c>
      <c r="G16" s="69">
        <v>10</v>
      </c>
      <c r="H16" s="65">
        <f t="shared" ref="H16:H18" si="5">H15+365</f>
        <v>46842</v>
      </c>
      <c r="I16" s="64">
        <f t="shared" ref="I16:I17" si="6">FORECAST(G16,_xlfn.ANCHORARRAY($I$7),$G$7:$G$14)</f>
        <v>82822.523809523816</v>
      </c>
      <c r="J16" s="66">
        <f t="shared" si="1"/>
        <v>6.3628188510888251E-2</v>
      </c>
      <c r="L16" s="64">
        <v>10</v>
      </c>
      <c r="M16" s="65">
        <f t="shared" ref="M16:M18" si="7">M15+365</f>
        <v>46842</v>
      </c>
      <c r="N16" s="64">
        <f t="shared" ref="N16:N18" si="8">FORECAST(L16,_xlfn.ANCHORARRAY($N$7),$L$7:$L$14)</f>
        <v>158.15003601732477</v>
      </c>
      <c r="O16" s="66">
        <f t="shared" si="2"/>
        <v>5.8879686617835825E-2</v>
      </c>
    </row>
    <row r="17" spans="2:15" x14ac:dyDescent="0.35">
      <c r="B17" s="60">
        <v>11</v>
      </c>
      <c r="C17" s="61">
        <f t="shared" si="3"/>
        <v>47207</v>
      </c>
      <c r="D17" s="62">
        <f t="shared" si="4"/>
        <v>329786</v>
      </c>
      <c r="E17" s="63">
        <f t="shared" si="0"/>
        <v>6.1283006602728562E-2</v>
      </c>
      <c r="G17" s="69">
        <v>11</v>
      </c>
      <c r="H17" s="65">
        <f t="shared" si="5"/>
        <v>47207</v>
      </c>
      <c r="I17" s="64">
        <f t="shared" si="6"/>
        <v>87777.119047619053</v>
      </c>
      <c r="J17" s="66">
        <f t="shared" si="1"/>
        <v>5.9821833605190111E-2</v>
      </c>
      <c r="L17" s="64">
        <v>11</v>
      </c>
      <c r="M17" s="65">
        <f t="shared" si="7"/>
        <v>47207</v>
      </c>
      <c r="N17" s="64">
        <f t="shared" si="8"/>
        <v>166.94407057760839</v>
      </c>
      <c r="O17" s="66">
        <f t="shared" si="2"/>
        <v>5.5605643740228139E-2</v>
      </c>
    </row>
    <row r="18" spans="2:15" x14ac:dyDescent="0.35">
      <c r="B18" s="60">
        <v>12</v>
      </c>
      <c r="C18" s="61">
        <f t="shared" si="3"/>
        <v>47572</v>
      </c>
      <c r="D18" s="62">
        <f t="shared" si="4"/>
        <v>348829.25</v>
      </c>
      <c r="E18" s="63">
        <f t="shared" si="0"/>
        <v>5.7744264462408879E-2</v>
      </c>
      <c r="G18" s="69">
        <v>12</v>
      </c>
      <c r="H18" s="65">
        <f t="shared" si="5"/>
        <v>47572</v>
      </c>
      <c r="I18" s="64">
        <f>FORECAST(G18,_xlfn.ANCHORARRAY($I$7),$G$7:$G$14)</f>
        <v>92731.71428571429</v>
      </c>
      <c r="J18" s="66">
        <f t="shared" si="1"/>
        <v>5.6445179471057427E-2</v>
      </c>
      <c r="L18" s="64">
        <v>12</v>
      </c>
      <c r="M18" s="65">
        <f t="shared" si="7"/>
        <v>47572</v>
      </c>
      <c r="N18" s="64">
        <f t="shared" si="8"/>
        <v>175.73810513789198</v>
      </c>
      <c r="O18" s="66">
        <f t="shared" si="2"/>
        <v>5.2676531306905305E-2</v>
      </c>
    </row>
    <row r="19" spans="2:15" x14ac:dyDescent="0.35">
      <c r="B19" s="60">
        <v>13</v>
      </c>
      <c r="C19" s="61">
        <f t="shared" ref="C19" si="9">C18+365</f>
        <v>47937</v>
      </c>
      <c r="D19" s="62">
        <f t="shared" ref="D19" si="10">FORECAST(B19,_xlfn.ANCHORARRAY($D$7),$B$7:$B$14)</f>
        <v>367872.5</v>
      </c>
      <c r="E19" s="63">
        <f t="shared" si="0"/>
        <v>5.4591895605084817E-2</v>
      </c>
      <c r="G19" s="69">
        <v>13</v>
      </c>
      <c r="H19" s="65">
        <f t="shared" ref="H19" si="11">H18+365</f>
        <v>47937</v>
      </c>
      <c r="I19" s="64">
        <f>FORECAST(G19,_xlfn.ANCHORARRAY($I$7),$G$7:$G$14)</f>
        <v>97686.309523809527</v>
      </c>
      <c r="J19" s="66">
        <f>I19/I18-1</f>
        <v>5.3429350209462489E-2</v>
      </c>
      <c r="L19" s="64">
        <v>13</v>
      </c>
      <c r="M19" s="65">
        <f t="shared" ref="M19" si="12">M18+365</f>
        <v>47937</v>
      </c>
      <c r="N19" s="64">
        <f t="shared" ref="N19" si="13">FORECAST(L19,_xlfn.ANCHORARRAY($N$7),$L$7:$L$14)</f>
        <v>184.5321396981756</v>
      </c>
      <c r="O19" s="66">
        <f t="shared" si="2"/>
        <v>5.0040567772045907E-2</v>
      </c>
    </row>
  </sheetData>
  <mergeCells count="1">
    <mergeCell ref="B3:O3"/>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3301C-5807-420D-9535-CA82C2D74029}">
  <dimension ref="B2:L36"/>
  <sheetViews>
    <sheetView showGridLines="0" workbookViewId="0">
      <selection activeCell="R33" sqref="R33"/>
    </sheetView>
  </sheetViews>
  <sheetFormatPr defaultRowHeight="14.5" x14ac:dyDescent="0.35"/>
  <cols>
    <col min="1" max="1" width="1.81640625" customWidth="1"/>
    <col min="2" max="2" width="17.6328125" bestFit="1" customWidth="1"/>
  </cols>
  <sheetData>
    <row r="2" spans="2:12" x14ac:dyDescent="0.35">
      <c r="B2" s="284" t="str">
        <f>"Common Size Income Statement"&amp;" "&amp;"- "&amp;'Data Sheet'!B1</f>
        <v>Common Size Income Statement - TATA CONSULTANCY SERVICES LTD</v>
      </c>
      <c r="C2" s="284"/>
      <c r="D2" s="284"/>
      <c r="E2" s="284"/>
      <c r="F2" s="284"/>
      <c r="G2" s="284"/>
      <c r="H2" s="284"/>
      <c r="I2" s="284"/>
      <c r="J2" s="284"/>
      <c r="K2" s="284"/>
      <c r="L2" s="25"/>
    </row>
    <row r="4" spans="2:12" ht="15" thickBot="1" x14ac:dyDescent="0.4">
      <c r="B4" s="71" t="s">
        <v>158</v>
      </c>
      <c r="C4" s="71"/>
      <c r="D4" s="72">
        <f>'Ratio Analysis'!D6</f>
        <v>43555</v>
      </c>
      <c r="E4" s="72">
        <f>'Ratio Analysis'!E6</f>
        <v>43921</v>
      </c>
      <c r="F4" s="72">
        <f>'Ratio Analysis'!F6</f>
        <v>44286</v>
      </c>
      <c r="G4" s="72">
        <f>'Ratio Analysis'!G6</f>
        <v>44651</v>
      </c>
      <c r="H4" s="72">
        <f>'Ratio Analysis'!H6</f>
        <v>45016</v>
      </c>
      <c r="I4" s="72">
        <f>'Ratio Analysis'!I6</f>
        <v>45382</v>
      </c>
      <c r="J4" s="72">
        <f>'Ratio Analysis'!J6</f>
        <v>45747</v>
      </c>
      <c r="K4" s="72">
        <f>'Ratio Analysis'!K6</f>
        <v>46112</v>
      </c>
    </row>
    <row r="6" spans="2:12" x14ac:dyDescent="0.35">
      <c r="B6" t="s">
        <v>6</v>
      </c>
      <c r="D6" s="70">
        <f>'Data Sheet'!D17/'Data Sheet'!D17</f>
        <v>1</v>
      </c>
      <c r="E6" s="70">
        <f>'Data Sheet'!E17/'Data Sheet'!E17</f>
        <v>1</v>
      </c>
      <c r="F6" s="70">
        <f>'Data Sheet'!F17/'Data Sheet'!F17</f>
        <v>1</v>
      </c>
      <c r="G6" s="70">
        <f>'Data Sheet'!G17/'Data Sheet'!G17</f>
        <v>1</v>
      </c>
      <c r="H6" s="70">
        <f>'Data Sheet'!H17/'Data Sheet'!H17</f>
        <v>1</v>
      </c>
      <c r="I6" s="70">
        <f>'Data Sheet'!I17/'Data Sheet'!I17</f>
        <v>1</v>
      </c>
      <c r="J6" s="70">
        <f>'Data Sheet'!J17/'Data Sheet'!J17</f>
        <v>1</v>
      </c>
      <c r="K6" s="70">
        <f>'Data Sheet'!K17/'Data Sheet'!K17</f>
        <v>1</v>
      </c>
    </row>
    <row r="7" spans="2:12" x14ac:dyDescent="0.35">
      <c r="B7" t="s">
        <v>80</v>
      </c>
      <c r="D7" s="32">
        <f>'Data Sheet'!D18/'Data Sheet'!$D$17</f>
        <v>2.7310651836982722E-4</v>
      </c>
      <c r="E7" s="32">
        <f>'Data Sheet'!E18/'Data Sheet'!$E$17</f>
        <v>1.1468693652078064E-4</v>
      </c>
      <c r="F7" s="32">
        <f>'Data Sheet'!F18/'Data Sheet'!$F$17</f>
        <v>8.5273820328060575E-5</v>
      </c>
      <c r="G7" s="32">
        <f>'Data Sheet'!G18/'Data Sheet'!$G$17</f>
        <v>1.5123543707041314E-4</v>
      </c>
      <c r="H7" s="32">
        <f>'Data Sheet'!H18/'Data Sheet'!$H$17</f>
        <v>1.6411038863114194E-4</v>
      </c>
      <c r="I7" s="32">
        <f>'Data Sheet'!I18/'Data Sheet'!$I$17</f>
        <v>1.7435126799035256E-4</v>
      </c>
      <c r="J7" s="32">
        <f>'Data Sheet'!J18/'Data Sheet'!$J$17</f>
        <v>1.9191302031928059E-4</v>
      </c>
      <c r="K7" s="32">
        <f>'Data Sheet'!K18/'Data Sheet'!$K$17</f>
        <v>1.6103602338392862E-4</v>
      </c>
    </row>
    <row r="8" spans="2:12" x14ac:dyDescent="0.35">
      <c r="B8" t="s">
        <v>81</v>
      </c>
      <c r="D8" s="32">
        <f>'Data Sheet'!D19/'Data Sheet'!$D$17</f>
        <v>0</v>
      </c>
      <c r="E8" s="32">
        <f>'Data Sheet'!E19/'Data Sheet'!$E$17</f>
        <v>0</v>
      </c>
      <c r="F8" s="32">
        <f>'Data Sheet'!F19/'Data Sheet'!$F$17</f>
        <v>0</v>
      </c>
      <c r="G8" s="32">
        <f>'Data Sheet'!G19/'Data Sheet'!$G$17</f>
        <v>0</v>
      </c>
      <c r="H8" s="32">
        <f>'Data Sheet'!H19/'Data Sheet'!$H$17</f>
        <v>0</v>
      </c>
      <c r="I8" s="32">
        <f>'Data Sheet'!I19/'Data Sheet'!$I$17</f>
        <v>0</v>
      </c>
      <c r="J8" s="32">
        <f>'Data Sheet'!J19/'Data Sheet'!$J$17</f>
        <v>0</v>
      </c>
      <c r="K8" s="32">
        <f>'Data Sheet'!K19/'Data Sheet'!$K$17</f>
        <v>0</v>
      </c>
    </row>
    <row r="9" spans="2:12" x14ac:dyDescent="0.35">
      <c r="B9" t="s">
        <v>82</v>
      </c>
      <c r="D9" s="32">
        <f>'Data Sheet'!D20/'Data Sheet'!$D$17</f>
        <v>0</v>
      </c>
      <c r="E9" s="32">
        <f>'Data Sheet'!E20/'Data Sheet'!$E$17</f>
        <v>0</v>
      </c>
      <c r="F9" s="32">
        <f>'Data Sheet'!F20/'Data Sheet'!$F$17</f>
        <v>0</v>
      </c>
      <c r="G9" s="32">
        <f>'Data Sheet'!G20/'Data Sheet'!$G$17</f>
        <v>0</v>
      </c>
      <c r="H9" s="32">
        <f>'Data Sheet'!H20/'Data Sheet'!$H$17</f>
        <v>0</v>
      </c>
      <c r="I9" s="32">
        <f>'Data Sheet'!I20/'Data Sheet'!$I$17</f>
        <v>0</v>
      </c>
      <c r="J9" s="32">
        <f>'Data Sheet'!J20/'Data Sheet'!$J$17</f>
        <v>0</v>
      </c>
      <c r="K9" s="32">
        <f>'Data Sheet'!K20/'Data Sheet'!$K$17</f>
        <v>0</v>
      </c>
    </row>
    <row r="10" spans="2:12" x14ac:dyDescent="0.35">
      <c r="B10" t="s">
        <v>83</v>
      </c>
      <c r="D10" s="32">
        <f>'Data Sheet'!D21/'Data Sheet'!$D$17</f>
        <v>1.5225688399117867E-2</v>
      </c>
      <c r="E10" s="32">
        <f>'Data Sheet'!E21/'Data Sheet'!$E$17</f>
        <v>1.2023013845261837E-2</v>
      </c>
      <c r="F10" s="32">
        <f>'Data Sheet'!F21/'Data Sheet'!$F$17</f>
        <v>8.8197494167879791E-3</v>
      </c>
      <c r="G10" s="32">
        <f>'Data Sheet'!G21/'Data Sheet'!$G$17</f>
        <v>5.9138270909602931E-3</v>
      </c>
      <c r="H10" s="32">
        <f>'Data Sheet'!H21/'Data Sheet'!$H$17</f>
        <v>8.1789069361033976E-3</v>
      </c>
      <c r="I10" s="32">
        <f>'Data Sheet'!I21/'Data Sheet'!$I$17</f>
        <v>1.5193467639159295E-2</v>
      </c>
      <c r="J10" s="32">
        <f>'Data Sheet'!J21/'Data Sheet'!$J$17</f>
        <v>4.5428553524149706E-2</v>
      </c>
      <c r="K10" s="32">
        <f>'Data Sheet'!K21/'Data Sheet'!$K$17</f>
        <v>1.6313323671171932E-2</v>
      </c>
    </row>
    <row r="11" spans="2:12" x14ac:dyDescent="0.35">
      <c r="B11" t="s">
        <v>84</v>
      </c>
      <c r="D11" s="32">
        <f>'Data Sheet'!D22/'Data Sheet'!$D$17</f>
        <v>0.53423731590913748</v>
      </c>
      <c r="E11" s="32">
        <f>'Data Sheet'!E22/'Data Sheet'!$E$17</f>
        <v>0.54764286487967428</v>
      </c>
      <c r="F11" s="32">
        <f>'Data Sheet'!F22/'Data Sheet'!$F$17</f>
        <v>0.55923789568575377</v>
      </c>
      <c r="G11" s="32">
        <f>'Data Sheet'!G22/'Data Sheet'!$G$17</f>
        <v>0.56089573098866252</v>
      </c>
      <c r="H11" s="32">
        <f>'Data Sheet'!H22/'Data Sheet'!$H$17</f>
        <v>0.56561310754109417</v>
      </c>
      <c r="I11" s="32">
        <f>'Data Sheet'!I22/'Data Sheet'!$I$17</f>
        <v>0.5817147032084784</v>
      </c>
      <c r="J11" s="32">
        <f>'Data Sheet'!J22/'Data Sheet'!$J$17</f>
        <v>0.57099215114912816</v>
      </c>
      <c r="K11" s="32">
        <f>'Data Sheet'!K22/'Data Sheet'!$K$17</f>
        <v>0.58045621879927045</v>
      </c>
    </row>
    <row r="12" spans="2:12" x14ac:dyDescent="0.35">
      <c r="B12" t="s">
        <v>85</v>
      </c>
      <c r="D12" s="32">
        <f>'Data Sheet'!D23/'Data Sheet'!$D$17</f>
        <v>0.13919556475014166</v>
      </c>
      <c r="E12" s="32">
        <f>'Data Sheet'!E23/'Data Sheet'!$E$17</f>
        <v>0.13078770810900356</v>
      </c>
      <c r="F12" s="32">
        <f>'Data Sheet'!F23/'Data Sheet'!$F$17</f>
        <v>0.11159906686076612</v>
      </c>
      <c r="G12" s="32">
        <f>'Data Sheet'!G23/'Data Sheet'!$G$17</f>
        <v>0.1209205544604024</v>
      </c>
      <c r="H12" s="32">
        <f>'Data Sheet'!H23/'Data Sheet'!$H$17</f>
        <v>0.12824118017546504</v>
      </c>
      <c r="I12" s="32">
        <f>'Data Sheet'!I23/'Data Sheet'!$I$17</f>
        <v>0.10025613031511917</v>
      </c>
      <c r="J12" s="32">
        <f>'Data Sheet'!J23/'Data Sheet'!$J$17</f>
        <v>8.1187040779558517E-2</v>
      </c>
      <c r="K12" s="32">
        <f>'Data Sheet'!K23/'Data Sheet'!$K$17</f>
        <v>9.1505911520067706E-2</v>
      </c>
    </row>
    <row r="13" spans="2:12" x14ac:dyDescent="0.35">
      <c r="B13" t="s">
        <v>86</v>
      </c>
      <c r="D13" s="32">
        <f>'Data Sheet'!D24/'Data Sheet'!$D$17</f>
        <v>4.1334671555273345E-2</v>
      </c>
      <c r="E13" s="32">
        <f>'Data Sheet'!E24/'Data Sheet'!$E$17</f>
        <v>4.1134381232119988E-2</v>
      </c>
      <c r="F13" s="32">
        <f>'Data Sheet'!F24/'Data Sheet'!$F$17</f>
        <v>3.6746925574227818E-2</v>
      </c>
      <c r="G13" s="32">
        <f>'Data Sheet'!G24/'Data Sheet'!$G$17</f>
        <v>3.5425597379976428E-2</v>
      </c>
      <c r="H13" s="32">
        <f>'Data Sheet'!H24/'Data Sheet'!$H$17</f>
        <v>3.4964383610251136E-2</v>
      </c>
      <c r="I13" s="32">
        <f>'Data Sheet'!I24/'Data Sheet'!$I$17</f>
        <v>3.5754463600021588E-2</v>
      </c>
      <c r="J13" s="32">
        <f>'Data Sheet'!J24/'Data Sheet'!$J$17</f>
        <v>3.8194607635788254E-2</v>
      </c>
      <c r="K13" s="32">
        <f>'Data Sheet'!K24/'Data Sheet'!$K$17</f>
        <v>4.0431276940764961E-2</v>
      </c>
    </row>
    <row r="14" spans="2:12" x14ac:dyDescent="0.35">
      <c r="B14" t="s">
        <v>9</v>
      </c>
      <c r="D14" s="32">
        <f>'Data Sheet'!D25/'Data Sheet'!$D$17</f>
        <v>2.9434055017308124E-2</v>
      </c>
      <c r="E14" s="32">
        <f>'Data Sheet'!E25/'Data Sheet'!$E$17</f>
        <v>2.9257911805745815E-2</v>
      </c>
      <c r="F14" s="32">
        <f>'Data Sheet'!F25/'Data Sheet'!$F$17</f>
        <v>1.1670331410611717E-2</v>
      </c>
      <c r="G14" s="32">
        <f>'Data Sheet'!G25/'Data Sheet'!$G$17</f>
        <v>2.0953930556859308E-2</v>
      </c>
      <c r="H14" s="32">
        <f>'Data Sheet'!H25/'Data Sheet'!$H$17</f>
        <v>1.5297749469967798E-2</v>
      </c>
      <c r="I14" s="32">
        <f>'Data Sheet'!I25/'Data Sheet'!$I$17</f>
        <v>1.4379828388537649E-2</v>
      </c>
      <c r="J14" s="32">
        <f>'Data Sheet'!J25/'Data Sheet'!$J$17</f>
        <v>1.5517538500101831E-2</v>
      </c>
      <c r="K14" s="32">
        <f>'Data Sheet'!K25/'Data Sheet'!$K$17</f>
        <v>-4.6438295115365459E-4</v>
      </c>
    </row>
    <row r="15" spans="2:12" x14ac:dyDescent="0.35">
      <c r="B15" t="s">
        <v>10</v>
      </c>
      <c r="D15" s="32">
        <f>'Data Sheet'!D26/'Data Sheet'!$D$17</f>
        <v>1.4037675044209118E-2</v>
      </c>
      <c r="E15" s="32">
        <f>'Data Sheet'!E26/'Data Sheet'!$E$17</f>
        <v>2.248501105454638E-2</v>
      </c>
      <c r="F15" s="32">
        <f>'Data Sheet'!F26/'Data Sheet'!$F$17</f>
        <v>2.4759862830969016E-2</v>
      </c>
      <c r="G15" s="32">
        <f>'Data Sheet'!G26/'Data Sheet'!$G$17</f>
        <v>2.4009929388695932E-2</v>
      </c>
      <c r="H15" s="32">
        <f>'Data Sheet'!H26/'Data Sheet'!$H$17</f>
        <v>2.2274658694745805E-2</v>
      </c>
      <c r="I15" s="32">
        <f>'Data Sheet'!I26/'Data Sheet'!$I$17</f>
        <v>2.0693835022188273E-2</v>
      </c>
      <c r="J15" s="32">
        <f>'Data Sheet'!J26/'Data Sheet'!$J$17</f>
        <v>2.053077658191161E-2</v>
      </c>
      <c r="K15" s="32">
        <f>'Data Sheet'!K26/'Data Sheet'!$K$17</f>
        <v>2.0822332325921931E-2</v>
      </c>
    </row>
    <row r="16" spans="2:12" x14ac:dyDescent="0.35">
      <c r="B16" t="s">
        <v>11</v>
      </c>
      <c r="D16" s="32">
        <f>'Data Sheet'!D27/'Data Sheet'!$D$17</f>
        <v>1.3518772659306445E-3</v>
      </c>
      <c r="E16" s="32">
        <f>'Data Sheet'!E27/'Data Sheet'!$E$17</f>
        <v>5.8872627414000723E-3</v>
      </c>
      <c r="F16" s="32">
        <f>'Data Sheet'!F27/'Data Sheet'!$F$17</f>
        <v>3.879958824926756E-3</v>
      </c>
      <c r="G16" s="32">
        <f>'Data Sheet'!G27/'Data Sheet'!$G$17</f>
        <v>4.0885718159725483E-3</v>
      </c>
      <c r="H16" s="32">
        <f>'Data Sheet'!H27/'Data Sheet'!$H$17</f>
        <v>3.4551889930718805E-3</v>
      </c>
      <c r="I16" s="32">
        <f>'Data Sheet'!I27/'Data Sheet'!$I$17</f>
        <v>3.2296496784879592E-3</v>
      </c>
      <c r="J16" s="32">
        <f>'Data Sheet'!J27/'Data Sheet'!$J$17</f>
        <v>3.1176074321254562E-3</v>
      </c>
      <c r="K16" s="32">
        <f>'Data Sheet'!K27/'Data Sheet'!$K$17</f>
        <v>4.595144202141405E-3</v>
      </c>
    </row>
    <row r="17" spans="2:12" x14ac:dyDescent="0.35">
      <c r="B17" t="s">
        <v>12</v>
      </c>
      <c r="D17" s="32">
        <f>'Data Sheet'!D28/'Data Sheet'!$D$17</f>
        <v>0.2837781555751282</v>
      </c>
      <c r="E17" s="32">
        <f>'Data Sheet'!E28/'Data Sheet'!$E$17</f>
        <v>0.26918298300721888</v>
      </c>
      <c r="F17" s="32">
        <f>'Data Sheet'!F28/'Data Sheet'!$F$17</f>
        <v>0.26654159839685215</v>
      </c>
      <c r="G17" s="32">
        <f>'Data Sheet'!G28/'Data Sheet'!$G$17</f>
        <v>0.26954848399511877</v>
      </c>
      <c r="H17" s="32">
        <f>'Data Sheet'!H28/'Data Sheet'!$H$17</f>
        <v>0.25240621313060524</v>
      </c>
      <c r="I17" s="32">
        <f>'Data Sheet'!I28/'Data Sheet'!$I$17</f>
        <v>0.25736322765709257</v>
      </c>
      <c r="J17" s="32">
        <f>'Data Sheet'!J28/'Data Sheet'!$J$17</f>
        <v>0.25587488837712086</v>
      </c>
      <c r="K17" s="32">
        <f>'Data Sheet'!K28/'Data Sheet'!$K$17</f>
        <v>0.245250373566124</v>
      </c>
    </row>
    <row r="18" spans="2:12" x14ac:dyDescent="0.35">
      <c r="B18" t="s">
        <v>13</v>
      </c>
      <c r="D18" s="32">
        <f>'Data Sheet'!D29/'Data Sheet'!$D$17</f>
        <v>6.8283457255416041E-2</v>
      </c>
      <c r="E18" s="32">
        <f>'Data Sheet'!E29/'Data Sheet'!$E$17</f>
        <v>6.2447036935565053E-2</v>
      </c>
      <c r="F18" s="32">
        <f>'Data Sheet'!F29/'Data Sheet'!$F$17</f>
        <v>6.8206874288115879E-2</v>
      </c>
      <c r="G18" s="32">
        <f>'Data Sheet'!G29/'Data Sheet'!$G$17</f>
        <v>6.9036369515107901E-2</v>
      </c>
      <c r="H18" s="32">
        <f>'Data Sheet'!H29/'Data Sheet'!$H$17</f>
        <v>6.4774813934302622E-2</v>
      </c>
      <c r="I18" s="32">
        <f>'Data Sheet'!I29/'Data Sheet'!$I$17</f>
        <v>6.5996106155014889E-2</v>
      </c>
      <c r="J18" s="32">
        <f>'Data Sheet'!J29/'Data Sheet'!$J$17</f>
        <v>6.4756936284877248E-2</v>
      </c>
      <c r="K18" s="32">
        <f>'Data Sheet'!K29/'Data Sheet'!$K$17</f>
        <v>6.0043966579407609E-2</v>
      </c>
    </row>
    <row r="19" spans="2:12" x14ac:dyDescent="0.35">
      <c r="B19" t="s">
        <v>14</v>
      </c>
      <c r="D19" s="32">
        <f>'Data Sheet'!D30/'Data Sheet'!$D$17</f>
        <v>0.21488020865338003</v>
      </c>
      <c r="E19" s="32">
        <f>'Data Sheet'!E30/'Data Sheet'!$E$17</f>
        <v>0.20605419594900254</v>
      </c>
      <c r="F19" s="32">
        <f>'Data Sheet'!F30/'Data Sheet'!$F$17</f>
        <v>0.19753071380278603</v>
      </c>
      <c r="G19" s="32">
        <f>'Data Sheet'!G30/'Data Sheet'!$G$17</f>
        <v>0.19987588264130082</v>
      </c>
      <c r="H19" s="32">
        <f>'Data Sheet'!H30/'Data Sheet'!$H$17</f>
        <v>0.18693947431450647</v>
      </c>
      <c r="I19" s="32">
        <f>'Data Sheet'!I30/'Data Sheet'!$I$17</f>
        <v>0.19057423835478823</v>
      </c>
      <c r="J19" s="32">
        <f>'Data Sheet'!J30/'Data Sheet'!$J$17</f>
        <v>0.1901623035828986</v>
      </c>
      <c r="K19" s="32">
        <f>'Data Sheet'!K30/'Data Sheet'!$K$17</f>
        <v>0.1842926211796076</v>
      </c>
    </row>
    <row r="21" spans="2:12" x14ac:dyDescent="0.35">
      <c r="B21" s="284" t="str">
        <f>"Common Size Balance Sheet Statement"&amp;" "&amp;"- "&amp;'Data Sheet'!B1</f>
        <v>Common Size Balance Sheet Statement - TATA CONSULTANCY SERVICES LTD</v>
      </c>
      <c r="C21" s="284"/>
      <c r="D21" s="284"/>
      <c r="E21" s="284"/>
      <c r="F21" s="284"/>
      <c r="G21" s="284"/>
      <c r="H21" s="284"/>
      <c r="I21" s="284"/>
      <c r="J21" s="284"/>
      <c r="K21" s="284"/>
      <c r="L21" s="25"/>
    </row>
    <row r="23" spans="2:12" x14ac:dyDescent="0.35">
      <c r="B23" s="2" t="s">
        <v>159</v>
      </c>
      <c r="D23" s="70">
        <f>'Data Sheet'!D61/'Data Sheet'!D61</f>
        <v>1</v>
      </c>
      <c r="E23" s="70">
        <f>'Data Sheet'!E61/'Data Sheet'!E61</f>
        <v>1</v>
      </c>
      <c r="F23" s="70">
        <f>'Data Sheet'!F61/'Data Sheet'!F61</f>
        <v>1</v>
      </c>
      <c r="G23" s="70">
        <f>'Data Sheet'!G61/'Data Sheet'!G61</f>
        <v>1</v>
      </c>
      <c r="H23" s="70">
        <f>'Data Sheet'!H61/'Data Sheet'!H61</f>
        <v>1</v>
      </c>
      <c r="I23" s="70">
        <f>'Data Sheet'!I61/'Data Sheet'!I61</f>
        <v>1</v>
      </c>
      <c r="J23" s="70">
        <f>'Data Sheet'!J61/'Data Sheet'!J61</f>
        <v>1</v>
      </c>
      <c r="K23" s="70">
        <f>'Data Sheet'!K61/'Data Sheet'!K61</f>
        <v>1</v>
      </c>
    </row>
    <row r="24" spans="2:12" x14ac:dyDescent="0.35">
      <c r="B24" t="s">
        <v>24</v>
      </c>
      <c r="D24" s="32">
        <f>'Data Sheet'!D57/'Data Sheet'!$D$61</f>
        <v>3.2923328153396372E-3</v>
      </c>
      <c r="E24" s="32">
        <f>'Data Sheet'!E57/'Data Sheet'!$E$61</f>
        <v>3.1216962048498673E-3</v>
      </c>
      <c r="F24" s="32">
        <f>'Data Sheet'!F57/'Data Sheet'!$F$61</f>
        <v>2.8463290048618378E-3</v>
      </c>
      <c r="G24" s="32">
        <f>'Data Sheet'!G57/'Data Sheet'!$G$61</f>
        <v>2.5971445601884703E-3</v>
      </c>
      <c r="H24" s="32">
        <f>'Data Sheet'!H57/'Data Sheet'!$H$61</f>
        <v>2.5619666944329722E-3</v>
      </c>
      <c r="I24" s="32">
        <f>'Data Sheet'!I57/'Data Sheet'!$I$61</f>
        <v>2.4884513858337001E-3</v>
      </c>
      <c r="J24" s="32">
        <f>'Data Sheet'!J57/'Data Sheet'!$J$61</f>
        <v>2.2817666672969891E-3</v>
      </c>
      <c r="K24" s="32">
        <f>'Data Sheet'!K57/'Data Sheet'!$K$61</f>
        <v>1.9981563971363438E-3</v>
      </c>
    </row>
    <row r="25" spans="2:12" x14ac:dyDescent="0.35">
      <c r="B25" t="s">
        <v>25</v>
      </c>
      <c r="D25" s="32">
        <f>'Data Sheet'!D58/'Data Sheet'!$D$61</f>
        <v>0.78200366985364478</v>
      </c>
      <c r="E25" s="32">
        <f>'Data Sheet'!E58/'Data Sheet'!$E$61</f>
        <v>0.69718714360634992</v>
      </c>
      <c r="F25" s="32">
        <f>'Data Sheet'!F58/'Data Sheet'!$F$61</f>
        <v>0.66206381931195768</v>
      </c>
      <c r="G25" s="32">
        <f>'Data Sheet'!G58/'Data Sheet'!$G$61</f>
        <v>0.62993528426669698</v>
      </c>
      <c r="H25" s="32">
        <f>'Data Sheet'!H58/'Data Sheet'!$H$61</f>
        <v>0.63039780482853724</v>
      </c>
      <c r="I25" s="32">
        <f>'Data Sheet'!I58/'Data Sheet'!$I$61</f>
        <v>0.61954877914650242</v>
      </c>
      <c r="J25" s="32">
        <f>'Data Sheet'!J58/'Data Sheet'!$J$61</f>
        <v>0.59498641655478446</v>
      </c>
      <c r="K25" s="32">
        <f>'Data Sheet'!K58/'Data Sheet'!$K$61</f>
        <v>0.58994187683187338</v>
      </c>
    </row>
    <row r="26" spans="2:12" x14ac:dyDescent="0.35">
      <c r="B26" t="s">
        <v>71</v>
      </c>
      <c r="D26" s="32">
        <f>'Data Sheet'!D59/'Data Sheet'!$D$61</f>
        <v>5.4433235880281994E-4</v>
      </c>
      <c r="E26" s="32">
        <f>'Data Sheet'!E59/'Data Sheet'!$E$61</f>
        <v>6.8044652742514172E-2</v>
      </c>
      <c r="F26" s="32">
        <f>'Data Sheet'!F59/'Data Sheet'!$F$61</f>
        <v>5.9965228629454123E-2</v>
      </c>
      <c r="G26" s="32">
        <f>'Data Sheet'!G59/'Data Sheet'!$G$61</f>
        <v>5.5476710851238967E-2</v>
      </c>
      <c r="H26" s="32">
        <f>'Data Sheet'!H59/'Data Sheet'!$H$61</f>
        <v>5.3815300401094786E-2</v>
      </c>
      <c r="I26" s="32">
        <f>'Data Sheet'!I59/'Data Sheet'!$I$61</f>
        <v>5.5137758468983722E-2</v>
      </c>
      <c r="J26" s="32">
        <f>'Data Sheet'!J59/'Data Sheet'!$J$61</f>
        <v>5.9199868892964976E-2</v>
      </c>
      <c r="K26" s="32">
        <f>'Data Sheet'!K59/'Data Sheet'!$K$61</f>
        <v>6.2279554223451293E-2</v>
      </c>
    </row>
    <row r="27" spans="2:12" x14ac:dyDescent="0.35">
      <c r="B27" t="s">
        <v>72</v>
      </c>
      <c r="D27" s="32">
        <f>'Data Sheet'!D60/'Data Sheet'!$D$61</f>
        <v>0.2141596649722127</v>
      </c>
      <c r="E27" s="32">
        <f>'Data Sheet'!E60/'Data Sheet'!$E$61</f>
        <v>0.23164650744628601</v>
      </c>
      <c r="F27" s="32">
        <f>'Data Sheet'!F60/'Data Sheet'!$F$61</f>
        <v>0.27512462305372637</v>
      </c>
      <c r="G27" s="32">
        <f>'Data Sheet'!G60/'Data Sheet'!$G$61</f>
        <v>0.31199086032187562</v>
      </c>
      <c r="H27" s="32">
        <f>'Data Sheet'!H60/'Data Sheet'!$H$61</f>
        <v>0.31322492807593499</v>
      </c>
      <c r="I27" s="32">
        <f>'Data Sheet'!I60/'Data Sheet'!$I$61</f>
        <v>0.32282501099868016</v>
      </c>
      <c r="J27" s="32">
        <f>'Data Sheet'!J60/'Data Sheet'!$J$61</f>
        <v>0.34353194788495356</v>
      </c>
      <c r="K27" s="32">
        <f>'Data Sheet'!K60/'Data Sheet'!$K$61</f>
        <v>0.345780412547539</v>
      </c>
    </row>
    <row r="29" spans="2:12" x14ac:dyDescent="0.35">
      <c r="B29" s="2" t="s">
        <v>126</v>
      </c>
      <c r="D29" s="70">
        <f>'Data Sheet'!D66/'Data Sheet'!D66</f>
        <v>1</v>
      </c>
      <c r="E29" s="70">
        <f>'Data Sheet'!E66/'Data Sheet'!E66</f>
        <v>1</v>
      </c>
      <c r="F29" s="70">
        <f>'Data Sheet'!F66/'Data Sheet'!F66</f>
        <v>1</v>
      </c>
      <c r="G29" s="70">
        <f>'Data Sheet'!G66/'Data Sheet'!G66</f>
        <v>1</v>
      </c>
      <c r="H29" s="70">
        <f>'Data Sheet'!H66/'Data Sheet'!H66</f>
        <v>1</v>
      </c>
      <c r="I29" s="70">
        <f>'Data Sheet'!I66/'Data Sheet'!I66</f>
        <v>1</v>
      </c>
      <c r="J29" s="70">
        <f>'Data Sheet'!J66/'Data Sheet'!J66</f>
        <v>1</v>
      </c>
      <c r="K29" s="70">
        <f>'Data Sheet'!K66/'Data Sheet'!K66</f>
        <v>1</v>
      </c>
    </row>
    <row r="30" spans="2:12" x14ac:dyDescent="0.35">
      <c r="B30" t="s">
        <v>27</v>
      </c>
      <c r="D30" s="32">
        <f>'Data Sheet'!D62/'Data Sheet'!$D$66</f>
        <v>0.1079007208013977</v>
      </c>
      <c r="E30" s="32">
        <f>'Data Sheet'!E62/'Data Sheet'!$E$66</f>
        <v>0.1742156218002614</v>
      </c>
      <c r="F30" s="32">
        <f>'Data Sheet'!F62/'Data Sheet'!$F$66</f>
        <v>0.16170995138162347</v>
      </c>
      <c r="G30" s="32">
        <f>'Data Sheet'!G62/'Data Sheet'!$G$66</f>
        <v>0.1511311061281258</v>
      </c>
      <c r="H30" s="32">
        <f>'Data Sheet'!H62/'Data Sheet'!$H$66</f>
        <v>0.14360313315926893</v>
      </c>
      <c r="I30" s="32">
        <f>'Data Sheet'!I62/'Data Sheet'!$I$66</f>
        <v>0.13476132864056314</v>
      </c>
      <c r="J30" s="32">
        <f>'Data Sheet'!J62/'Data Sheet'!$J$66</f>
        <v>0.14530819608065604</v>
      </c>
      <c r="K30" s="32">
        <f>'Data Sheet'!K62/'Data Sheet'!$K$66</f>
        <v>0.17300612142387964</v>
      </c>
    </row>
    <row r="31" spans="2:12" x14ac:dyDescent="0.35">
      <c r="B31" t="s">
        <v>28</v>
      </c>
      <c r="D31" s="32">
        <f>'Data Sheet'!D63/'Data Sheet'!$D$66</f>
        <v>8.4547106697921877E-3</v>
      </c>
      <c r="E31" s="32">
        <f>'Data Sheet'!E63/'Data Sheet'!$E$66</f>
        <v>7.5420180309172793E-3</v>
      </c>
      <c r="F31" s="32">
        <f>'Data Sheet'!F63/'Data Sheet'!$F$66</f>
        <v>7.1235152932488154E-3</v>
      </c>
      <c r="G31" s="32">
        <f>'Data Sheet'!G63/'Data Sheet'!$G$66</f>
        <v>8.5507081831341716E-3</v>
      </c>
      <c r="H31" s="32">
        <f>'Data Sheet'!H63/'Data Sheet'!$H$66</f>
        <v>8.6378877074598029E-3</v>
      </c>
      <c r="I31" s="32">
        <f>'Data Sheet'!I63/'Data Sheet'!$I$66</f>
        <v>1.0751209854817421E-2</v>
      </c>
      <c r="J31" s="32">
        <f>'Data Sheet'!J63/'Data Sheet'!$J$66</f>
        <v>9.74478250729598E-3</v>
      </c>
      <c r="K31" s="32">
        <f>'Data Sheet'!K63/'Data Sheet'!$K$66</f>
        <v>1.4710184525879437E-2</v>
      </c>
    </row>
    <row r="32" spans="2:12" x14ac:dyDescent="0.35">
      <c r="B32" t="s">
        <v>29</v>
      </c>
      <c r="D32" s="32">
        <f>'Data Sheet'!D64/'Data Sheet'!$D$66</f>
        <v>0.25750432393043082</v>
      </c>
      <c r="E32" s="32">
        <f>'Data Sheet'!E64/'Data Sheet'!$E$66</f>
        <v>0.2194011338000616</v>
      </c>
      <c r="F32" s="32">
        <f>'Data Sheet'!F64/'Data Sheet'!$F$66</f>
        <v>0.2259600590805588</v>
      </c>
      <c r="G32" s="32">
        <f>'Data Sheet'!G64/'Data Sheet'!$G$66</f>
        <v>0.2163222729982118</v>
      </c>
      <c r="H32" s="32">
        <f>'Data Sheet'!H64/'Data Sheet'!$H$66</f>
        <v>0.26013761821096326</v>
      </c>
      <c r="I32" s="32">
        <f>'Data Sheet'!I64/'Data Sheet'!$I$66</f>
        <v>0.2183375494940607</v>
      </c>
      <c r="J32" s="32">
        <f>'Data Sheet'!J64/'Data Sheet'!$J$66</f>
        <v>0.19517299195078444</v>
      </c>
      <c r="K32" s="32">
        <f>'Data Sheet'!K64/'Data Sheet'!$K$66</f>
        <v>0.18760591056870179</v>
      </c>
    </row>
    <row r="33" spans="2:11" x14ac:dyDescent="0.35">
      <c r="B33" t="s">
        <v>73</v>
      </c>
      <c r="D33" s="32">
        <f>'Data Sheet'!D75/'Data Sheet'!$D$66</f>
        <v>0.27316704857727325</v>
      </c>
      <c r="E33" s="32">
        <f>'Data Sheet'!E75/'Data Sheet'!$E$66</f>
        <v>0.26417041963921517</v>
      </c>
      <c r="F33" s="32">
        <f>'Data Sheet'!F75/'Data Sheet'!$F$66</f>
        <v>0.30198781463474678</v>
      </c>
      <c r="G33" s="32">
        <f>'Data Sheet'!G75/'Data Sheet'!$G$66</f>
        <v>0.19787261218812977</v>
      </c>
      <c r="H33" s="32">
        <f>'Data Sheet'!H75/'Data Sheet'!$H$66</f>
        <v>0.1605289131241294</v>
      </c>
      <c r="I33" s="32">
        <f>'Data Sheet'!I75/'Data Sheet'!$I$66</f>
        <v>0.1763294654641443</v>
      </c>
      <c r="J33" s="32">
        <f>'Data Sheet'!J75/'Data Sheet'!$J$66</f>
        <v>0.17999483135727298</v>
      </c>
      <c r="K33" s="32">
        <f>'Data Sheet'!K75/'Data Sheet'!$K$66</f>
        <v>0.17950288959909919</v>
      </c>
    </row>
    <row r="34" spans="2:11" x14ac:dyDescent="0.35">
      <c r="B34" t="s">
        <v>78</v>
      </c>
      <c r="D34" s="32">
        <f>'Data Sheet'!D67/'Data Sheet'!$D$66</f>
        <v>0.24008568844874056</v>
      </c>
      <c r="E34" s="32">
        <f>'Data Sheet'!E67/'Data Sheet'!$E$66</f>
        <v>0.25416434273726973</v>
      </c>
      <c r="F34" s="32">
        <f>'Data Sheet'!F67/'Data Sheet'!$F$66</f>
        <v>0.23139116253307895</v>
      </c>
      <c r="G34" s="32">
        <f>'Data Sheet'!G67/'Data Sheet'!$G$66</f>
        <v>0.29668473787289601</v>
      </c>
      <c r="H34" s="32">
        <f>'Data Sheet'!H67/'Data Sheet'!$H$66</f>
        <v>0.34967345424509483</v>
      </c>
      <c r="I34" s="32">
        <f>'Data Sheet'!I67/'Data Sheet'!$I$66</f>
        <v>0.36829767927848656</v>
      </c>
      <c r="J34" s="32">
        <f>'Data Sheet'!J67/'Data Sheet'!$J$66</f>
        <v>0.37218009568292265</v>
      </c>
      <c r="K34" s="32">
        <f>'Data Sheet'!K67/'Data Sheet'!$K$66</f>
        <v>0.37376564164555354</v>
      </c>
    </row>
    <row r="35" spans="2:11" x14ac:dyDescent="0.35">
      <c r="B35" t="s">
        <v>45</v>
      </c>
      <c r="D35" s="32">
        <f>'Data Sheet'!D68/'Data Sheet'!$D$66</f>
        <v>8.7795541742390323E-5</v>
      </c>
      <c r="E35" s="32">
        <f>'Data Sheet'!E68/'Data Sheet'!$E$66</f>
        <v>4.1622616064664895E-5</v>
      </c>
      <c r="F35" s="32">
        <f>'Data Sheet'!F68/'Data Sheet'!$F$66</f>
        <v>6.154224875376947E-5</v>
      </c>
      <c r="G35" s="32">
        <f>'Data Sheet'!G68/'Data Sheet'!$G$66</f>
        <v>1.4192046776986177E-4</v>
      </c>
      <c r="H35" s="32">
        <f>'Data Sheet'!H68/'Data Sheet'!$H$66</f>
        <v>1.9599745203312358E-4</v>
      </c>
      <c r="I35" s="32">
        <f>'Data Sheet'!I68/'Data Sheet'!$I$66</f>
        <v>1.9247690277166739E-4</v>
      </c>
      <c r="J35" s="32">
        <f>'Data Sheet'!J68/'Data Sheet'!$J$66</f>
        <v>1.323676795945767E-4</v>
      </c>
      <c r="K35" s="32">
        <f>'Data Sheet'!K68/'Data Sheet'!$K$66</f>
        <v>1.6007330253302201E-4</v>
      </c>
    </row>
    <row r="36" spans="2:11" x14ac:dyDescent="0.35">
      <c r="B36" t="s">
        <v>87</v>
      </c>
      <c r="D36" s="32">
        <f>'Data Sheet'!D69/'Data Sheet'!$D$66</f>
        <v>0.11279971203062308</v>
      </c>
      <c r="E36" s="32">
        <f>'Data Sheet'!E69/'Data Sheet'!$E$66</f>
        <v>8.0464841376210183E-2</v>
      </c>
      <c r="F36" s="32">
        <f>'Data Sheet'!F69/'Data Sheet'!$F$66</f>
        <v>7.176595482798942E-2</v>
      </c>
      <c r="G36" s="32">
        <f>'Data Sheet'!G69/'Data Sheet'!$G$66</f>
        <v>0.12929664216173256</v>
      </c>
      <c r="H36" s="32">
        <f>'Data Sheet'!H69/'Data Sheet'!$H$66</f>
        <v>7.7222996101050684E-2</v>
      </c>
      <c r="I36" s="32">
        <f>'Data Sheet'!I69/'Data Sheet'!$I$66</f>
        <v>9.1330290365156178E-2</v>
      </c>
      <c r="J36" s="32">
        <f>'Data Sheet'!J69/'Data Sheet'!$J$66</f>
        <v>9.7466734741473313E-2</v>
      </c>
      <c r="K36" s="32">
        <f>'Data Sheet'!K69/'Data Sheet'!$K$66</f>
        <v>7.1249178934353383E-2</v>
      </c>
    </row>
  </sheetData>
  <mergeCells count="2">
    <mergeCell ref="B2:K2"/>
    <mergeCell ref="B21:K21"/>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8622E-F032-46EE-BAD0-5C0B3D96F227}">
  <dimension ref="B2:H27"/>
  <sheetViews>
    <sheetView showGridLines="0" topLeftCell="A10" workbookViewId="0">
      <selection activeCell="H4" sqref="H4"/>
    </sheetView>
  </sheetViews>
  <sheetFormatPr defaultRowHeight="14.5" x14ac:dyDescent="0.35"/>
  <cols>
    <col min="1" max="1" width="1.81640625" customWidth="1"/>
    <col min="2" max="2" width="16.7265625" bestFit="1" customWidth="1"/>
  </cols>
  <sheetData>
    <row r="2" spans="2:8" x14ac:dyDescent="0.35">
      <c r="B2" s="284" t="s">
        <v>255</v>
      </c>
      <c r="C2" s="284"/>
    </row>
    <row r="3" spans="2:8" x14ac:dyDescent="0.35">
      <c r="F3" t="s">
        <v>256</v>
      </c>
      <c r="H3" s="5">
        <f>AVERAGE(C5:C27)</f>
        <v>0.15411739130434784</v>
      </c>
    </row>
    <row r="4" spans="2:8" ht="16.5" x14ac:dyDescent="0.35">
      <c r="B4" s="107" t="s">
        <v>253</v>
      </c>
      <c r="C4" s="108" t="s">
        <v>254</v>
      </c>
      <c r="F4" t="s">
        <v>257</v>
      </c>
      <c r="H4" s="110" t="s">
        <v>258</v>
      </c>
    </row>
    <row r="5" spans="2:8" x14ac:dyDescent="0.35">
      <c r="B5" s="20">
        <v>2000</v>
      </c>
      <c r="C5" s="109">
        <v>-0.14649999999999999</v>
      </c>
      <c r="F5" s="111" t="s">
        <v>259</v>
      </c>
      <c r="G5" s="111"/>
      <c r="H5" s="112">
        <f>SUM(H3:H4)</f>
        <v>0.15411739130434784</v>
      </c>
    </row>
    <row r="6" spans="2:8" x14ac:dyDescent="0.35">
      <c r="B6" s="20">
        <v>2001</v>
      </c>
      <c r="C6" s="109">
        <v>-0.1618</v>
      </c>
    </row>
    <row r="7" spans="2:8" x14ac:dyDescent="0.35">
      <c r="B7" s="20">
        <v>2002</v>
      </c>
      <c r="C7" s="109">
        <v>3.2500000000000001E-2</v>
      </c>
    </row>
    <row r="8" spans="2:8" x14ac:dyDescent="0.35">
      <c r="B8" s="20">
        <v>2003</v>
      </c>
      <c r="C8" s="109">
        <v>0.71900000000000008</v>
      </c>
    </row>
    <row r="9" spans="2:8" x14ac:dyDescent="0.35">
      <c r="B9" s="20">
        <v>2004</v>
      </c>
      <c r="C9" s="109">
        <v>0.10679999999999999</v>
      </c>
    </row>
    <row r="10" spans="2:8" x14ac:dyDescent="0.35">
      <c r="B10" s="20">
        <v>2005</v>
      </c>
      <c r="C10" s="109">
        <v>0.36340000000000006</v>
      </c>
    </row>
    <row r="11" spans="2:8" x14ac:dyDescent="0.35">
      <c r="B11" s="20">
        <v>2006</v>
      </c>
      <c r="C11" s="109">
        <v>0.39829999999999999</v>
      </c>
    </row>
    <row r="12" spans="2:8" x14ac:dyDescent="0.35">
      <c r="B12" s="20">
        <v>2007</v>
      </c>
      <c r="C12" s="109">
        <v>0.54770000000000008</v>
      </c>
    </row>
    <row r="13" spans="2:8" x14ac:dyDescent="0.35">
      <c r="B13" s="20">
        <v>2008</v>
      </c>
      <c r="C13" s="109">
        <v>-0.51790000000000003</v>
      </c>
    </row>
    <row r="14" spans="2:8" x14ac:dyDescent="0.35">
      <c r="B14" s="20">
        <v>2009</v>
      </c>
      <c r="C14" s="109">
        <v>0.75760000000000005</v>
      </c>
    </row>
    <row r="15" spans="2:8" x14ac:dyDescent="0.35">
      <c r="B15" s="20">
        <v>2010</v>
      </c>
      <c r="C15" s="109">
        <v>0.17949999999999999</v>
      </c>
    </row>
    <row r="16" spans="2:8" x14ac:dyDescent="0.35">
      <c r="B16" s="20">
        <v>2011</v>
      </c>
      <c r="C16" s="109">
        <v>-0.2462</v>
      </c>
    </row>
    <row r="17" spans="2:3" x14ac:dyDescent="0.35">
      <c r="B17" s="20">
        <v>2012</v>
      </c>
      <c r="C17" s="109">
        <v>0.27699999999999997</v>
      </c>
    </row>
    <row r="18" spans="2:3" x14ac:dyDescent="0.35">
      <c r="B18" s="20">
        <v>2013</v>
      </c>
      <c r="C18" s="109">
        <v>6.7599999999999993E-2</v>
      </c>
    </row>
    <row r="19" spans="2:3" x14ac:dyDescent="0.35">
      <c r="B19" s="20">
        <v>2014</v>
      </c>
      <c r="C19" s="109">
        <v>0.31390000000000001</v>
      </c>
    </row>
    <row r="20" spans="2:3" x14ac:dyDescent="0.35">
      <c r="B20" s="20">
        <v>2015</v>
      </c>
      <c r="C20" s="109">
        <v>-4.0599999999999997E-2</v>
      </c>
    </row>
    <row r="21" spans="2:3" x14ac:dyDescent="0.35">
      <c r="B21" s="20">
        <v>2016</v>
      </c>
      <c r="C21" s="109">
        <v>3.0099999999999998E-2</v>
      </c>
    </row>
    <row r="22" spans="2:3" x14ac:dyDescent="0.35">
      <c r="B22" s="20">
        <v>2017</v>
      </c>
      <c r="C22" s="109">
        <v>0.28649999999999998</v>
      </c>
    </row>
    <row r="23" spans="2:3" x14ac:dyDescent="0.35">
      <c r="B23" s="20">
        <v>2018</v>
      </c>
      <c r="C23" s="109">
        <v>3.15E-2</v>
      </c>
    </row>
    <row r="24" spans="2:3" x14ac:dyDescent="0.35">
      <c r="B24" s="20">
        <v>2019</v>
      </c>
      <c r="C24" s="109">
        <v>0.1202</v>
      </c>
    </row>
    <row r="25" spans="2:3" x14ac:dyDescent="0.35">
      <c r="B25" s="20">
        <v>2020</v>
      </c>
      <c r="C25" s="109">
        <v>0.14169999999999999</v>
      </c>
    </row>
    <row r="26" spans="2:3" x14ac:dyDescent="0.35">
      <c r="B26" s="20">
        <v>2021</v>
      </c>
      <c r="C26" s="109">
        <v>0.2412</v>
      </c>
    </row>
    <row r="27" spans="2:3" x14ac:dyDescent="0.35">
      <c r="B27" s="20">
        <v>2022</v>
      </c>
      <c r="C27" s="109">
        <v>4.3200000000000002E-2</v>
      </c>
    </row>
  </sheetData>
  <mergeCells count="1">
    <mergeCell ref="B2:C2"/>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D47CA-E0F9-4AFD-B8B7-C7F326773CB3}">
  <dimension ref="B3:L34"/>
  <sheetViews>
    <sheetView showGridLines="0" zoomScale="79" workbookViewId="0">
      <selection activeCell="N14" sqref="N14"/>
    </sheetView>
  </sheetViews>
  <sheetFormatPr defaultRowHeight="14.5" x14ac:dyDescent="0.35"/>
  <cols>
    <col min="1" max="1" width="1.81640625" customWidth="1"/>
    <col min="2" max="2" width="26.1796875" customWidth="1"/>
    <col min="3" max="3" width="10.26953125" bestFit="1" customWidth="1"/>
    <col min="4" max="4" width="7.81640625" bestFit="1" customWidth="1"/>
    <col min="5" max="5" width="8.81640625" bestFit="1" customWidth="1"/>
    <col min="6" max="6" width="9" bestFit="1" customWidth="1"/>
    <col min="7" max="7" width="12.54296875" bestFit="1" customWidth="1"/>
    <col min="8" max="8" width="8.90625" bestFit="1" customWidth="1"/>
    <col min="11" max="11" width="9.26953125" bestFit="1" customWidth="1"/>
    <col min="12" max="12" width="12.1796875" bestFit="1" customWidth="1"/>
  </cols>
  <sheetData>
    <row r="3" spans="2:12" x14ac:dyDescent="0.35">
      <c r="B3" s="276" t="str">
        <f>"Weighted Average Cost Of Capital-"&amp;'Data Sheet'!B1</f>
        <v>Weighted Average Cost Of Capital-TATA CONSULTANCY SERVICES LTD</v>
      </c>
      <c r="C3" s="276"/>
      <c r="D3" s="276"/>
      <c r="E3" s="276"/>
      <c r="F3" s="276"/>
      <c r="G3" s="276"/>
      <c r="H3" s="276"/>
      <c r="I3" s="276"/>
      <c r="J3" s="276"/>
      <c r="K3" s="276"/>
      <c r="L3" s="276"/>
    </row>
    <row r="4" spans="2:12" x14ac:dyDescent="0.35">
      <c r="B4" s="33" t="s">
        <v>160</v>
      </c>
      <c r="C4" s="33"/>
      <c r="D4" s="33"/>
    </row>
    <row r="5" spans="2:12" ht="15" thickBot="1" x14ac:dyDescent="0.4">
      <c r="B5" s="73" t="s">
        <v>161</v>
      </c>
      <c r="C5" s="73"/>
      <c r="D5" s="73"/>
      <c r="E5" s="73"/>
      <c r="F5" s="73"/>
      <c r="G5" s="73"/>
      <c r="H5" s="73"/>
      <c r="I5" s="73"/>
      <c r="J5" s="73"/>
      <c r="K5" s="73"/>
    </row>
    <row r="6" spans="2:12" x14ac:dyDescent="0.35">
      <c r="B6" s="114"/>
      <c r="C6" s="114"/>
      <c r="D6" s="114"/>
      <c r="E6" s="114"/>
      <c r="F6" s="114"/>
      <c r="G6" s="114"/>
      <c r="H6" s="114"/>
      <c r="I6" s="114" t="s">
        <v>167</v>
      </c>
      <c r="J6" s="114" t="s">
        <v>167</v>
      </c>
      <c r="K6" s="114" t="s">
        <v>170</v>
      </c>
      <c r="L6" s="216" t="s">
        <v>172</v>
      </c>
    </row>
    <row r="7" spans="2:12" ht="17" thickBot="1" x14ac:dyDescent="0.4">
      <c r="B7" s="215" t="s">
        <v>162</v>
      </c>
      <c r="C7" s="215"/>
      <c r="D7" s="215"/>
      <c r="E7" s="215" t="s">
        <v>163</v>
      </c>
      <c r="F7" s="215" t="s">
        <v>164</v>
      </c>
      <c r="G7" s="215" t="s">
        <v>165</v>
      </c>
      <c r="H7" s="215" t="s">
        <v>166</v>
      </c>
      <c r="I7" s="215" t="s">
        <v>168</v>
      </c>
      <c r="J7" s="215" t="s">
        <v>169</v>
      </c>
      <c r="K7" s="215" t="s">
        <v>475</v>
      </c>
      <c r="L7" s="215" t="s">
        <v>476</v>
      </c>
    </row>
    <row r="8" spans="2:12" x14ac:dyDescent="0.35">
      <c r="B8" t="s">
        <v>174</v>
      </c>
      <c r="E8" t="s">
        <v>175</v>
      </c>
      <c r="F8" s="59">
        <v>11283</v>
      </c>
      <c r="G8" s="59">
        <v>737079.33200000005</v>
      </c>
      <c r="H8" s="75">
        <v>0.25</v>
      </c>
      <c r="I8" s="32">
        <f>F8/G8</f>
        <v>1.5307714529702752E-2</v>
      </c>
      <c r="J8" s="32">
        <f>F8/(F8+G8)</f>
        <v>1.5076921322116996E-2</v>
      </c>
      <c r="K8" s="76">
        <f>'Regretion Beta'!K13</f>
        <v>0.11676027682346769</v>
      </c>
      <c r="L8" s="32">
        <f>K8/(1+(1-H8)*F8/G8)</f>
        <v>0.1154349923907754</v>
      </c>
    </row>
    <row r="9" spans="2:12" x14ac:dyDescent="0.35">
      <c r="B9" t="s">
        <v>176</v>
      </c>
      <c r="E9" t="s">
        <v>175</v>
      </c>
      <c r="F9" s="59">
        <v>9176</v>
      </c>
      <c r="G9" s="59">
        <v>427062.39999999997</v>
      </c>
      <c r="H9" s="75">
        <v>0.25</v>
      </c>
      <c r="I9" s="32">
        <f t="shared" ref="I9:I12" si="0">F9/G9</f>
        <v>2.1486321436867309E-2</v>
      </c>
      <c r="J9" s="32">
        <f t="shared" ref="J9:J12" si="1">F9/(F9+G9)</f>
        <v>2.1034370197580039E-2</v>
      </c>
      <c r="K9" s="76">
        <v>0.77</v>
      </c>
      <c r="L9" s="32">
        <f t="shared" ref="L9:L12" si="2">K9/(1+(1-H9)*F9/G9)</f>
        <v>0.75778843556916509</v>
      </c>
    </row>
    <row r="10" spans="2:12" x14ac:dyDescent="0.35">
      <c r="B10" t="s">
        <v>178</v>
      </c>
      <c r="E10" t="s">
        <v>175</v>
      </c>
      <c r="F10" s="59">
        <f>[1]Sheet2!L5</f>
        <v>5215</v>
      </c>
      <c r="G10" s="59">
        <f>[1]Sheet2!N5</f>
        <v>309904.53999999998</v>
      </c>
      <c r="H10" s="75">
        <v>0.25</v>
      </c>
      <c r="I10" s="32">
        <f t="shared" si="0"/>
        <v>1.6827762510352381E-2</v>
      </c>
      <c r="J10" s="32">
        <f t="shared" si="1"/>
        <v>1.654927523694659E-2</v>
      </c>
      <c r="K10" s="76">
        <v>0.8</v>
      </c>
      <c r="L10" s="32">
        <f t="shared" si="2"/>
        <v>0.79002918240665965</v>
      </c>
    </row>
    <row r="11" spans="2:12" x14ac:dyDescent="0.35">
      <c r="B11" t="s">
        <v>177</v>
      </c>
      <c r="E11" t="s">
        <v>175</v>
      </c>
      <c r="F11" s="59">
        <f>[1]Sheet2!L6</f>
        <v>20291</v>
      </c>
      <c r="G11" s="59">
        <f>[1]Sheet2!N6</f>
        <v>171677.17249999999</v>
      </c>
      <c r="H11" s="75">
        <v>0.25</v>
      </c>
      <c r="I11" s="32">
        <f t="shared" si="0"/>
        <v>0.11819276671742716</v>
      </c>
      <c r="J11" s="32">
        <f t="shared" si="1"/>
        <v>0.10569981333754688</v>
      </c>
      <c r="K11" s="76">
        <v>0.65</v>
      </c>
      <c r="L11" s="32">
        <f t="shared" si="2"/>
        <v>0.59707274063922033</v>
      </c>
    </row>
    <row r="12" spans="2:12" ht="15" thickBot="1" x14ac:dyDescent="0.4">
      <c r="B12" t="s">
        <v>94</v>
      </c>
      <c r="E12" t="s">
        <v>175</v>
      </c>
      <c r="F12" s="59">
        <f>[1]Sheet2!L7</f>
        <v>2186.1999999999998</v>
      </c>
      <c r="G12" s="59">
        <f>[1]Sheet2!N7</f>
        <v>140423.82750000001</v>
      </c>
      <c r="H12" s="75">
        <v>0.25</v>
      </c>
      <c r="I12" s="32">
        <f t="shared" si="0"/>
        <v>1.5568582903068923E-2</v>
      </c>
      <c r="J12" s="32">
        <f t="shared" si="1"/>
        <v>1.5329917806796576E-2</v>
      </c>
      <c r="K12" s="76">
        <v>0.78</v>
      </c>
      <c r="L12" s="32">
        <f t="shared" si="2"/>
        <v>0.77099749617208968</v>
      </c>
    </row>
    <row r="13" spans="2:12" x14ac:dyDescent="0.35">
      <c r="B13" s="79" t="s">
        <v>156</v>
      </c>
      <c r="C13" s="79"/>
      <c r="D13" s="79"/>
      <c r="E13" s="77"/>
      <c r="F13" s="77"/>
      <c r="G13" s="77"/>
      <c r="H13" s="81">
        <f>AVERAGE(H8:H12)</f>
        <v>0.25</v>
      </c>
      <c r="I13" s="81">
        <f t="shared" ref="I13:L13" si="3">AVERAGE(I8:I12)</f>
        <v>3.7476629619483712E-2</v>
      </c>
      <c r="J13" s="81">
        <f t="shared" si="3"/>
        <v>3.473805958019742E-2</v>
      </c>
      <c r="K13" s="81">
        <f t="shared" si="3"/>
        <v>0.62335205536469351</v>
      </c>
      <c r="L13" s="81">
        <f t="shared" si="3"/>
        <v>0.60626456943558193</v>
      </c>
    </row>
    <row r="14" spans="2:12" ht="15" thickBot="1" x14ac:dyDescent="0.4">
      <c r="B14" s="80" t="s">
        <v>155</v>
      </c>
      <c r="C14" s="80"/>
      <c r="D14" s="80"/>
      <c r="E14" s="78"/>
      <c r="F14" s="78"/>
      <c r="G14" s="78"/>
      <c r="H14" s="82">
        <f>MEDIAN(H8:H12)</f>
        <v>0.25</v>
      </c>
      <c r="I14" s="82">
        <f t="shared" ref="I14:L14" si="4">MEDIAN(I8:I12)</f>
        <v>1.6827762510352381E-2</v>
      </c>
      <c r="J14" s="82">
        <f t="shared" si="4"/>
        <v>1.654927523694659E-2</v>
      </c>
      <c r="K14" s="82">
        <f t="shared" si="4"/>
        <v>0.77</v>
      </c>
      <c r="L14" s="82">
        <f t="shared" si="4"/>
        <v>0.75778843556916509</v>
      </c>
    </row>
    <row r="15" spans="2:12" ht="15" thickTop="1" x14ac:dyDescent="0.35"/>
    <row r="17" spans="2:12" ht="15" thickBot="1" x14ac:dyDescent="0.4">
      <c r="B17" s="90" t="s">
        <v>179</v>
      </c>
      <c r="C17" s="73"/>
      <c r="D17" s="73"/>
      <c r="E17" s="73"/>
      <c r="G17" s="91" t="s">
        <v>190</v>
      </c>
      <c r="H17" s="91"/>
      <c r="I17" s="91"/>
      <c r="J17" s="91"/>
      <c r="K17" s="91"/>
      <c r="L17" s="91"/>
    </row>
    <row r="18" spans="2:12" x14ac:dyDescent="0.35">
      <c r="B18" t="s">
        <v>180</v>
      </c>
      <c r="E18" s="83">
        <v>9.5000000000000001E-2</v>
      </c>
      <c r="G18" t="s">
        <v>191</v>
      </c>
      <c r="L18" s="5">
        <v>8.3000000000000004E-2</v>
      </c>
    </row>
    <row r="19" spans="2:12" ht="15" thickBot="1" x14ac:dyDescent="0.4">
      <c r="B19" t="s">
        <v>181</v>
      </c>
      <c r="E19" s="74">
        <f>H12</f>
        <v>0.25</v>
      </c>
      <c r="G19" t="s">
        <v>192</v>
      </c>
      <c r="L19" s="5">
        <f>'Risk Free Rate'!H5</f>
        <v>0.15411739130434784</v>
      </c>
    </row>
    <row r="20" spans="2:12" ht="17" thickBot="1" x14ac:dyDescent="0.4">
      <c r="B20" s="79" t="s">
        <v>182</v>
      </c>
      <c r="C20" s="79"/>
      <c r="D20" s="79"/>
      <c r="E20" s="86">
        <f>E18*(1-E19)</f>
        <v>7.1250000000000008E-2</v>
      </c>
      <c r="G20" t="s">
        <v>193</v>
      </c>
      <c r="L20" s="102">
        <f>'Regretion Beta'!M11</f>
        <v>0.33757020761760076</v>
      </c>
    </row>
    <row r="21" spans="2:12" x14ac:dyDescent="0.35">
      <c r="B21" s="2"/>
      <c r="C21" s="2"/>
      <c r="D21" s="2"/>
      <c r="E21" s="16"/>
      <c r="G21" s="79" t="s">
        <v>194</v>
      </c>
      <c r="H21" s="79"/>
      <c r="I21" s="79"/>
      <c r="J21" s="79"/>
      <c r="K21" s="79"/>
      <c r="L21" s="92">
        <f>L18+L19*L20</f>
        <v>0.13502543978009174</v>
      </c>
    </row>
    <row r="23" spans="2:12" ht="15" thickBot="1" x14ac:dyDescent="0.4">
      <c r="B23" s="90" t="s">
        <v>183</v>
      </c>
      <c r="C23" s="73"/>
      <c r="D23" s="73"/>
      <c r="E23" s="73"/>
      <c r="G23" s="90" t="s">
        <v>195</v>
      </c>
      <c r="H23" s="73"/>
      <c r="I23" s="73"/>
      <c r="J23" s="73"/>
      <c r="K23" s="73"/>
      <c r="L23" s="73"/>
    </row>
    <row r="24" spans="2:12" ht="15" thickBot="1" x14ac:dyDescent="0.4">
      <c r="D24" s="85" t="s">
        <v>184</v>
      </c>
      <c r="E24" s="85" t="s">
        <v>185</v>
      </c>
      <c r="G24" t="s">
        <v>196</v>
      </c>
      <c r="L24" s="74">
        <f>L14</f>
        <v>0.75778843556916509</v>
      </c>
    </row>
    <row r="25" spans="2:12" x14ac:dyDescent="0.35">
      <c r="B25" t="s">
        <v>186</v>
      </c>
      <c r="C25" s="84">
        <f>F8</f>
        <v>11283</v>
      </c>
      <c r="D25" s="32">
        <f>C25/C27</f>
        <v>1.5076921322116996E-2</v>
      </c>
      <c r="E25" s="74">
        <f>J13</f>
        <v>3.473805958019742E-2</v>
      </c>
      <c r="G25" t="s">
        <v>197</v>
      </c>
      <c r="L25" s="5">
        <f>E29</f>
        <v>3.5988220529123392E-2</v>
      </c>
    </row>
    <row r="26" spans="2:12" ht="15" thickBot="1" x14ac:dyDescent="0.4">
      <c r="B26" t="s">
        <v>187</v>
      </c>
      <c r="C26" s="84">
        <f>G8</f>
        <v>737079.33200000005</v>
      </c>
      <c r="D26" s="32">
        <f>C26/C27</f>
        <v>0.98492307867788298</v>
      </c>
      <c r="E26" s="5">
        <f>E27-E25</f>
        <v>0.96526194041980262</v>
      </c>
      <c r="G26" t="s">
        <v>181</v>
      </c>
      <c r="L26" s="74">
        <f>E19</f>
        <v>0.25</v>
      </c>
    </row>
    <row r="27" spans="2:12" x14ac:dyDescent="0.35">
      <c r="B27" s="79" t="s">
        <v>188</v>
      </c>
      <c r="C27" s="87">
        <f>SUM(C25:C26)</f>
        <v>748362.33200000005</v>
      </c>
      <c r="D27" s="88">
        <f>C27/C27</f>
        <v>1</v>
      </c>
      <c r="E27" s="88">
        <f>D27/D27</f>
        <v>1</v>
      </c>
      <c r="G27" s="79" t="s">
        <v>195</v>
      </c>
      <c r="H27" s="79"/>
      <c r="I27" s="79"/>
      <c r="J27" s="79"/>
      <c r="K27" s="79"/>
      <c r="L27" s="97">
        <f>L24*(1+(1-L26)*L25)</f>
        <v>0.77824202856942704</v>
      </c>
    </row>
    <row r="29" spans="2:12" x14ac:dyDescent="0.35">
      <c r="B29" s="2" t="s">
        <v>189</v>
      </c>
      <c r="D29" s="89">
        <f>D25/D26</f>
        <v>1.5307714529702752E-2</v>
      </c>
      <c r="E29" s="89">
        <f>E25/E26</f>
        <v>3.5988220529123392E-2</v>
      </c>
    </row>
    <row r="30" spans="2:12" ht="15" thickBot="1" x14ac:dyDescent="0.4">
      <c r="B30" s="95" t="s">
        <v>203</v>
      </c>
      <c r="G30" s="90" t="s">
        <v>198</v>
      </c>
      <c r="H30" s="73"/>
      <c r="I30" s="73"/>
      <c r="J30" s="73"/>
      <c r="K30" s="73"/>
      <c r="L30" s="73"/>
    </row>
    <row r="31" spans="2:12" ht="15" thickBot="1" x14ac:dyDescent="0.4">
      <c r="B31" s="96" t="s">
        <v>204</v>
      </c>
      <c r="C31" s="96"/>
      <c r="D31" s="96"/>
      <c r="E31" s="96"/>
      <c r="K31" s="93" t="s">
        <v>199</v>
      </c>
      <c r="L31" s="93" t="s">
        <v>200</v>
      </c>
    </row>
    <row r="32" spans="2:12" x14ac:dyDescent="0.35">
      <c r="B32" s="96" t="s">
        <v>205</v>
      </c>
      <c r="C32" s="96"/>
      <c r="D32" s="96"/>
      <c r="E32" s="96"/>
      <c r="G32" s="2" t="s">
        <v>201</v>
      </c>
      <c r="K32" s="5">
        <f>E20</f>
        <v>7.1250000000000008E-2</v>
      </c>
      <c r="L32" s="74">
        <f>E25</f>
        <v>3.473805958019742E-2</v>
      </c>
    </row>
    <row r="33" spans="2:12" ht="15" thickBot="1" x14ac:dyDescent="0.4">
      <c r="B33" s="96" t="s">
        <v>206</v>
      </c>
      <c r="C33" s="96"/>
      <c r="D33" s="96"/>
      <c r="E33" s="96"/>
      <c r="G33" s="2" t="s">
        <v>168</v>
      </c>
      <c r="K33" s="5">
        <f>L21</f>
        <v>0.13502543978009174</v>
      </c>
      <c r="L33" s="5">
        <f>E26</f>
        <v>0.96526194041980262</v>
      </c>
    </row>
    <row r="34" spans="2:12" x14ac:dyDescent="0.35">
      <c r="B34" s="96" t="s">
        <v>207</v>
      </c>
      <c r="C34" s="96"/>
      <c r="D34" s="96"/>
      <c r="E34" s="96"/>
      <c r="G34" s="79" t="s">
        <v>202</v>
      </c>
      <c r="H34" s="79"/>
      <c r="I34" s="79"/>
      <c r="J34" s="79"/>
      <c r="K34" s="79"/>
      <c r="L34" s="94">
        <f>SUMPRODUCT(K32:K33,L32:L33)</f>
        <v>0.13281000475325763</v>
      </c>
    </row>
  </sheetData>
  <mergeCells count="1">
    <mergeCell ref="B3:L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DB0A1-9D9D-4D75-B597-ED466C7B4448}">
  <sheetPr>
    <pageSetUpPr fitToPage="1"/>
  </sheetPr>
  <dimension ref="B2:R250"/>
  <sheetViews>
    <sheetView showGridLines="0" workbookViewId="0">
      <selection activeCell="O15" sqref="O15"/>
    </sheetView>
  </sheetViews>
  <sheetFormatPr defaultRowHeight="14.5" x14ac:dyDescent="0.35"/>
  <cols>
    <col min="1" max="1" width="1.81640625" customWidth="1"/>
    <col min="2" max="2" width="9.54296875" bestFit="1" customWidth="1"/>
    <col min="9" max="9" width="1.54296875" customWidth="1"/>
    <col min="11" max="11" width="11.81640625" bestFit="1" customWidth="1"/>
  </cols>
  <sheetData>
    <row r="2" spans="2:13" x14ac:dyDescent="0.35">
      <c r="B2" s="276" t="str">
        <f>"Adjested Beta-"&amp;'Data Sheet'!B1</f>
        <v>Adjested Beta-TATA CONSULTANCY SERVICES LTD</v>
      </c>
      <c r="C2" s="276"/>
      <c r="D2" s="276"/>
      <c r="E2" s="276"/>
      <c r="F2" s="276"/>
      <c r="G2" s="276"/>
      <c r="H2" s="276"/>
      <c r="I2" s="276"/>
      <c r="J2" s="276"/>
      <c r="K2" s="276"/>
      <c r="L2" s="276"/>
      <c r="M2" s="276"/>
    </row>
    <row r="4" spans="2:13" x14ac:dyDescent="0.35">
      <c r="B4" s="276" t="s">
        <v>217</v>
      </c>
      <c r="C4" s="276"/>
      <c r="D4" s="276"/>
      <c r="F4" s="276" t="s">
        <v>218</v>
      </c>
      <c r="G4" s="276"/>
      <c r="H4" s="276"/>
      <c r="J4" s="285" t="s">
        <v>247</v>
      </c>
      <c r="K4" s="285"/>
      <c r="L4" s="285"/>
      <c r="M4" s="285"/>
    </row>
    <row r="5" spans="2:13" x14ac:dyDescent="0.35">
      <c r="B5" t="s">
        <v>208</v>
      </c>
      <c r="C5" t="s">
        <v>212</v>
      </c>
      <c r="D5" t="s">
        <v>216</v>
      </c>
      <c r="F5" s="99"/>
      <c r="G5" t="s">
        <v>212</v>
      </c>
      <c r="H5" t="s">
        <v>216</v>
      </c>
    </row>
    <row r="6" spans="2:13" x14ac:dyDescent="0.35">
      <c r="B6" s="98">
        <v>45931</v>
      </c>
      <c r="C6">
        <v>10.29</v>
      </c>
      <c r="F6" s="99"/>
      <c r="G6">
        <v>24383.599999999999</v>
      </c>
      <c r="J6" s="20" t="s">
        <v>248</v>
      </c>
      <c r="M6" s="102">
        <f>K13</f>
        <v>0.11676027682346769</v>
      </c>
    </row>
    <row r="7" spans="2:13" x14ac:dyDescent="0.35">
      <c r="B7" s="98">
        <v>45933</v>
      </c>
      <c r="C7">
        <v>10.06</v>
      </c>
      <c r="D7" s="32">
        <f>C7/C6-1</f>
        <v>-2.235179786200181E-2</v>
      </c>
      <c r="F7" s="99"/>
      <c r="G7">
        <v>24317.15</v>
      </c>
      <c r="H7" s="32">
        <f>G7/G6-1</f>
        <v>-2.7251923423939894E-3</v>
      </c>
      <c r="J7" t="s">
        <v>249</v>
      </c>
      <c r="M7" s="32">
        <v>0.75</v>
      </c>
    </row>
    <row r="8" spans="2:13" x14ac:dyDescent="0.35">
      <c r="B8" s="98">
        <v>45936</v>
      </c>
      <c r="C8">
        <v>10.19</v>
      </c>
      <c r="D8" s="32">
        <f t="shared" ref="D8:D71" si="0">C8/C7-1</f>
        <v>1.2922465208747402E-2</v>
      </c>
      <c r="F8" s="99"/>
      <c r="G8">
        <v>24250.2</v>
      </c>
      <c r="H8" s="32">
        <f t="shared" ref="H8:H71" si="1">G8/G7-1</f>
        <v>-2.7532009302076998E-3</v>
      </c>
    </row>
    <row r="9" spans="2:13" x14ac:dyDescent="0.35">
      <c r="B9" s="98">
        <v>45937</v>
      </c>
      <c r="C9">
        <v>10.050000000000001</v>
      </c>
      <c r="D9" s="32">
        <f t="shared" si="0"/>
        <v>-1.3738959764474812E-2</v>
      </c>
      <c r="F9" s="99"/>
      <c r="G9">
        <v>23985.35</v>
      </c>
      <c r="H9" s="32">
        <f t="shared" si="1"/>
        <v>-1.0921559409819426E-2</v>
      </c>
      <c r="J9" t="s">
        <v>250</v>
      </c>
      <c r="M9">
        <v>1</v>
      </c>
    </row>
    <row r="10" spans="2:13" x14ac:dyDescent="0.35">
      <c r="B10" s="98">
        <v>45938</v>
      </c>
      <c r="C10">
        <v>10.31</v>
      </c>
      <c r="D10" s="32">
        <f t="shared" si="0"/>
        <v>2.5870646766169125E-2</v>
      </c>
      <c r="F10" s="99"/>
      <c r="G10">
        <v>23995.95</v>
      </c>
      <c r="H10" s="32">
        <f t="shared" si="1"/>
        <v>4.4193643203049859E-4</v>
      </c>
      <c r="J10" t="s">
        <v>251</v>
      </c>
      <c r="M10" s="32">
        <v>0.25</v>
      </c>
    </row>
    <row r="11" spans="2:13" x14ac:dyDescent="0.35">
      <c r="B11" s="98">
        <v>45939</v>
      </c>
      <c r="C11">
        <v>10.119999999999999</v>
      </c>
      <c r="D11" s="32">
        <f t="shared" si="0"/>
        <v>-1.8428709990300773E-2</v>
      </c>
      <c r="F11" s="99"/>
      <c r="G11">
        <v>23767.45</v>
      </c>
      <c r="H11" s="32">
        <f t="shared" si="1"/>
        <v>-9.5224402451247192E-3</v>
      </c>
      <c r="J11" s="103" t="s">
        <v>252</v>
      </c>
      <c r="K11" s="103"/>
      <c r="L11" s="104"/>
      <c r="M11" s="105">
        <f>(M6*M7)+(M9*M10)</f>
        <v>0.33757020761760076</v>
      </c>
    </row>
    <row r="12" spans="2:13" x14ac:dyDescent="0.35">
      <c r="B12" s="98">
        <v>45940</v>
      </c>
      <c r="C12">
        <v>10.1</v>
      </c>
      <c r="D12" s="32">
        <f t="shared" si="0"/>
        <v>-1.9762845849802257E-3</v>
      </c>
      <c r="F12" s="99"/>
      <c r="G12">
        <v>23869.599999999999</v>
      </c>
      <c r="H12" s="32">
        <f t="shared" si="1"/>
        <v>4.297894809918601E-3</v>
      </c>
    </row>
    <row r="13" spans="2:13" x14ac:dyDescent="0.35">
      <c r="B13" s="98">
        <v>45943</v>
      </c>
      <c r="C13">
        <v>11.01</v>
      </c>
      <c r="D13" s="32">
        <f t="shared" si="0"/>
        <v>9.0099009900990179E-2</v>
      </c>
      <c r="F13" s="99"/>
      <c r="G13">
        <v>23996.25</v>
      </c>
      <c r="H13" s="32">
        <f t="shared" si="1"/>
        <v>5.3059121225325079E-3</v>
      </c>
      <c r="J13" t="s">
        <v>222</v>
      </c>
      <c r="K13" s="106">
        <f>SLOPE(D7:D127,H7:H127)</f>
        <v>0.11676027682346769</v>
      </c>
    </row>
    <row r="14" spans="2:13" x14ac:dyDescent="0.35">
      <c r="B14" s="98">
        <v>45944</v>
      </c>
      <c r="C14">
        <v>11.16</v>
      </c>
      <c r="D14" s="32">
        <f t="shared" si="0"/>
        <v>1.3623978201634968E-2</v>
      </c>
      <c r="F14" s="99"/>
      <c r="G14">
        <v>24187.7</v>
      </c>
      <c r="H14" s="32">
        <f t="shared" si="1"/>
        <v>7.9783299473876745E-3</v>
      </c>
      <c r="J14" t="s">
        <v>171</v>
      </c>
      <c r="K14" s="106" cm="1">
        <f t="array" ref="K14">_xlfn.COVARIANCE.S(D7:D127,H7:H127/_xlfn.VAR.S(H7:H127))</f>
        <v>0.11676027682346785</v>
      </c>
    </row>
    <row r="15" spans="2:13" x14ac:dyDescent="0.35">
      <c r="B15" s="98">
        <v>45945</v>
      </c>
      <c r="C15">
        <v>10.53</v>
      </c>
      <c r="D15" s="32">
        <f t="shared" si="0"/>
        <v>-5.6451612903225867E-2</v>
      </c>
      <c r="F15" s="99"/>
      <c r="G15">
        <v>24238.5</v>
      </c>
      <c r="H15" s="32">
        <f t="shared" si="1"/>
        <v>2.1002410315986708E-3</v>
      </c>
      <c r="J15" t="s">
        <v>173</v>
      </c>
      <c r="K15" s="106">
        <f>K34</f>
        <v>0.1167602768234676</v>
      </c>
    </row>
    <row r="16" spans="2:13" x14ac:dyDescent="0.35">
      <c r="B16" s="98">
        <v>45946</v>
      </c>
      <c r="C16">
        <v>10.87</v>
      </c>
      <c r="D16" s="32">
        <f t="shared" si="0"/>
        <v>3.228869895536568E-2</v>
      </c>
      <c r="F16" s="99"/>
      <c r="G16">
        <v>24334.3</v>
      </c>
      <c r="H16" s="32">
        <f t="shared" si="1"/>
        <v>3.9523897930977547E-3</v>
      </c>
    </row>
    <row r="17" spans="2:18" x14ac:dyDescent="0.35">
      <c r="B17" s="98">
        <v>45947</v>
      </c>
      <c r="C17">
        <v>11.63</v>
      </c>
      <c r="D17" s="32">
        <f t="shared" si="0"/>
        <v>6.9917203311867571E-2</v>
      </c>
      <c r="F17" s="99"/>
      <c r="G17">
        <v>24072.75</v>
      </c>
      <c r="H17" s="32">
        <f t="shared" si="1"/>
        <v>-1.0748203153573277E-2</v>
      </c>
      <c r="J17" t="s">
        <v>223</v>
      </c>
    </row>
    <row r="18" spans="2:18" ht="15" thickBot="1" x14ac:dyDescent="0.4">
      <c r="B18" s="98">
        <v>45950</v>
      </c>
      <c r="C18">
        <v>11.36</v>
      </c>
      <c r="D18" s="32">
        <f t="shared" si="0"/>
        <v>-2.3215821152192673E-2</v>
      </c>
      <c r="F18" s="99"/>
      <c r="G18">
        <v>24078.5</v>
      </c>
      <c r="H18" s="32">
        <f t="shared" si="1"/>
        <v>2.3885929110711857E-4</v>
      </c>
    </row>
    <row r="19" spans="2:18" x14ac:dyDescent="0.35">
      <c r="B19" s="98">
        <v>45951</v>
      </c>
      <c r="C19">
        <v>11.3</v>
      </c>
      <c r="D19" s="32">
        <f t="shared" si="0"/>
        <v>-5.2816901408450079E-3</v>
      </c>
      <c r="F19" s="99"/>
      <c r="G19">
        <v>24052.05</v>
      </c>
      <c r="H19" s="32">
        <f t="shared" si="1"/>
        <v>-1.098490354465631E-3</v>
      </c>
      <c r="J19" s="101" t="s">
        <v>224</v>
      </c>
      <c r="K19" s="101"/>
    </row>
    <row r="20" spans="2:18" x14ac:dyDescent="0.35">
      <c r="B20" s="98">
        <v>45953</v>
      </c>
      <c r="C20">
        <v>11.73</v>
      </c>
      <c r="D20" s="32">
        <f t="shared" si="0"/>
        <v>3.8053097345132736E-2</v>
      </c>
      <c r="F20" s="99"/>
      <c r="G20">
        <v>24211</v>
      </c>
      <c r="H20" s="32">
        <f t="shared" si="1"/>
        <v>6.6085842994672017E-3</v>
      </c>
      <c r="J20" t="s">
        <v>225</v>
      </c>
      <c r="K20">
        <v>1.9142005134575486E-2</v>
      </c>
    </row>
    <row r="21" spans="2:18" x14ac:dyDescent="0.35">
      <c r="B21" s="98">
        <v>45954</v>
      </c>
      <c r="C21">
        <v>11.59</v>
      </c>
      <c r="D21" s="32">
        <f t="shared" si="0"/>
        <v>-1.1935208866155178E-2</v>
      </c>
      <c r="F21" s="99"/>
      <c r="G21">
        <v>24206.9</v>
      </c>
      <c r="H21" s="32">
        <f t="shared" si="1"/>
        <v>-1.6934451282468732E-4</v>
      </c>
      <c r="J21" t="s">
        <v>226</v>
      </c>
      <c r="K21">
        <v>3.6641636057211426E-4</v>
      </c>
    </row>
    <row r="22" spans="2:18" x14ac:dyDescent="0.35">
      <c r="B22" s="98">
        <v>45957</v>
      </c>
      <c r="C22">
        <v>11.86</v>
      </c>
      <c r="D22" s="32">
        <f t="shared" si="0"/>
        <v>2.3295944779982758E-2</v>
      </c>
      <c r="F22" s="99"/>
      <c r="G22">
        <v>23962.799999999999</v>
      </c>
      <c r="H22" s="32">
        <f t="shared" si="1"/>
        <v>-1.0083901697449993E-2</v>
      </c>
      <c r="J22" t="s">
        <v>227</v>
      </c>
      <c r="K22">
        <v>-8.0338658548852627E-3</v>
      </c>
    </row>
    <row r="23" spans="2:18" x14ac:dyDescent="0.35">
      <c r="B23" s="98">
        <v>45958</v>
      </c>
      <c r="C23">
        <v>11.95</v>
      </c>
      <c r="D23" s="32">
        <f t="shared" si="0"/>
        <v>7.5885328836424737E-3</v>
      </c>
      <c r="F23" s="99"/>
      <c r="G23">
        <v>23882.05</v>
      </c>
      <c r="H23" s="32">
        <f t="shared" si="1"/>
        <v>-3.3698065334601957E-3</v>
      </c>
      <c r="J23" t="s">
        <v>228</v>
      </c>
      <c r="K23">
        <v>6.5302034285488503E-2</v>
      </c>
    </row>
    <row r="24" spans="2:18" ht="15" thickBot="1" x14ac:dyDescent="0.4">
      <c r="B24" s="98">
        <v>45959</v>
      </c>
      <c r="C24">
        <v>11.97</v>
      </c>
      <c r="D24" s="32">
        <f t="shared" si="0"/>
        <v>1.6736401673640433E-3</v>
      </c>
      <c r="F24" s="99"/>
      <c r="G24">
        <v>24398.7</v>
      </c>
      <c r="H24" s="32">
        <f t="shared" si="1"/>
        <v>2.1633402492667209E-2</v>
      </c>
      <c r="J24" s="91" t="s">
        <v>229</v>
      </c>
      <c r="K24" s="91">
        <v>121</v>
      </c>
    </row>
    <row r="25" spans="2:18" x14ac:dyDescent="0.35">
      <c r="B25" s="98">
        <v>45960</v>
      </c>
      <c r="C25">
        <v>12.07</v>
      </c>
      <c r="D25" s="32">
        <f t="shared" si="0"/>
        <v>8.3542188805345585E-3</v>
      </c>
      <c r="F25" s="99"/>
      <c r="G25">
        <v>24430.35</v>
      </c>
      <c r="H25" s="32">
        <f t="shared" si="1"/>
        <v>1.2972002606694844E-3</v>
      </c>
    </row>
    <row r="26" spans="2:18" ht="15" thickBot="1" x14ac:dyDescent="0.4">
      <c r="B26" s="98">
        <v>45961</v>
      </c>
      <c r="C26">
        <v>12.15</v>
      </c>
      <c r="D26" s="32">
        <f t="shared" si="0"/>
        <v>6.6280033140015959E-3</v>
      </c>
      <c r="F26" s="99"/>
      <c r="G26">
        <v>24270.85</v>
      </c>
      <c r="H26" s="32">
        <f t="shared" si="1"/>
        <v>-6.5287644262157496E-3</v>
      </c>
      <c r="J26" t="s">
        <v>230</v>
      </c>
    </row>
    <row r="27" spans="2:18" x14ac:dyDescent="0.35">
      <c r="B27" s="98">
        <v>45964</v>
      </c>
      <c r="C27">
        <v>12.67</v>
      </c>
      <c r="D27" s="32">
        <f t="shared" si="0"/>
        <v>4.2798353909464959E-2</v>
      </c>
      <c r="F27" s="99"/>
      <c r="G27">
        <v>24175.7</v>
      </c>
      <c r="H27" s="32">
        <f t="shared" si="1"/>
        <v>-3.9203406555600173E-3</v>
      </c>
      <c r="J27" s="100"/>
      <c r="K27" s="100" t="s">
        <v>234</v>
      </c>
      <c r="L27" s="100" t="s">
        <v>235</v>
      </c>
      <c r="M27" s="100" t="s">
        <v>236</v>
      </c>
      <c r="N27" s="100" t="s">
        <v>237</v>
      </c>
      <c r="O27" s="100" t="s">
        <v>238</v>
      </c>
    </row>
    <row r="28" spans="2:18" x14ac:dyDescent="0.35">
      <c r="B28" s="98">
        <v>45965</v>
      </c>
      <c r="C28">
        <v>12.65</v>
      </c>
      <c r="D28" s="32">
        <f t="shared" si="0"/>
        <v>-1.5785319652722452E-3</v>
      </c>
      <c r="F28" s="99"/>
      <c r="G28">
        <v>24005.85</v>
      </c>
      <c r="H28" s="32">
        <f t="shared" si="1"/>
        <v>-7.0256497226555137E-3</v>
      </c>
      <c r="J28" t="s">
        <v>231</v>
      </c>
      <c r="K28">
        <v>1</v>
      </c>
      <c r="L28">
        <v>1.8600918981548364E-4</v>
      </c>
      <c r="M28">
        <v>1.8600918981548364E-4</v>
      </c>
      <c r="N28">
        <v>4.361952981744717E-2</v>
      </c>
      <c r="O28">
        <v>0.83492016335239327</v>
      </c>
    </row>
    <row r="29" spans="2:18" x14ac:dyDescent="0.35">
      <c r="B29" s="98">
        <v>45967</v>
      </c>
      <c r="C29">
        <v>12.41</v>
      </c>
      <c r="D29" s="32">
        <f t="shared" si="0"/>
        <v>-1.8972332015810278E-2</v>
      </c>
      <c r="F29" s="99"/>
      <c r="G29">
        <v>23865.75</v>
      </c>
      <c r="H29" s="32">
        <f t="shared" si="1"/>
        <v>-5.8360774561200257E-3</v>
      </c>
      <c r="J29" t="s">
        <v>232</v>
      </c>
      <c r="K29">
        <v>119</v>
      </c>
      <c r="L29">
        <v>0.50745832613695074</v>
      </c>
      <c r="M29">
        <v>4.2643556818231154E-3</v>
      </c>
    </row>
    <row r="30" spans="2:18" ht="15" thickBot="1" x14ac:dyDescent="0.4">
      <c r="B30" s="98">
        <v>45968</v>
      </c>
      <c r="C30">
        <v>12.56</v>
      </c>
      <c r="D30" s="32">
        <f t="shared" si="0"/>
        <v>1.208702659145855E-2</v>
      </c>
      <c r="F30" s="99"/>
      <c r="G30">
        <v>23946.25</v>
      </c>
      <c r="H30" s="32">
        <f t="shared" si="1"/>
        <v>3.3730345788420824E-3</v>
      </c>
      <c r="J30" s="91" t="s">
        <v>26</v>
      </c>
      <c r="K30" s="91">
        <v>120</v>
      </c>
      <c r="L30" s="91">
        <v>0.50764433532676623</v>
      </c>
      <c r="M30" s="91"/>
      <c r="N30" s="91"/>
      <c r="O30" s="91"/>
    </row>
    <row r="31" spans="2:18" ht="15" thickBot="1" x14ac:dyDescent="0.4">
      <c r="B31" s="98">
        <v>45971</v>
      </c>
      <c r="C31">
        <v>12.3</v>
      </c>
      <c r="D31" s="32">
        <f t="shared" si="0"/>
        <v>-2.0700636942675099E-2</v>
      </c>
      <c r="F31" s="99"/>
      <c r="G31">
        <v>24056</v>
      </c>
      <c r="H31" s="32">
        <f t="shared" si="1"/>
        <v>4.5831810826328923E-3</v>
      </c>
    </row>
    <row r="32" spans="2:18" x14ac:dyDescent="0.35">
      <c r="B32" s="98">
        <v>45972</v>
      </c>
      <c r="C32">
        <v>12.49</v>
      </c>
      <c r="D32" s="32">
        <f t="shared" si="0"/>
        <v>1.5447154471544655E-2</v>
      </c>
      <c r="F32" s="99"/>
      <c r="G32">
        <v>24021.65</v>
      </c>
      <c r="H32" s="32">
        <f t="shared" si="1"/>
        <v>-1.4279181908878336E-3</v>
      </c>
      <c r="J32" s="100"/>
      <c r="K32" s="100" t="s">
        <v>239</v>
      </c>
      <c r="L32" s="100" t="s">
        <v>228</v>
      </c>
      <c r="M32" s="100" t="s">
        <v>240</v>
      </c>
      <c r="N32" s="100" t="s">
        <v>241</v>
      </c>
      <c r="O32" s="100" t="s">
        <v>242</v>
      </c>
      <c r="P32" s="100" t="s">
        <v>243</v>
      </c>
      <c r="Q32" s="100" t="s">
        <v>244</v>
      </c>
      <c r="R32" s="100" t="s">
        <v>245</v>
      </c>
    </row>
    <row r="33" spans="2:18" x14ac:dyDescent="0.35">
      <c r="B33" s="98">
        <v>45973</v>
      </c>
      <c r="C33">
        <v>12.11</v>
      </c>
      <c r="D33" s="32">
        <f t="shared" si="0"/>
        <v>-3.04243394715773E-2</v>
      </c>
      <c r="F33" s="99"/>
      <c r="G33">
        <v>23824.1</v>
      </c>
      <c r="H33" s="32">
        <f t="shared" si="1"/>
        <v>-8.2238314187411676E-3</v>
      </c>
      <c r="J33" t="s">
        <v>233</v>
      </c>
      <c r="K33">
        <v>1.0248430709637704E-2</v>
      </c>
      <c r="L33">
        <v>5.9387900456829221E-3</v>
      </c>
      <c r="M33">
        <v>1.7256765487252044</v>
      </c>
      <c r="N33">
        <v>8.7001295676658097E-2</v>
      </c>
      <c r="O33">
        <v>-1.5109667261227703E-3</v>
      </c>
      <c r="P33">
        <v>2.200782814539818E-2</v>
      </c>
      <c r="Q33">
        <v>-1.5109667261227703E-3</v>
      </c>
      <c r="R33">
        <v>2.200782814539818E-2</v>
      </c>
    </row>
    <row r="34" spans="2:18" ht="15" thickBot="1" x14ac:dyDescent="0.4">
      <c r="B34" s="98">
        <v>45974</v>
      </c>
      <c r="C34">
        <v>12.16</v>
      </c>
      <c r="D34" s="32">
        <f t="shared" si="0"/>
        <v>4.1288191577208977E-3</v>
      </c>
      <c r="F34" s="99"/>
      <c r="G34">
        <v>24102.9</v>
      </c>
      <c r="H34" s="32">
        <f t="shared" si="1"/>
        <v>1.1702435768822461E-2</v>
      </c>
      <c r="J34" s="91" t="s">
        <v>246</v>
      </c>
      <c r="K34" s="91">
        <v>0.1167602768234676</v>
      </c>
      <c r="L34" s="91">
        <v>0.55905511585015055</v>
      </c>
      <c r="M34" s="91">
        <v>0.20885289037362836</v>
      </c>
      <c r="N34" s="91">
        <v>0.83492016335244612</v>
      </c>
      <c r="O34" s="91">
        <v>-0.99022468900403726</v>
      </c>
      <c r="P34" s="91">
        <v>1.2237452426509725</v>
      </c>
      <c r="Q34" s="91">
        <v>-0.99022468900403726</v>
      </c>
      <c r="R34" s="91">
        <v>1.2237452426509725</v>
      </c>
    </row>
    <row r="35" spans="2:18" x14ac:dyDescent="0.35">
      <c r="B35" s="98">
        <v>45975</v>
      </c>
      <c r="C35">
        <v>11.94</v>
      </c>
      <c r="D35" s="32">
        <f t="shared" si="0"/>
        <v>-1.8092105263157965E-2</v>
      </c>
      <c r="F35" s="99"/>
      <c r="G35">
        <v>24013.1</v>
      </c>
      <c r="H35" s="32">
        <f t="shared" si="1"/>
        <v>-3.7256927589627287E-3</v>
      </c>
    </row>
    <row r="36" spans="2:18" x14ac:dyDescent="0.35">
      <c r="B36" s="98">
        <v>45978</v>
      </c>
      <c r="C36">
        <v>11.79</v>
      </c>
      <c r="D36" s="32">
        <f t="shared" si="0"/>
        <v>-1.2562814070351758E-2</v>
      </c>
      <c r="F36" s="99"/>
      <c r="G36">
        <v>24168</v>
      </c>
      <c r="H36" s="32">
        <f t="shared" si="1"/>
        <v>6.4506456892279296E-3</v>
      </c>
    </row>
    <row r="37" spans="2:18" x14ac:dyDescent="0.35">
      <c r="B37" s="98">
        <v>45979</v>
      </c>
      <c r="C37">
        <v>12.1</v>
      </c>
      <c r="D37" s="32">
        <f t="shared" si="0"/>
        <v>2.6293469041560602E-2</v>
      </c>
      <c r="F37" s="99"/>
      <c r="G37">
        <v>24085.7</v>
      </c>
      <c r="H37" s="32">
        <f t="shared" si="1"/>
        <v>-3.405329361138687E-3</v>
      </c>
    </row>
    <row r="38" spans="2:18" x14ac:dyDescent="0.35">
      <c r="B38" s="98">
        <v>45980</v>
      </c>
      <c r="C38">
        <v>11.97</v>
      </c>
      <c r="D38" s="32">
        <f t="shared" si="0"/>
        <v>-1.074380165289246E-2</v>
      </c>
      <c r="F38" s="99"/>
      <c r="G38">
        <v>23989.15</v>
      </c>
      <c r="H38" s="32">
        <f t="shared" si="1"/>
        <v>-4.0086026148294929E-3</v>
      </c>
    </row>
    <row r="39" spans="2:18" x14ac:dyDescent="0.35">
      <c r="B39" s="98">
        <v>45981</v>
      </c>
      <c r="C39">
        <v>12.14</v>
      </c>
      <c r="D39" s="32">
        <f t="shared" si="0"/>
        <v>1.4202172096908994E-2</v>
      </c>
      <c r="F39" s="99"/>
      <c r="G39">
        <v>23853.9</v>
      </c>
      <c r="H39" s="32">
        <f t="shared" si="1"/>
        <v>-5.6379654969017645E-3</v>
      </c>
    </row>
    <row r="40" spans="2:18" x14ac:dyDescent="0.35">
      <c r="B40" s="98">
        <v>45982</v>
      </c>
      <c r="C40">
        <v>13.63</v>
      </c>
      <c r="D40" s="32">
        <f t="shared" si="0"/>
        <v>0.1227347611202636</v>
      </c>
      <c r="F40" s="99"/>
      <c r="G40">
        <v>23622.9</v>
      </c>
      <c r="H40" s="32">
        <f t="shared" si="1"/>
        <v>-9.6839510520292382E-3</v>
      </c>
    </row>
    <row r="41" spans="2:18" x14ac:dyDescent="0.35">
      <c r="B41" s="98">
        <v>45985</v>
      </c>
      <c r="C41">
        <v>13.24</v>
      </c>
      <c r="D41" s="32">
        <f t="shared" si="0"/>
        <v>-2.861335289801914E-2</v>
      </c>
      <c r="F41" s="99"/>
      <c r="G41">
        <v>23161.599999999999</v>
      </c>
      <c r="H41" s="32">
        <f t="shared" si="1"/>
        <v>-1.9527661718078737E-2</v>
      </c>
    </row>
    <row r="42" spans="2:18" x14ac:dyDescent="0.35">
      <c r="B42" s="98">
        <v>45986</v>
      </c>
      <c r="C42">
        <v>12.24</v>
      </c>
      <c r="D42" s="32">
        <f t="shared" si="0"/>
        <v>-7.5528700906344448E-2</v>
      </c>
      <c r="F42" s="99"/>
      <c r="G42">
        <v>23214.95</v>
      </c>
      <c r="H42" s="32">
        <f t="shared" si="1"/>
        <v>2.3033814589665802E-3</v>
      </c>
    </row>
    <row r="43" spans="2:18" x14ac:dyDescent="0.35">
      <c r="B43" s="98">
        <v>45987</v>
      </c>
      <c r="C43">
        <v>11.97</v>
      </c>
      <c r="D43" s="32">
        <f t="shared" si="0"/>
        <v>-2.2058823529411686E-2</v>
      </c>
      <c r="F43" s="99"/>
      <c r="G43">
        <v>23242.1</v>
      </c>
      <c r="H43" s="32">
        <f t="shared" si="1"/>
        <v>1.1695049957030079E-3</v>
      </c>
    </row>
    <row r="44" spans="2:18" x14ac:dyDescent="0.35">
      <c r="B44" s="98">
        <v>45988</v>
      </c>
      <c r="C44">
        <v>11.79</v>
      </c>
      <c r="D44" s="32">
        <f t="shared" si="0"/>
        <v>-1.5037593984962516E-2</v>
      </c>
      <c r="F44" s="99"/>
      <c r="G44">
        <v>23123</v>
      </c>
      <c r="H44" s="32">
        <f t="shared" si="1"/>
        <v>-5.1243218125728296E-3</v>
      </c>
    </row>
    <row r="45" spans="2:18" x14ac:dyDescent="0.35">
      <c r="B45" s="98">
        <v>45989</v>
      </c>
      <c r="C45">
        <v>11.62</v>
      </c>
      <c r="D45" s="32">
        <f t="shared" si="0"/>
        <v>-1.4418999151823542E-2</v>
      </c>
      <c r="F45" s="99"/>
      <c r="G45">
        <v>23366.7</v>
      </c>
      <c r="H45" s="32">
        <f t="shared" si="1"/>
        <v>1.0539289884530678E-2</v>
      </c>
    </row>
    <row r="46" spans="2:18" x14ac:dyDescent="0.35">
      <c r="B46" s="98">
        <v>45992</v>
      </c>
      <c r="C46">
        <v>11.63</v>
      </c>
      <c r="D46" s="32">
        <f t="shared" si="0"/>
        <v>8.6058519793463795E-4</v>
      </c>
      <c r="F46" s="99"/>
      <c r="G46">
        <v>23416.55</v>
      </c>
      <c r="H46" s="32">
        <f t="shared" si="1"/>
        <v>2.133377841115669E-3</v>
      </c>
    </row>
    <row r="47" spans="2:18" x14ac:dyDescent="0.35">
      <c r="B47" s="98">
        <v>45993</v>
      </c>
      <c r="C47">
        <v>11.23</v>
      </c>
      <c r="D47" s="32">
        <f t="shared" si="0"/>
        <v>-3.4393809114359408E-2</v>
      </c>
      <c r="F47" s="99"/>
      <c r="G47">
        <v>23405.599999999999</v>
      </c>
      <c r="H47" s="32">
        <f t="shared" si="1"/>
        <v>-4.6761798813232947E-4</v>
      </c>
    </row>
    <row r="48" spans="2:18" x14ac:dyDescent="0.35">
      <c r="B48" s="98">
        <v>45994</v>
      </c>
      <c r="C48">
        <v>11.21</v>
      </c>
      <c r="D48" s="32">
        <f t="shared" si="0"/>
        <v>-1.7809439002670624E-3</v>
      </c>
      <c r="F48" s="99"/>
      <c r="G48">
        <v>23483.55</v>
      </c>
      <c r="H48" s="32">
        <f t="shared" si="1"/>
        <v>3.33039956249781E-3</v>
      </c>
    </row>
    <row r="49" spans="2:8" x14ac:dyDescent="0.35">
      <c r="B49" s="98">
        <v>45995</v>
      </c>
      <c r="C49">
        <v>10.82</v>
      </c>
      <c r="D49" s="32">
        <f t="shared" si="0"/>
        <v>-3.479036574487071E-2</v>
      </c>
      <c r="F49" s="99"/>
      <c r="G49">
        <v>23382.6</v>
      </c>
      <c r="H49" s="32">
        <f t="shared" si="1"/>
        <v>-4.2987538085170751E-3</v>
      </c>
    </row>
    <row r="50" spans="2:8" x14ac:dyDescent="0.35">
      <c r="B50" s="98">
        <v>45996</v>
      </c>
      <c r="C50">
        <v>10.32</v>
      </c>
      <c r="D50" s="32">
        <f t="shared" si="0"/>
        <v>-4.6210720887245871E-2</v>
      </c>
      <c r="F50" s="99"/>
      <c r="G50">
        <v>23547.75</v>
      </c>
      <c r="H50" s="32">
        <f t="shared" si="1"/>
        <v>7.0629442405891751E-3</v>
      </c>
    </row>
    <row r="51" spans="2:8" x14ac:dyDescent="0.35">
      <c r="B51" s="98">
        <v>45999</v>
      </c>
      <c r="C51">
        <v>11.13</v>
      </c>
      <c r="D51" s="32">
        <f t="shared" si="0"/>
        <v>7.8488372093023395E-2</v>
      </c>
      <c r="F51" s="99"/>
      <c r="G51">
        <v>23907.15</v>
      </c>
      <c r="H51" s="32">
        <f t="shared" si="1"/>
        <v>1.5262604707456218E-2</v>
      </c>
    </row>
    <row r="52" spans="2:8" x14ac:dyDescent="0.35">
      <c r="B52" s="98">
        <v>46000</v>
      </c>
      <c r="C52">
        <v>10.95</v>
      </c>
      <c r="D52" s="32">
        <f t="shared" si="0"/>
        <v>-1.6172506738544645E-2</v>
      </c>
      <c r="F52" s="99"/>
      <c r="G52">
        <v>23913.7</v>
      </c>
      <c r="H52" s="32">
        <f t="shared" si="1"/>
        <v>2.7397661369077397E-4</v>
      </c>
    </row>
    <row r="53" spans="2:8" x14ac:dyDescent="0.35">
      <c r="B53" s="98">
        <v>46001</v>
      </c>
      <c r="C53">
        <v>10.91</v>
      </c>
      <c r="D53" s="32">
        <f t="shared" si="0"/>
        <v>-3.6529680365295913E-3</v>
      </c>
      <c r="F53" s="99"/>
      <c r="G53">
        <v>24031.7</v>
      </c>
      <c r="H53" s="32">
        <f t="shared" si="1"/>
        <v>4.9344099825623378E-3</v>
      </c>
    </row>
    <row r="54" spans="2:8" x14ac:dyDescent="0.35">
      <c r="B54" s="98">
        <v>46002</v>
      </c>
      <c r="C54">
        <v>10.4</v>
      </c>
      <c r="D54" s="32">
        <f t="shared" si="0"/>
        <v>-4.6746104491292351E-2</v>
      </c>
      <c r="F54" s="99"/>
      <c r="G54">
        <v>23719.3</v>
      </c>
      <c r="H54" s="32">
        <f t="shared" si="1"/>
        <v>-1.2999496498375174E-2</v>
      </c>
    </row>
    <row r="55" spans="2:8" x14ac:dyDescent="0.35">
      <c r="B55" s="98">
        <v>46003</v>
      </c>
      <c r="C55">
        <v>10.11</v>
      </c>
      <c r="D55" s="32">
        <f t="shared" si="0"/>
        <v>-2.7884615384615508E-2</v>
      </c>
      <c r="F55" s="99"/>
      <c r="G55">
        <v>23654.7</v>
      </c>
      <c r="H55" s="32">
        <f t="shared" si="1"/>
        <v>-2.7235205086152403E-3</v>
      </c>
    </row>
    <row r="56" spans="2:8" x14ac:dyDescent="0.35">
      <c r="B56" s="98">
        <v>46006</v>
      </c>
      <c r="C56">
        <v>10.25</v>
      </c>
      <c r="D56" s="32">
        <f t="shared" si="0"/>
        <v>1.3847675568743778E-2</v>
      </c>
      <c r="F56" s="99"/>
      <c r="G56">
        <v>23659</v>
      </c>
      <c r="H56" s="32">
        <f t="shared" si="1"/>
        <v>1.8178205599728159E-4</v>
      </c>
    </row>
    <row r="57" spans="2:8" x14ac:dyDescent="0.35">
      <c r="B57" s="98">
        <v>46007</v>
      </c>
      <c r="C57">
        <v>10.06</v>
      </c>
      <c r="D57" s="32">
        <f t="shared" si="0"/>
        <v>-1.8536585365853564E-2</v>
      </c>
      <c r="F57" s="99"/>
      <c r="G57">
        <v>23618</v>
      </c>
      <c r="H57" s="32">
        <f t="shared" si="1"/>
        <v>-1.7329557462276712E-3</v>
      </c>
    </row>
    <row r="58" spans="2:8" x14ac:dyDescent="0.35">
      <c r="B58" s="98">
        <v>46008</v>
      </c>
      <c r="C58">
        <v>9.84</v>
      </c>
      <c r="D58" s="32">
        <f t="shared" si="0"/>
        <v>-2.1868787276342005E-2</v>
      </c>
      <c r="F58" s="99"/>
      <c r="G58">
        <v>23649.95</v>
      </c>
      <c r="H58" s="32">
        <f t="shared" si="1"/>
        <v>1.3527817766110228E-3</v>
      </c>
    </row>
    <row r="59" spans="2:8" x14ac:dyDescent="0.35">
      <c r="B59" s="98">
        <v>46009</v>
      </c>
      <c r="C59">
        <v>9.7100000000000009</v>
      </c>
      <c r="D59" s="32">
        <f t="shared" si="0"/>
        <v>-1.3211382113821002E-2</v>
      </c>
      <c r="F59" s="99"/>
      <c r="G59">
        <v>23643.5</v>
      </c>
      <c r="H59" s="32">
        <f t="shared" si="1"/>
        <v>-2.7272784931897665E-4</v>
      </c>
    </row>
    <row r="60" spans="2:8" x14ac:dyDescent="0.35">
      <c r="B60" s="98">
        <v>46010</v>
      </c>
      <c r="C60">
        <v>9.52</v>
      </c>
      <c r="D60" s="32">
        <f t="shared" si="0"/>
        <v>-1.9567456230690117E-2</v>
      </c>
      <c r="F60" s="99"/>
      <c r="G60">
        <v>23689.599999999999</v>
      </c>
      <c r="H60" s="32">
        <f t="shared" si="1"/>
        <v>1.949795926998954E-3</v>
      </c>
    </row>
    <row r="61" spans="2:8" x14ac:dyDescent="0.35">
      <c r="B61" s="98">
        <v>46013</v>
      </c>
      <c r="C61">
        <v>9.68</v>
      </c>
      <c r="D61" s="32">
        <f t="shared" si="0"/>
        <v>1.6806722689075571E-2</v>
      </c>
      <c r="F61" s="99"/>
      <c r="G61">
        <v>23412.6</v>
      </c>
      <c r="H61" s="32">
        <f t="shared" si="1"/>
        <v>-1.169289477238955E-2</v>
      </c>
    </row>
    <row r="62" spans="2:8" x14ac:dyDescent="0.35">
      <c r="B62" s="98">
        <v>46014</v>
      </c>
      <c r="C62">
        <v>9.3800000000000008</v>
      </c>
      <c r="D62" s="32">
        <f t="shared" si="0"/>
        <v>-3.0991735537189924E-2</v>
      </c>
      <c r="F62" s="99"/>
      <c r="G62">
        <v>23379.55</v>
      </c>
      <c r="H62" s="32">
        <f t="shared" si="1"/>
        <v>-1.411633052288086E-3</v>
      </c>
    </row>
    <row r="63" spans="2:8" x14ac:dyDescent="0.35">
      <c r="B63" s="98">
        <v>46015</v>
      </c>
      <c r="C63">
        <v>9.19</v>
      </c>
      <c r="D63" s="32">
        <f t="shared" si="0"/>
        <v>-2.0255863539445751E-2</v>
      </c>
      <c r="F63" s="99"/>
      <c r="G63">
        <v>23815.85</v>
      </c>
      <c r="H63" s="32">
        <f t="shared" si="1"/>
        <v>1.8661608114784123E-2</v>
      </c>
    </row>
    <row r="64" spans="2:8" x14ac:dyDescent="0.35">
      <c r="B64" s="98">
        <v>46017</v>
      </c>
      <c r="C64">
        <v>9.15</v>
      </c>
      <c r="D64" s="32">
        <f t="shared" si="0"/>
        <v>-4.3525571273121955E-3</v>
      </c>
      <c r="F64" s="99"/>
      <c r="G64">
        <v>24176.15</v>
      </c>
      <c r="H64" s="32">
        <f t="shared" si="1"/>
        <v>1.51285803362049E-2</v>
      </c>
    </row>
    <row r="65" spans="2:8" x14ac:dyDescent="0.35">
      <c r="B65" s="98">
        <v>46020</v>
      </c>
      <c r="C65">
        <v>9.7200000000000006</v>
      </c>
      <c r="D65" s="32">
        <f t="shared" si="0"/>
        <v>6.2295081967213228E-2</v>
      </c>
      <c r="F65" s="99"/>
      <c r="G65">
        <v>24326.65</v>
      </c>
      <c r="H65" s="32">
        <f t="shared" si="1"/>
        <v>6.2251433747722018E-3</v>
      </c>
    </row>
    <row r="66" spans="2:8" x14ac:dyDescent="0.35">
      <c r="B66" s="98">
        <v>46021</v>
      </c>
      <c r="C66">
        <v>9.68</v>
      </c>
      <c r="D66" s="32">
        <f t="shared" si="0"/>
        <v>-4.115226337448652E-3</v>
      </c>
      <c r="F66" s="99"/>
      <c r="G66">
        <v>24330.95</v>
      </c>
      <c r="H66" s="32">
        <f t="shared" si="1"/>
        <v>1.7676087747386937E-4</v>
      </c>
    </row>
    <row r="67" spans="2:8" x14ac:dyDescent="0.35">
      <c r="B67" s="98">
        <v>46022</v>
      </c>
      <c r="C67">
        <v>9.48</v>
      </c>
      <c r="D67" s="32">
        <f t="shared" si="0"/>
        <v>-2.066115702479332E-2</v>
      </c>
      <c r="F67" s="99"/>
      <c r="G67">
        <v>24032.799999999999</v>
      </c>
      <c r="H67" s="32">
        <f t="shared" si="1"/>
        <v>-1.2253939940692904E-2</v>
      </c>
    </row>
    <row r="68" spans="2:8" x14ac:dyDescent="0.35">
      <c r="B68" s="98">
        <v>46023</v>
      </c>
      <c r="C68">
        <v>9.19</v>
      </c>
      <c r="D68" s="32">
        <f t="shared" si="0"/>
        <v>-3.0590717299578185E-2</v>
      </c>
      <c r="F68" s="99"/>
      <c r="G68">
        <v>24119.3</v>
      </c>
      <c r="H68" s="32">
        <f t="shared" si="1"/>
        <v>3.5992476948170093E-3</v>
      </c>
    </row>
    <row r="69" spans="2:8" x14ac:dyDescent="0.35">
      <c r="B69" s="98">
        <v>46024</v>
      </c>
      <c r="C69">
        <v>9.4499999999999993</v>
      </c>
      <c r="D69" s="32">
        <f t="shared" si="0"/>
        <v>2.8291621327529937E-2</v>
      </c>
      <c r="F69" s="99"/>
      <c r="G69">
        <v>23997.55</v>
      </c>
      <c r="H69" s="32">
        <f t="shared" si="1"/>
        <v>-5.0478247710339375E-3</v>
      </c>
    </row>
    <row r="70" spans="2:8" x14ac:dyDescent="0.35">
      <c r="B70" s="98">
        <v>46027</v>
      </c>
      <c r="C70">
        <v>10.02</v>
      </c>
      <c r="D70" s="32">
        <f t="shared" si="0"/>
        <v>6.0317460317460325E-2</v>
      </c>
      <c r="F70" s="99"/>
      <c r="G70">
        <v>24177.65</v>
      </c>
      <c r="H70" s="32">
        <f t="shared" si="1"/>
        <v>7.5049327952230183E-3</v>
      </c>
    </row>
    <row r="71" spans="2:8" x14ac:dyDescent="0.35">
      <c r="B71" s="98">
        <v>46028</v>
      </c>
      <c r="C71">
        <v>10.02</v>
      </c>
      <c r="D71" s="32">
        <f t="shared" si="0"/>
        <v>0</v>
      </c>
      <c r="F71" s="99"/>
      <c r="G71">
        <v>23995.7</v>
      </c>
      <c r="H71" s="32">
        <f t="shared" si="1"/>
        <v>-7.5255452866593853E-3</v>
      </c>
    </row>
    <row r="72" spans="2:8" x14ac:dyDescent="0.35">
      <c r="B72" s="98">
        <v>46029</v>
      </c>
      <c r="C72">
        <v>9.9499999999999993</v>
      </c>
      <c r="D72" s="32">
        <f t="shared" ref="D72:D127" si="2">C72/C71-1</f>
        <v>-6.98602794411185E-3</v>
      </c>
      <c r="F72" s="99"/>
      <c r="G72">
        <v>24092.7</v>
      </c>
      <c r="H72" s="32">
        <f t="shared" ref="H72:H127" si="3">G72/G71-1</f>
        <v>4.0423909283746617E-3</v>
      </c>
    </row>
    <row r="73" spans="2:8" x14ac:dyDescent="0.35">
      <c r="B73" s="98">
        <v>46030</v>
      </c>
      <c r="C73">
        <v>10.6</v>
      </c>
      <c r="D73" s="32">
        <f t="shared" si="2"/>
        <v>6.5326633165829096E-2</v>
      </c>
      <c r="F73" s="99"/>
      <c r="G73">
        <v>23897.95</v>
      </c>
      <c r="H73" s="32">
        <f t="shared" si="3"/>
        <v>-8.0833613501184454E-3</v>
      </c>
    </row>
    <row r="74" spans="2:8" x14ac:dyDescent="0.35">
      <c r="B74" s="98">
        <v>46031</v>
      </c>
      <c r="C74">
        <v>10.93</v>
      </c>
      <c r="D74" s="32">
        <f t="shared" si="2"/>
        <v>3.1132075471698162E-2</v>
      </c>
      <c r="F74" s="99"/>
      <c r="G74">
        <v>24173.05</v>
      </c>
      <c r="H74" s="32">
        <f t="shared" si="3"/>
        <v>1.1511447634629635E-2</v>
      </c>
    </row>
    <row r="75" spans="2:8" x14ac:dyDescent="0.35">
      <c r="B75" s="98">
        <v>46034</v>
      </c>
      <c r="C75">
        <v>11.37</v>
      </c>
      <c r="D75" s="32">
        <f t="shared" si="2"/>
        <v>4.0256175663311966E-2</v>
      </c>
      <c r="F75" s="99"/>
      <c r="G75">
        <v>24378.1</v>
      </c>
      <c r="H75" s="32">
        <f t="shared" si="3"/>
        <v>8.4825870132234638E-3</v>
      </c>
    </row>
    <row r="76" spans="2:8" x14ac:dyDescent="0.35">
      <c r="B76" s="98">
        <v>46035</v>
      </c>
      <c r="C76">
        <v>11.2</v>
      </c>
      <c r="D76" s="32">
        <f t="shared" si="2"/>
        <v>-1.4951627088830244E-2</v>
      </c>
      <c r="F76" s="99"/>
      <c r="G76">
        <v>24576.6</v>
      </c>
      <c r="H76" s="32">
        <f t="shared" si="3"/>
        <v>8.1425541777251365E-3</v>
      </c>
    </row>
    <row r="77" spans="2:8" x14ac:dyDescent="0.35">
      <c r="B77" s="98">
        <v>46036</v>
      </c>
      <c r="C77">
        <v>11.32</v>
      </c>
      <c r="D77" s="32">
        <f t="shared" si="2"/>
        <v>1.0714285714285898E-2</v>
      </c>
      <c r="F77" s="99"/>
      <c r="G77">
        <v>24364.85</v>
      </c>
      <c r="H77" s="32">
        <f t="shared" si="3"/>
        <v>-8.6159192077016611E-3</v>
      </c>
    </row>
    <row r="78" spans="2:8" x14ac:dyDescent="0.35">
      <c r="B78" s="98">
        <v>46038</v>
      </c>
      <c r="C78">
        <v>11.37</v>
      </c>
      <c r="D78" s="32">
        <f t="shared" si="2"/>
        <v>4.4169611307418588E-3</v>
      </c>
      <c r="F78" s="99"/>
      <c r="G78">
        <v>24353.55</v>
      </c>
      <c r="H78" s="32">
        <f t="shared" si="3"/>
        <v>-4.6378286753245845E-4</v>
      </c>
    </row>
    <row r="79" spans="2:8" x14ac:dyDescent="0.35">
      <c r="B79" s="98">
        <v>46041</v>
      </c>
      <c r="C79">
        <v>11.83</v>
      </c>
      <c r="D79" s="32">
        <f t="shared" si="2"/>
        <v>4.0457343887423169E-2</v>
      </c>
      <c r="F79" s="99"/>
      <c r="G79">
        <v>24196.75</v>
      </c>
      <c r="H79" s="32">
        <f t="shared" si="3"/>
        <v>-6.4384863808356618E-3</v>
      </c>
    </row>
    <row r="80" spans="2:8" x14ac:dyDescent="0.35">
      <c r="B80" s="98">
        <v>46042</v>
      </c>
      <c r="C80">
        <v>12.73</v>
      </c>
      <c r="D80" s="32">
        <f t="shared" si="2"/>
        <v>7.6077768385460764E-2</v>
      </c>
      <c r="F80" s="99"/>
      <c r="G80">
        <v>24231.3</v>
      </c>
      <c r="H80" s="32">
        <f t="shared" si="3"/>
        <v>1.4278777108496232E-3</v>
      </c>
    </row>
    <row r="81" spans="2:8" x14ac:dyDescent="0.35">
      <c r="B81" s="98">
        <v>46043</v>
      </c>
      <c r="C81">
        <v>13.78</v>
      </c>
      <c r="D81" s="32">
        <f t="shared" si="2"/>
        <v>8.2482325216024943E-2</v>
      </c>
      <c r="F81" s="99"/>
      <c r="G81">
        <v>23842.65</v>
      </c>
      <c r="H81" s="32">
        <f t="shared" si="3"/>
        <v>-1.6039172475269536E-2</v>
      </c>
    </row>
    <row r="82" spans="2:8" x14ac:dyDescent="0.35">
      <c r="B82" s="98">
        <v>46044</v>
      </c>
      <c r="C82">
        <v>13.35</v>
      </c>
      <c r="D82" s="32">
        <f t="shared" si="2"/>
        <v>-3.1204644412191618E-2</v>
      </c>
      <c r="F82" s="99"/>
      <c r="G82">
        <v>24050.6</v>
      </c>
      <c r="H82" s="32">
        <f t="shared" si="3"/>
        <v>8.721765407788018E-3</v>
      </c>
    </row>
    <row r="83" spans="2:8" x14ac:dyDescent="0.35">
      <c r="B83" s="98">
        <v>46045</v>
      </c>
      <c r="C83">
        <v>14.19</v>
      </c>
      <c r="D83" s="32">
        <f t="shared" si="2"/>
        <v>6.2921348314606718E-2</v>
      </c>
      <c r="F83" s="99"/>
      <c r="G83">
        <v>23775.1</v>
      </c>
      <c r="H83" s="32">
        <f t="shared" si="3"/>
        <v>-1.1455015675284619E-2</v>
      </c>
    </row>
    <row r="84" spans="2:8" x14ac:dyDescent="0.35">
      <c r="B84" s="98">
        <v>46049</v>
      </c>
      <c r="C84">
        <v>14.45</v>
      </c>
      <c r="D84" s="32">
        <f t="shared" si="2"/>
        <v>1.8322762508808932E-2</v>
      </c>
      <c r="F84" s="99"/>
      <c r="G84">
        <v>23997.35</v>
      </c>
      <c r="H84" s="32">
        <f t="shared" si="3"/>
        <v>9.3480153606084748E-3</v>
      </c>
    </row>
    <row r="85" spans="2:8" x14ac:dyDescent="0.35">
      <c r="B85" s="98">
        <v>46050</v>
      </c>
      <c r="C85">
        <v>13.53</v>
      </c>
      <c r="D85" s="32">
        <f t="shared" si="2"/>
        <v>-6.3667820069204129E-2</v>
      </c>
      <c r="F85" s="99"/>
      <c r="G85">
        <v>23123.65</v>
      </c>
      <c r="H85" s="32">
        <f t="shared" si="3"/>
        <v>-3.6408186737285408E-2</v>
      </c>
    </row>
    <row r="86" spans="2:8" x14ac:dyDescent="0.35">
      <c r="B86" s="98">
        <v>46051</v>
      </c>
      <c r="C86">
        <v>13.37</v>
      </c>
      <c r="D86" s="32">
        <f t="shared" si="2"/>
        <v>-1.1825572801182571E-2</v>
      </c>
      <c r="F86" s="99"/>
      <c r="G86">
        <v>22968.25</v>
      </c>
      <c r="H86" s="32">
        <f t="shared" si="3"/>
        <v>-6.7203923256060616E-3</v>
      </c>
    </row>
    <row r="87" spans="2:8" x14ac:dyDescent="0.35">
      <c r="B87" s="98">
        <v>46052</v>
      </c>
      <c r="C87">
        <v>13.63</v>
      </c>
      <c r="D87" s="32">
        <f t="shared" si="2"/>
        <v>1.944652206432318E-2</v>
      </c>
      <c r="F87" s="99"/>
      <c r="G87">
        <v>22713.1</v>
      </c>
      <c r="H87" s="32">
        <f t="shared" si="3"/>
        <v>-1.1108813253077665E-2</v>
      </c>
    </row>
    <row r="88" spans="2:8" x14ac:dyDescent="0.35">
      <c r="B88" s="98">
        <v>46054</v>
      </c>
      <c r="C88">
        <v>15.1</v>
      </c>
      <c r="D88" s="32">
        <f t="shared" si="2"/>
        <v>0.10785033015407186</v>
      </c>
      <c r="F88" s="99"/>
      <c r="G88">
        <v>22679.4</v>
      </c>
      <c r="H88" s="32">
        <f t="shared" si="3"/>
        <v>-1.4837252510664367E-3</v>
      </c>
    </row>
    <row r="89" spans="2:8" x14ac:dyDescent="0.35">
      <c r="B89" s="98">
        <v>46055</v>
      </c>
      <c r="C89">
        <v>13.87</v>
      </c>
      <c r="D89" s="32">
        <f t="shared" si="2"/>
        <v>-8.1456953642384144E-2</v>
      </c>
      <c r="F89" s="99"/>
      <c r="G89">
        <v>22331.4</v>
      </c>
      <c r="H89" s="32">
        <f t="shared" si="3"/>
        <v>-1.5344321278340733E-2</v>
      </c>
    </row>
    <row r="90" spans="2:8" x14ac:dyDescent="0.35">
      <c r="B90" s="98">
        <v>46056</v>
      </c>
      <c r="C90">
        <v>12.9</v>
      </c>
      <c r="D90" s="32">
        <f t="shared" si="2"/>
        <v>-6.9935111751982637E-2</v>
      </c>
      <c r="F90" s="99"/>
      <c r="G90">
        <v>22819.599999999999</v>
      </c>
      <c r="H90" s="32">
        <f t="shared" si="3"/>
        <v>2.1861593988733219E-2</v>
      </c>
    </row>
    <row r="91" spans="2:8" x14ac:dyDescent="0.35">
      <c r="B91" s="98">
        <v>46057</v>
      </c>
      <c r="C91">
        <v>12.25</v>
      </c>
      <c r="D91" s="32">
        <f t="shared" si="2"/>
        <v>-5.0387596899224785E-2</v>
      </c>
      <c r="F91" s="99"/>
      <c r="G91">
        <v>23306.45</v>
      </c>
      <c r="H91" s="32">
        <f t="shared" si="3"/>
        <v>2.1334729793686336E-2</v>
      </c>
    </row>
    <row r="92" spans="2:8" x14ac:dyDescent="0.35">
      <c r="B92" s="98">
        <v>46058</v>
      </c>
      <c r="C92">
        <v>12.17</v>
      </c>
      <c r="D92" s="32">
        <f t="shared" si="2"/>
        <v>-6.5306122448979265E-3</v>
      </c>
      <c r="F92" s="99"/>
      <c r="G92">
        <v>22912.400000000001</v>
      </c>
      <c r="H92" s="32">
        <f t="shared" si="3"/>
        <v>-1.6907336810196294E-2</v>
      </c>
    </row>
    <row r="93" spans="2:8" x14ac:dyDescent="0.35">
      <c r="B93" s="98">
        <v>46059</v>
      </c>
      <c r="C93">
        <v>11.94</v>
      </c>
      <c r="D93" s="32">
        <f t="shared" si="2"/>
        <v>-1.8898931799506968E-2</v>
      </c>
      <c r="F93" s="99"/>
      <c r="G93">
        <v>22512.65</v>
      </c>
      <c r="H93" s="32">
        <f t="shared" si="3"/>
        <v>-1.7446884656343253E-2</v>
      </c>
    </row>
    <row r="94" spans="2:8" x14ac:dyDescent="0.35">
      <c r="B94" s="98">
        <v>46062</v>
      </c>
      <c r="C94">
        <v>12.19</v>
      </c>
      <c r="D94" s="32">
        <f t="shared" si="2"/>
        <v>2.0938023450586263E-2</v>
      </c>
      <c r="F94" s="99"/>
      <c r="G94">
        <v>23114.5</v>
      </c>
      <c r="H94" s="32">
        <f t="shared" si="3"/>
        <v>2.6733858519543352E-2</v>
      </c>
    </row>
    <row r="95" spans="2:8" x14ac:dyDescent="0.35">
      <c r="B95" s="98">
        <v>46063</v>
      </c>
      <c r="C95">
        <v>11.67</v>
      </c>
      <c r="D95" s="32">
        <f t="shared" si="2"/>
        <v>-4.2657916324856382E-2</v>
      </c>
      <c r="F95" s="99"/>
      <c r="G95">
        <v>23002.15</v>
      </c>
      <c r="H95" s="32">
        <f t="shared" si="3"/>
        <v>-4.8605853468601801E-3</v>
      </c>
    </row>
    <row r="96" spans="2:8" x14ac:dyDescent="0.35">
      <c r="B96" s="98">
        <v>46064</v>
      </c>
      <c r="C96">
        <v>11.55</v>
      </c>
      <c r="D96" s="32">
        <f t="shared" si="2"/>
        <v>-1.0282776349614275E-2</v>
      </c>
      <c r="F96" s="99"/>
      <c r="G96">
        <v>23777.8</v>
      </c>
      <c r="H96" s="32">
        <f t="shared" si="3"/>
        <v>3.3720760885395329E-2</v>
      </c>
    </row>
    <row r="97" spans="2:8" x14ac:dyDescent="0.35">
      <c r="B97" s="98">
        <v>46065</v>
      </c>
      <c r="C97">
        <v>11.73</v>
      </c>
      <c r="D97" s="32">
        <f t="shared" si="2"/>
        <v>1.558441558441559E-2</v>
      </c>
      <c r="F97" s="99"/>
      <c r="G97">
        <v>23581.15</v>
      </c>
      <c r="H97" s="32">
        <f t="shared" si="3"/>
        <v>-8.2703193735331748E-3</v>
      </c>
    </row>
    <row r="98" spans="2:8" x14ac:dyDescent="0.35">
      <c r="B98" s="98">
        <v>46066</v>
      </c>
      <c r="C98">
        <v>13.29</v>
      </c>
      <c r="D98" s="32">
        <f t="shared" si="2"/>
        <v>0.13299232736572875</v>
      </c>
      <c r="F98" s="99"/>
      <c r="G98">
        <v>23408.799999999999</v>
      </c>
      <c r="H98" s="32">
        <f t="shared" si="3"/>
        <v>-7.3088038539257383E-3</v>
      </c>
    </row>
    <row r="99" spans="2:8" x14ac:dyDescent="0.35">
      <c r="B99" s="98">
        <v>46069</v>
      </c>
      <c r="C99">
        <v>13.33</v>
      </c>
      <c r="D99" s="32">
        <f t="shared" si="2"/>
        <v>3.0097817908203428E-3</v>
      </c>
      <c r="F99" s="99"/>
      <c r="G99">
        <v>23151.1</v>
      </c>
      <c r="H99" s="32">
        <f t="shared" si="3"/>
        <v>-1.1008680496223722E-2</v>
      </c>
    </row>
    <row r="100" spans="2:8" x14ac:dyDescent="0.35">
      <c r="B100" s="98">
        <v>46070</v>
      </c>
      <c r="C100">
        <v>12.67</v>
      </c>
      <c r="D100" s="32">
        <f t="shared" si="2"/>
        <v>-4.951237809452369E-2</v>
      </c>
      <c r="F100" s="99"/>
      <c r="G100">
        <v>23639.15</v>
      </c>
      <c r="H100" s="32">
        <f t="shared" si="3"/>
        <v>2.1081071741731572E-2</v>
      </c>
    </row>
    <row r="101" spans="2:8" x14ac:dyDescent="0.35">
      <c r="B101" s="98">
        <v>46071</v>
      </c>
      <c r="C101">
        <v>12.22</v>
      </c>
      <c r="D101" s="32">
        <f t="shared" si="2"/>
        <v>-3.5516969218626571E-2</v>
      </c>
      <c r="F101" s="99"/>
      <c r="G101">
        <v>23866.85</v>
      </c>
      <c r="H101" s="32">
        <f t="shared" si="3"/>
        <v>9.6323260354114204E-3</v>
      </c>
    </row>
    <row r="102" spans="2:8" x14ac:dyDescent="0.35">
      <c r="B102" s="98">
        <v>46072</v>
      </c>
      <c r="C102">
        <v>13.46</v>
      </c>
      <c r="D102" s="32">
        <f t="shared" si="2"/>
        <v>0.10147299509001639</v>
      </c>
      <c r="F102" s="99"/>
      <c r="G102">
        <v>24261.599999999999</v>
      </c>
      <c r="H102" s="32">
        <f t="shared" si="3"/>
        <v>1.6539677418679011E-2</v>
      </c>
    </row>
    <row r="103" spans="2:8" x14ac:dyDescent="0.35">
      <c r="B103" s="98">
        <v>46073</v>
      </c>
      <c r="C103">
        <v>14.36</v>
      </c>
      <c r="D103" s="32">
        <f t="shared" si="2"/>
        <v>6.6864784546805334E-2</v>
      </c>
      <c r="F103" s="99"/>
      <c r="G103">
        <v>24028.05</v>
      </c>
      <c r="H103" s="32">
        <f t="shared" si="3"/>
        <v>-9.6263230784449094E-3</v>
      </c>
    </row>
    <row r="104" spans="2:8" x14ac:dyDescent="0.35">
      <c r="B104" s="98">
        <v>46076</v>
      </c>
      <c r="C104">
        <v>14.17</v>
      </c>
      <c r="D104" s="32">
        <f t="shared" si="2"/>
        <v>-1.3231197771587655E-2</v>
      </c>
      <c r="F104" s="99"/>
      <c r="G104">
        <v>24450.45</v>
      </c>
      <c r="H104" s="32">
        <f t="shared" si="3"/>
        <v>1.757945401312222E-2</v>
      </c>
    </row>
    <row r="105" spans="2:8" x14ac:dyDescent="0.35">
      <c r="B105" s="98">
        <v>46077</v>
      </c>
      <c r="C105">
        <v>14.15</v>
      </c>
      <c r="D105" s="32">
        <f t="shared" si="2"/>
        <v>-1.4114326040931546E-3</v>
      </c>
      <c r="F105" s="99"/>
      <c r="G105">
        <v>24765.9</v>
      </c>
      <c r="H105" s="32">
        <f t="shared" si="3"/>
        <v>1.2901603037980935E-2</v>
      </c>
    </row>
    <row r="106" spans="2:8" x14ac:dyDescent="0.35">
      <c r="B106" s="98">
        <v>46078</v>
      </c>
      <c r="C106">
        <v>13.49</v>
      </c>
      <c r="D106" s="32">
        <f t="shared" si="2"/>
        <v>-4.6643109540635996E-2</v>
      </c>
      <c r="F106" s="99"/>
      <c r="G106">
        <v>24480.5</v>
      </c>
      <c r="H106" s="32">
        <f t="shared" si="3"/>
        <v>-1.1523909892230955E-2</v>
      </c>
    </row>
    <row r="107" spans="2:8" x14ac:dyDescent="0.35">
      <c r="B107" s="98">
        <v>46079</v>
      </c>
      <c r="C107">
        <v>13.06</v>
      </c>
      <c r="D107" s="32">
        <f t="shared" si="2"/>
        <v>-3.1875463306152652E-2</v>
      </c>
      <c r="F107" s="99"/>
      <c r="G107">
        <v>24865.7</v>
      </c>
      <c r="H107" s="32">
        <f t="shared" si="3"/>
        <v>1.5734972733400188E-2</v>
      </c>
    </row>
    <row r="108" spans="2:8" x14ac:dyDescent="0.35">
      <c r="B108" s="98">
        <v>46080</v>
      </c>
      <c r="C108">
        <v>13.7</v>
      </c>
      <c r="D108" s="32">
        <f t="shared" si="2"/>
        <v>4.9004594180704242E-2</v>
      </c>
      <c r="F108" s="99"/>
      <c r="G108">
        <v>25178.65</v>
      </c>
      <c r="H108" s="32">
        <f t="shared" si="3"/>
        <v>1.2585609896363259E-2</v>
      </c>
    </row>
    <row r="109" spans="2:8" x14ac:dyDescent="0.35">
      <c r="B109" s="98">
        <v>46083</v>
      </c>
      <c r="C109">
        <v>17.13</v>
      </c>
      <c r="D109" s="32">
        <f t="shared" si="2"/>
        <v>0.25036496350364956</v>
      </c>
      <c r="F109" s="99"/>
      <c r="G109">
        <v>25496.55</v>
      </c>
      <c r="H109" s="32">
        <f t="shared" si="3"/>
        <v>1.262577620325156E-2</v>
      </c>
    </row>
    <row r="110" spans="2:8" x14ac:dyDescent="0.35">
      <c r="B110" s="98">
        <v>46085</v>
      </c>
      <c r="C110">
        <v>21.14</v>
      </c>
      <c r="D110" s="32">
        <f t="shared" si="2"/>
        <v>0.23409223584354932</v>
      </c>
      <c r="F110" s="99"/>
      <c r="G110">
        <v>25482.5</v>
      </c>
      <c r="H110" s="32">
        <f t="shared" si="3"/>
        <v>-5.5105494664964283E-4</v>
      </c>
    </row>
    <row r="111" spans="2:8" x14ac:dyDescent="0.35">
      <c r="B111" s="98">
        <v>46086</v>
      </c>
      <c r="C111">
        <v>17.86</v>
      </c>
      <c r="D111" s="32">
        <f t="shared" si="2"/>
        <v>-0.15515610217596976</v>
      </c>
      <c r="F111" s="99"/>
      <c r="G111">
        <v>25424.65</v>
      </c>
      <c r="H111" s="32">
        <f t="shared" si="3"/>
        <v>-2.2701854213675876E-3</v>
      </c>
    </row>
    <row r="112" spans="2:8" x14ac:dyDescent="0.35">
      <c r="B112" s="98">
        <v>46087</v>
      </c>
      <c r="C112">
        <v>19.88</v>
      </c>
      <c r="D112" s="32">
        <f t="shared" si="2"/>
        <v>0.11310190369540862</v>
      </c>
      <c r="F112" s="99"/>
      <c r="G112">
        <v>25713</v>
      </c>
      <c r="H112" s="32">
        <f t="shared" si="3"/>
        <v>1.1341355731544045E-2</v>
      </c>
    </row>
    <row r="113" spans="2:8" x14ac:dyDescent="0.35">
      <c r="B113" s="98">
        <v>46090</v>
      </c>
      <c r="C113">
        <v>23.36</v>
      </c>
      <c r="D113" s="32">
        <f t="shared" si="2"/>
        <v>0.17505030181086512</v>
      </c>
      <c r="F113" s="99"/>
      <c r="G113">
        <v>25571.25</v>
      </c>
      <c r="H113" s="32">
        <f t="shared" si="3"/>
        <v>-5.5127756387819415E-3</v>
      </c>
    </row>
    <row r="114" spans="2:8" x14ac:dyDescent="0.35">
      <c r="B114" s="98">
        <v>46091</v>
      </c>
      <c r="C114">
        <v>18.91</v>
      </c>
      <c r="D114" s="32">
        <f t="shared" si="2"/>
        <v>-0.19049657534246578</v>
      </c>
      <c r="F114" s="99"/>
      <c r="G114">
        <v>25454.35</v>
      </c>
      <c r="H114" s="32">
        <f t="shared" si="3"/>
        <v>-4.5715403040524905E-3</v>
      </c>
    </row>
    <row r="115" spans="2:8" x14ac:dyDescent="0.35">
      <c r="B115" s="98">
        <v>46092</v>
      </c>
      <c r="C115">
        <v>21.06</v>
      </c>
      <c r="D115" s="32">
        <f t="shared" si="2"/>
        <v>0.11369645690111052</v>
      </c>
      <c r="F115" s="99"/>
      <c r="G115">
        <v>25819.35</v>
      </c>
      <c r="H115" s="32">
        <f t="shared" si="3"/>
        <v>1.4339395820360812E-2</v>
      </c>
    </row>
    <row r="116" spans="2:8" x14ac:dyDescent="0.35">
      <c r="B116" s="98">
        <v>46093</v>
      </c>
      <c r="C116">
        <v>21.52</v>
      </c>
      <c r="D116" s="32">
        <f t="shared" si="2"/>
        <v>2.1842355175688555E-2</v>
      </c>
      <c r="F116" s="99"/>
      <c r="G116">
        <v>25725.4</v>
      </c>
      <c r="H116" s="32">
        <f t="shared" si="3"/>
        <v>-3.638743810359224E-3</v>
      </c>
    </row>
    <row r="117" spans="2:8" x14ac:dyDescent="0.35">
      <c r="B117" s="98">
        <v>46094</v>
      </c>
      <c r="C117">
        <v>22.65</v>
      </c>
      <c r="D117" s="32">
        <f t="shared" si="2"/>
        <v>5.2509293680297331E-2</v>
      </c>
      <c r="F117" s="99"/>
      <c r="G117">
        <v>25682.75</v>
      </c>
      <c r="H117" s="32">
        <f t="shared" si="3"/>
        <v>-1.6578945322521799E-3</v>
      </c>
    </row>
    <row r="118" spans="2:8" x14ac:dyDescent="0.35">
      <c r="B118" s="98">
        <v>46097</v>
      </c>
      <c r="C118">
        <v>21.6</v>
      </c>
      <c r="D118" s="32">
        <f t="shared" si="2"/>
        <v>-4.6357615894039639E-2</v>
      </c>
      <c r="F118" s="99"/>
      <c r="G118">
        <v>25471.1</v>
      </c>
      <c r="H118" s="32">
        <f t="shared" si="3"/>
        <v>-8.2409399304981257E-3</v>
      </c>
    </row>
    <row r="119" spans="2:8" x14ac:dyDescent="0.35">
      <c r="B119" s="98">
        <v>46098</v>
      </c>
      <c r="C119">
        <v>19.79</v>
      </c>
      <c r="D119" s="32">
        <f t="shared" si="2"/>
        <v>-8.3796296296296369E-2</v>
      </c>
      <c r="F119" s="99"/>
      <c r="G119">
        <v>25807.200000000001</v>
      </c>
      <c r="H119" s="32">
        <f t="shared" si="3"/>
        <v>1.3195346883330572E-2</v>
      </c>
    </row>
    <row r="120" spans="2:8" x14ac:dyDescent="0.35">
      <c r="B120" s="98">
        <v>46099</v>
      </c>
      <c r="C120">
        <v>18.72</v>
      </c>
      <c r="D120" s="32">
        <f t="shared" si="2"/>
        <v>-5.4067710965133964E-2</v>
      </c>
      <c r="F120" s="99"/>
      <c r="G120">
        <v>25953.85</v>
      </c>
      <c r="H120" s="32">
        <f t="shared" si="3"/>
        <v>5.6825227068413309E-3</v>
      </c>
    </row>
    <row r="121" spans="2:8" x14ac:dyDescent="0.35">
      <c r="B121" s="98">
        <v>46100</v>
      </c>
      <c r="C121">
        <v>22.8</v>
      </c>
      <c r="D121" s="32">
        <f t="shared" si="2"/>
        <v>0.21794871794871806</v>
      </c>
      <c r="F121" s="99"/>
      <c r="G121">
        <v>25935.15</v>
      </c>
      <c r="H121" s="32">
        <f t="shared" si="3"/>
        <v>-7.2050967390180354E-4</v>
      </c>
    </row>
    <row r="122" spans="2:8" x14ac:dyDescent="0.35">
      <c r="B122" s="98">
        <v>46101</v>
      </c>
      <c r="C122">
        <v>22.81</v>
      </c>
      <c r="D122" s="32">
        <f t="shared" si="2"/>
        <v>4.3859649122790501E-4</v>
      </c>
      <c r="F122" s="99"/>
      <c r="G122">
        <v>25867.3</v>
      </c>
      <c r="H122" s="32">
        <f t="shared" si="3"/>
        <v>-2.6161406431041145E-3</v>
      </c>
    </row>
    <row r="123" spans="2:8" x14ac:dyDescent="0.35">
      <c r="B123" s="98">
        <v>46104</v>
      </c>
      <c r="C123">
        <v>26.73</v>
      </c>
      <c r="D123" s="32">
        <f t="shared" si="2"/>
        <v>0.17185444980271813</v>
      </c>
      <c r="F123" s="99"/>
      <c r="G123">
        <v>25693.7</v>
      </c>
      <c r="H123" s="32">
        <f t="shared" si="3"/>
        <v>-6.7111758861573279E-3</v>
      </c>
    </row>
    <row r="124" spans="2:8" x14ac:dyDescent="0.35">
      <c r="B124" s="98">
        <v>46105</v>
      </c>
      <c r="C124">
        <v>24.74</v>
      </c>
      <c r="D124" s="32">
        <f t="shared" si="2"/>
        <v>-7.4448185559296776E-2</v>
      </c>
      <c r="F124" s="99"/>
      <c r="G124">
        <v>25642.799999999999</v>
      </c>
      <c r="H124" s="32">
        <f t="shared" si="3"/>
        <v>-1.9810303693124087E-3</v>
      </c>
    </row>
    <row r="125" spans="2:8" x14ac:dyDescent="0.35">
      <c r="B125" s="98">
        <v>46106</v>
      </c>
      <c r="C125">
        <v>24.64</v>
      </c>
      <c r="D125" s="32">
        <f t="shared" si="2"/>
        <v>-4.0420371867420091E-3</v>
      </c>
      <c r="F125" s="99"/>
      <c r="G125">
        <v>25776</v>
      </c>
      <c r="H125" s="32">
        <f t="shared" si="3"/>
        <v>5.1944405447144071E-3</v>
      </c>
    </row>
    <row r="126" spans="2:8" x14ac:dyDescent="0.35">
      <c r="B126" s="98">
        <v>46108</v>
      </c>
      <c r="C126">
        <v>26.8</v>
      </c>
      <c r="D126" s="32">
        <f t="shared" si="2"/>
        <v>8.7662337662337775E-2</v>
      </c>
      <c r="F126" s="99"/>
      <c r="G126">
        <v>25727.55</v>
      </c>
      <c r="H126" s="32">
        <f t="shared" si="3"/>
        <v>-1.8796554934823462E-3</v>
      </c>
    </row>
    <row r="127" spans="2:8" x14ac:dyDescent="0.35">
      <c r="B127" s="98">
        <v>46111</v>
      </c>
      <c r="C127">
        <v>27.89</v>
      </c>
      <c r="D127" s="32">
        <f t="shared" si="2"/>
        <v>4.0671641791044877E-2</v>
      </c>
      <c r="F127" s="99"/>
      <c r="G127">
        <v>25088.400000000001</v>
      </c>
      <c r="H127" s="32">
        <f t="shared" si="3"/>
        <v>-2.4843018476302547E-2</v>
      </c>
    </row>
    <row r="128" spans="2:8" x14ac:dyDescent="0.35">
      <c r="B128" s="99"/>
      <c r="D128" s="32"/>
      <c r="F128" s="99"/>
      <c r="H128" s="32"/>
    </row>
    <row r="129" spans="2:8" x14ac:dyDescent="0.35">
      <c r="B129" s="99"/>
      <c r="D129" s="32"/>
      <c r="F129" s="99"/>
      <c r="H129" s="32"/>
    </row>
    <row r="130" spans="2:8" x14ac:dyDescent="0.35">
      <c r="B130" s="99"/>
      <c r="D130" s="32"/>
      <c r="F130" s="99"/>
      <c r="H130" s="32"/>
    </row>
    <row r="131" spans="2:8" x14ac:dyDescent="0.35">
      <c r="B131" s="99"/>
      <c r="D131" s="32"/>
      <c r="F131" s="99"/>
      <c r="H131" s="32"/>
    </row>
    <row r="132" spans="2:8" x14ac:dyDescent="0.35">
      <c r="B132" s="99"/>
      <c r="D132" s="32"/>
      <c r="F132" s="99"/>
      <c r="H132" s="32"/>
    </row>
    <row r="133" spans="2:8" x14ac:dyDescent="0.35">
      <c r="B133" s="99"/>
      <c r="D133" s="32"/>
      <c r="F133" s="99"/>
      <c r="H133" s="32"/>
    </row>
    <row r="134" spans="2:8" x14ac:dyDescent="0.35">
      <c r="B134" s="99"/>
      <c r="D134" s="32"/>
      <c r="F134" s="99"/>
      <c r="H134" s="32"/>
    </row>
    <row r="135" spans="2:8" x14ac:dyDescent="0.35">
      <c r="B135" s="99"/>
      <c r="D135" s="32"/>
      <c r="F135" s="99"/>
      <c r="H135" s="32"/>
    </row>
    <row r="136" spans="2:8" x14ac:dyDescent="0.35">
      <c r="B136" s="99"/>
      <c r="D136" s="32"/>
      <c r="F136" s="99"/>
      <c r="H136" s="32"/>
    </row>
    <row r="137" spans="2:8" x14ac:dyDescent="0.35">
      <c r="B137" s="99"/>
      <c r="D137" s="32"/>
      <c r="F137" s="99"/>
      <c r="H137" s="32"/>
    </row>
    <row r="138" spans="2:8" x14ac:dyDescent="0.35">
      <c r="B138" s="99"/>
      <c r="D138" s="32"/>
      <c r="F138" s="99"/>
      <c r="H138" s="32"/>
    </row>
    <row r="139" spans="2:8" x14ac:dyDescent="0.35">
      <c r="B139" s="99"/>
      <c r="D139" s="32"/>
      <c r="F139" s="99"/>
      <c r="H139" s="32"/>
    </row>
    <row r="140" spans="2:8" x14ac:dyDescent="0.35">
      <c r="B140" s="99"/>
      <c r="D140" s="32"/>
      <c r="F140" s="99"/>
      <c r="H140" s="32"/>
    </row>
    <row r="141" spans="2:8" x14ac:dyDescent="0.35">
      <c r="B141" s="99"/>
      <c r="D141" s="32"/>
      <c r="F141" s="99"/>
      <c r="H141" s="32"/>
    </row>
    <row r="142" spans="2:8" x14ac:dyDescent="0.35">
      <c r="B142" s="99"/>
      <c r="D142" s="32"/>
      <c r="F142" s="99"/>
      <c r="H142" s="32"/>
    </row>
    <row r="143" spans="2:8" x14ac:dyDescent="0.35">
      <c r="B143" s="99"/>
      <c r="D143" s="32"/>
      <c r="F143" s="99"/>
      <c r="H143" s="32"/>
    </row>
    <row r="144" spans="2:8" x14ac:dyDescent="0.35">
      <c r="B144" s="99"/>
      <c r="D144" s="32"/>
      <c r="F144" s="99"/>
      <c r="H144" s="32"/>
    </row>
    <row r="145" spans="2:8" x14ac:dyDescent="0.35">
      <c r="B145" s="99"/>
      <c r="D145" s="32"/>
      <c r="F145" s="99"/>
      <c r="H145" s="32"/>
    </row>
    <row r="146" spans="2:8" x14ac:dyDescent="0.35">
      <c r="B146" s="99"/>
      <c r="D146" s="32"/>
      <c r="F146" s="99"/>
      <c r="H146" s="32"/>
    </row>
    <row r="147" spans="2:8" x14ac:dyDescent="0.35">
      <c r="B147" s="99"/>
      <c r="D147" s="32"/>
      <c r="F147" s="99"/>
      <c r="H147" s="32"/>
    </row>
    <row r="148" spans="2:8" x14ac:dyDescent="0.35">
      <c r="B148" s="99"/>
      <c r="D148" s="32"/>
      <c r="F148" s="99"/>
      <c r="H148" s="32"/>
    </row>
    <row r="149" spans="2:8" x14ac:dyDescent="0.35">
      <c r="B149" s="99"/>
      <c r="D149" s="32"/>
      <c r="F149" s="99"/>
      <c r="H149" s="32"/>
    </row>
    <row r="150" spans="2:8" x14ac:dyDescent="0.35">
      <c r="B150" s="99"/>
      <c r="D150" s="32"/>
      <c r="F150" s="99"/>
      <c r="H150" s="32"/>
    </row>
    <row r="151" spans="2:8" x14ac:dyDescent="0.35">
      <c r="B151" s="99"/>
      <c r="D151" s="32"/>
      <c r="F151" s="99"/>
      <c r="H151" s="32"/>
    </row>
    <row r="152" spans="2:8" x14ac:dyDescent="0.35">
      <c r="B152" s="99"/>
      <c r="D152" s="32"/>
      <c r="F152" s="99"/>
      <c r="H152" s="32"/>
    </row>
    <row r="153" spans="2:8" x14ac:dyDescent="0.35">
      <c r="B153" s="99"/>
      <c r="D153" s="32"/>
      <c r="F153" s="99"/>
      <c r="H153" s="32"/>
    </row>
    <row r="154" spans="2:8" x14ac:dyDescent="0.35">
      <c r="B154" s="99"/>
      <c r="D154" s="32"/>
      <c r="F154" s="99"/>
      <c r="H154" s="32"/>
    </row>
    <row r="155" spans="2:8" x14ac:dyDescent="0.35">
      <c r="B155" s="99"/>
      <c r="D155" s="32"/>
      <c r="F155" s="99"/>
      <c r="H155" s="32"/>
    </row>
    <row r="156" spans="2:8" x14ac:dyDescent="0.35">
      <c r="B156" s="99"/>
      <c r="D156" s="32"/>
      <c r="F156" s="99"/>
      <c r="H156" s="32"/>
    </row>
    <row r="157" spans="2:8" x14ac:dyDescent="0.35">
      <c r="B157" s="99"/>
      <c r="D157" s="32"/>
      <c r="F157" s="99"/>
      <c r="H157" s="32"/>
    </row>
    <row r="158" spans="2:8" x14ac:dyDescent="0.35">
      <c r="B158" s="99"/>
      <c r="D158" s="32"/>
      <c r="F158" s="99"/>
      <c r="H158" s="32"/>
    </row>
    <row r="159" spans="2:8" x14ac:dyDescent="0.35">
      <c r="B159" s="99"/>
      <c r="D159" s="32"/>
      <c r="F159" s="99"/>
      <c r="H159" s="32"/>
    </row>
    <row r="160" spans="2:8" x14ac:dyDescent="0.35">
      <c r="B160" s="99"/>
      <c r="D160" s="32"/>
      <c r="F160" s="99"/>
      <c r="H160" s="32"/>
    </row>
    <row r="161" spans="2:8" x14ac:dyDescent="0.35">
      <c r="B161" s="99"/>
      <c r="D161" s="32"/>
      <c r="F161" s="99"/>
      <c r="H161" s="32"/>
    </row>
    <row r="162" spans="2:8" x14ac:dyDescent="0.35">
      <c r="B162" s="99"/>
      <c r="D162" s="32"/>
      <c r="F162" s="99"/>
      <c r="H162" s="32"/>
    </row>
    <row r="163" spans="2:8" x14ac:dyDescent="0.35">
      <c r="B163" s="99"/>
      <c r="D163" s="32"/>
      <c r="F163" s="99"/>
      <c r="H163" s="32"/>
    </row>
    <row r="164" spans="2:8" x14ac:dyDescent="0.35">
      <c r="B164" s="99"/>
      <c r="D164" s="32"/>
      <c r="F164" s="99"/>
      <c r="H164" s="32"/>
    </row>
    <row r="165" spans="2:8" x14ac:dyDescent="0.35">
      <c r="B165" s="99"/>
      <c r="D165" s="32"/>
      <c r="F165" s="99"/>
      <c r="H165" s="32"/>
    </row>
    <row r="166" spans="2:8" x14ac:dyDescent="0.35">
      <c r="B166" s="99"/>
      <c r="D166" s="32"/>
      <c r="F166" s="99"/>
      <c r="H166" s="32"/>
    </row>
    <row r="167" spans="2:8" x14ac:dyDescent="0.35">
      <c r="B167" s="99"/>
      <c r="D167" s="32"/>
      <c r="F167" s="99"/>
      <c r="H167" s="32"/>
    </row>
    <row r="168" spans="2:8" x14ac:dyDescent="0.35">
      <c r="B168" s="99"/>
      <c r="D168" s="32"/>
      <c r="F168" s="99"/>
      <c r="H168" s="32"/>
    </row>
    <row r="169" spans="2:8" x14ac:dyDescent="0.35">
      <c r="B169" s="99"/>
      <c r="D169" s="32"/>
      <c r="F169" s="99"/>
      <c r="H169" s="32"/>
    </row>
    <row r="170" spans="2:8" x14ac:dyDescent="0.35">
      <c r="B170" s="99"/>
      <c r="D170" s="32"/>
      <c r="F170" s="99"/>
      <c r="H170" s="32"/>
    </row>
    <row r="171" spans="2:8" x14ac:dyDescent="0.35">
      <c r="B171" s="99"/>
      <c r="D171" s="32"/>
      <c r="F171" s="99"/>
      <c r="H171" s="32"/>
    </row>
    <row r="172" spans="2:8" x14ac:dyDescent="0.35">
      <c r="B172" s="99"/>
      <c r="D172" s="32"/>
      <c r="F172" s="99"/>
      <c r="H172" s="32"/>
    </row>
    <row r="173" spans="2:8" x14ac:dyDescent="0.35">
      <c r="B173" s="99"/>
      <c r="D173" s="32"/>
      <c r="F173" s="99"/>
      <c r="H173" s="32"/>
    </row>
    <row r="174" spans="2:8" x14ac:dyDescent="0.35">
      <c r="B174" s="99"/>
      <c r="D174" s="32"/>
      <c r="F174" s="99"/>
      <c r="H174" s="32"/>
    </row>
    <row r="175" spans="2:8" x14ac:dyDescent="0.35">
      <c r="B175" s="99"/>
      <c r="D175" s="32"/>
      <c r="F175" s="99"/>
      <c r="H175" s="32"/>
    </row>
    <row r="176" spans="2:8" x14ac:dyDescent="0.35">
      <c r="B176" s="99"/>
      <c r="D176" s="32"/>
      <c r="F176" s="99"/>
      <c r="H176" s="32"/>
    </row>
    <row r="177" spans="2:8" x14ac:dyDescent="0.35">
      <c r="B177" s="99"/>
      <c r="D177" s="32"/>
      <c r="F177" s="99"/>
      <c r="H177" s="32"/>
    </row>
    <row r="178" spans="2:8" x14ac:dyDescent="0.35">
      <c r="B178" s="99"/>
      <c r="D178" s="32"/>
      <c r="F178" s="99"/>
      <c r="H178" s="32"/>
    </row>
    <row r="179" spans="2:8" x14ac:dyDescent="0.35">
      <c r="B179" s="99"/>
      <c r="D179" s="32"/>
      <c r="F179" s="99"/>
      <c r="H179" s="32"/>
    </row>
    <row r="180" spans="2:8" x14ac:dyDescent="0.35">
      <c r="B180" s="99"/>
      <c r="D180" s="32"/>
      <c r="F180" s="99"/>
      <c r="H180" s="32"/>
    </row>
    <row r="181" spans="2:8" x14ac:dyDescent="0.35">
      <c r="B181" s="99"/>
      <c r="D181" s="32"/>
      <c r="F181" s="99"/>
      <c r="H181" s="32"/>
    </row>
    <row r="182" spans="2:8" x14ac:dyDescent="0.35">
      <c r="B182" s="99"/>
      <c r="D182" s="32"/>
      <c r="F182" s="99"/>
      <c r="H182" s="32"/>
    </row>
    <row r="183" spans="2:8" x14ac:dyDescent="0.35">
      <c r="B183" s="99"/>
      <c r="D183" s="32"/>
      <c r="F183" s="99"/>
      <c r="H183" s="32"/>
    </row>
    <row r="184" spans="2:8" x14ac:dyDescent="0.35">
      <c r="B184" s="99"/>
      <c r="D184" s="32"/>
      <c r="F184" s="99"/>
      <c r="H184" s="32"/>
    </row>
    <row r="185" spans="2:8" x14ac:dyDescent="0.35">
      <c r="B185" s="99"/>
      <c r="D185" s="32"/>
      <c r="F185" s="99"/>
      <c r="H185" s="32"/>
    </row>
    <row r="186" spans="2:8" x14ac:dyDescent="0.35">
      <c r="B186" s="99"/>
      <c r="D186" s="32"/>
      <c r="F186" s="99"/>
      <c r="H186" s="32"/>
    </row>
    <row r="187" spans="2:8" x14ac:dyDescent="0.35">
      <c r="B187" s="99"/>
      <c r="D187" s="32"/>
      <c r="F187" s="99"/>
      <c r="H187" s="32"/>
    </row>
    <row r="188" spans="2:8" x14ac:dyDescent="0.35">
      <c r="B188" s="99"/>
      <c r="D188" s="32"/>
      <c r="F188" s="99"/>
      <c r="H188" s="32"/>
    </row>
    <row r="189" spans="2:8" x14ac:dyDescent="0.35">
      <c r="B189" s="99"/>
      <c r="D189" s="32"/>
      <c r="F189" s="99"/>
      <c r="H189" s="32"/>
    </row>
    <row r="190" spans="2:8" x14ac:dyDescent="0.35">
      <c r="B190" s="99"/>
      <c r="D190" s="32"/>
      <c r="F190" s="99"/>
      <c r="H190" s="32"/>
    </row>
    <row r="191" spans="2:8" x14ac:dyDescent="0.35">
      <c r="B191" s="99"/>
      <c r="D191" s="32"/>
      <c r="F191" s="99"/>
      <c r="H191" s="32"/>
    </row>
    <row r="192" spans="2:8" x14ac:dyDescent="0.35">
      <c r="B192" s="99"/>
      <c r="D192" s="32"/>
      <c r="F192" s="99"/>
      <c r="H192" s="32"/>
    </row>
    <row r="193" spans="2:8" x14ac:dyDescent="0.35">
      <c r="B193" s="99"/>
      <c r="D193" s="32"/>
      <c r="F193" s="99"/>
      <c r="H193" s="32"/>
    </row>
    <row r="194" spans="2:8" x14ac:dyDescent="0.35">
      <c r="B194" s="99"/>
      <c r="D194" s="32"/>
      <c r="F194" s="99"/>
      <c r="H194" s="32"/>
    </row>
    <row r="195" spans="2:8" x14ac:dyDescent="0.35">
      <c r="B195" s="99"/>
      <c r="D195" s="32"/>
      <c r="F195" s="99"/>
      <c r="H195" s="32"/>
    </row>
    <row r="196" spans="2:8" x14ac:dyDescent="0.35">
      <c r="B196" s="99"/>
      <c r="D196" s="32"/>
      <c r="F196" s="99"/>
      <c r="H196" s="32"/>
    </row>
    <row r="197" spans="2:8" x14ac:dyDescent="0.35">
      <c r="B197" s="99"/>
      <c r="D197" s="32"/>
      <c r="F197" s="99"/>
      <c r="H197" s="32"/>
    </row>
    <row r="198" spans="2:8" x14ac:dyDescent="0.35">
      <c r="B198" s="99"/>
      <c r="D198" s="32"/>
      <c r="F198" s="99"/>
      <c r="H198" s="32"/>
    </row>
    <row r="199" spans="2:8" x14ac:dyDescent="0.35">
      <c r="B199" s="99"/>
      <c r="D199" s="32"/>
      <c r="F199" s="99"/>
      <c r="H199" s="32"/>
    </row>
    <row r="200" spans="2:8" x14ac:dyDescent="0.35">
      <c r="B200" s="99"/>
      <c r="D200" s="32"/>
      <c r="F200" s="99"/>
      <c r="H200" s="32"/>
    </row>
    <row r="201" spans="2:8" x14ac:dyDescent="0.35">
      <c r="B201" s="99"/>
      <c r="D201" s="32"/>
      <c r="F201" s="99"/>
      <c r="H201" s="32"/>
    </row>
    <row r="202" spans="2:8" x14ac:dyDescent="0.35">
      <c r="B202" s="99"/>
      <c r="D202" s="32"/>
      <c r="F202" s="99"/>
      <c r="H202" s="32"/>
    </row>
    <row r="203" spans="2:8" x14ac:dyDescent="0.35">
      <c r="B203" s="99"/>
      <c r="D203" s="32"/>
      <c r="F203" s="99"/>
      <c r="H203" s="32"/>
    </row>
    <row r="204" spans="2:8" x14ac:dyDescent="0.35">
      <c r="B204" s="99"/>
      <c r="D204" s="32"/>
      <c r="F204" s="99"/>
      <c r="H204" s="32"/>
    </row>
    <row r="205" spans="2:8" x14ac:dyDescent="0.35">
      <c r="B205" s="99"/>
      <c r="D205" s="32"/>
      <c r="F205" s="99"/>
      <c r="H205" s="32"/>
    </row>
    <row r="206" spans="2:8" x14ac:dyDescent="0.35">
      <c r="B206" s="99"/>
      <c r="D206" s="32"/>
      <c r="F206" s="99"/>
      <c r="H206" s="32"/>
    </row>
    <row r="207" spans="2:8" x14ac:dyDescent="0.35">
      <c r="B207" s="99"/>
      <c r="D207" s="32"/>
      <c r="F207" s="99"/>
      <c r="H207" s="32"/>
    </row>
    <row r="208" spans="2:8" x14ac:dyDescent="0.35">
      <c r="B208" s="99"/>
      <c r="D208" s="32"/>
      <c r="F208" s="99"/>
      <c r="H208" s="32"/>
    </row>
    <row r="209" spans="2:8" x14ac:dyDescent="0.35">
      <c r="B209" s="99"/>
      <c r="D209" s="32"/>
      <c r="F209" s="99"/>
      <c r="H209" s="32"/>
    </row>
    <row r="210" spans="2:8" x14ac:dyDescent="0.35">
      <c r="B210" s="99"/>
      <c r="D210" s="32"/>
      <c r="F210" s="99"/>
      <c r="H210" s="32"/>
    </row>
    <row r="211" spans="2:8" x14ac:dyDescent="0.35">
      <c r="B211" s="99"/>
      <c r="D211" s="32"/>
      <c r="F211" s="99"/>
      <c r="H211" s="32"/>
    </row>
    <row r="212" spans="2:8" x14ac:dyDescent="0.35">
      <c r="B212" s="99"/>
      <c r="D212" s="32"/>
      <c r="F212" s="99"/>
      <c r="H212" s="32"/>
    </row>
    <row r="213" spans="2:8" x14ac:dyDescent="0.35">
      <c r="B213" s="99"/>
      <c r="D213" s="32"/>
      <c r="F213" s="99"/>
      <c r="H213" s="32"/>
    </row>
    <row r="214" spans="2:8" x14ac:dyDescent="0.35">
      <c r="B214" s="99"/>
      <c r="D214" s="32"/>
      <c r="F214" s="99"/>
      <c r="H214" s="32"/>
    </row>
    <row r="215" spans="2:8" x14ac:dyDescent="0.35">
      <c r="B215" s="99"/>
      <c r="D215" s="32"/>
      <c r="F215" s="99"/>
      <c r="H215" s="32"/>
    </row>
    <row r="216" spans="2:8" x14ac:dyDescent="0.35">
      <c r="B216" s="99"/>
      <c r="D216" s="32"/>
      <c r="F216" s="99"/>
      <c r="H216" s="32"/>
    </row>
    <row r="217" spans="2:8" x14ac:dyDescent="0.35">
      <c r="B217" s="99"/>
      <c r="D217" s="32"/>
      <c r="F217" s="99"/>
      <c r="H217" s="32"/>
    </row>
    <row r="218" spans="2:8" x14ac:dyDescent="0.35">
      <c r="B218" s="99"/>
      <c r="D218" s="32"/>
      <c r="F218" s="99"/>
      <c r="H218" s="32"/>
    </row>
    <row r="219" spans="2:8" x14ac:dyDescent="0.35">
      <c r="B219" s="99"/>
      <c r="D219" s="32"/>
      <c r="F219" s="99"/>
      <c r="H219" s="32"/>
    </row>
    <row r="220" spans="2:8" x14ac:dyDescent="0.35">
      <c r="B220" s="99"/>
      <c r="D220" s="32"/>
      <c r="F220" s="99"/>
      <c r="H220" s="32"/>
    </row>
    <row r="221" spans="2:8" x14ac:dyDescent="0.35">
      <c r="B221" s="99"/>
      <c r="D221" s="32"/>
      <c r="F221" s="99"/>
      <c r="H221" s="32"/>
    </row>
    <row r="222" spans="2:8" x14ac:dyDescent="0.35">
      <c r="B222" s="99"/>
      <c r="D222" s="32"/>
      <c r="F222" s="99"/>
      <c r="H222" s="32"/>
    </row>
    <row r="223" spans="2:8" x14ac:dyDescent="0.35">
      <c r="B223" s="99"/>
      <c r="D223" s="32"/>
      <c r="F223" s="99"/>
      <c r="H223" s="32"/>
    </row>
    <row r="224" spans="2:8" x14ac:dyDescent="0.35">
      <c r="B224" s="99"/>
      <c r="D224" s="32"/>
      <c r="F224" s="99"/>
      <c r="H224" s="32"/>
    </row>
    <row r="225" spans="2:8" x14ac:dyDescent="0.35">
      <c r="B225" s="99"/>
      <c r="D225" s="32"/>
      <c r="F225" s="99"/>
      <c r="H225" s="32"/>
    </row>
    <row r="226" spans="2:8" x14ac:dyDescent="0.35">
      <c r="B226" s="99"/>
      <c r="D226" s="32"/>
      <c r="F226" s="99"/>
      <c r="H226" s="32"/>
    </row>
    <row r="227" spans="2:8" x14ac:dyDescent="0.35">
      <c r="B227" s="99"/>
      <c r="D227" s="32"/>
      <c r="F227" s="99"/>
      <c r="H227" s="32"/>
    </row>
    <row r="228" spans="2:8" x14ac:dyDescent="0.35">
      <c r="B228" s="99"/>
      <c r="D228" s="32"/>
      <c r="F228" s="99"/>
      <c r="H228" s="32"/>
    </row>
    <row r="229" spans="2:8" x14ac:dyDescent="0.35">
      <c r="B229" s="99"/>
      <c r="D229" s="32"/>
      <c r="F229" s="99"/>
      <c r="H229" s="32"/>
    </row>
    <row r="230" spans="2:8" x14ac:dyDescent="0.35">
      <c r="B230" s="99"/>
      <c r="D230" s="32"/>
      <c r="F230" s="99"/>
      <c r="H230" s="32"/>
    </row>
    <row r="231" spans="2:8" x14ac:dyDescent="0.35">
      <c r="B231" s="99"/>
      <c r="D231" s="32"/>
      <c r="F231" s="99"/>
      <c r="H231" s="32"/>
    </row>
    <row r="232" spans="2:8" x14ac:dyDescent="0.35">
      <c r="B232" s="99"/>
      <c r="D232" s="32"/>
      <c r="F232" s="99"/>
      <c r="H232" s="32"/>
    </row>
    <row r="233" spans="2:8" x14ac:dyDescent="0.35">
      <c r="B233" s="99"/>
      <c r="D233" s="32"/>
      <c r="F233" s="99"/>
      <c r="H233" s="32"/>
    </row>
    <row r="234" spans="2:8" x14ac:dyDescent="0.35">
      <c r="B234" s="99"/>
      <c r="D234" s="32"/>
      <c r="F234" s="99"/>
      <c r="H234" s="32"/>
    </row>
    <row r="235" spans="2:8" x14ac:dyDescent="0.35">
      <c r="B235" s="99"/>
      <c r="D235" s="32"/>
      <c r="F235" s="99"/>
      <c r="H235" s="32"/>
    </row>
    <row r="236" spans="2:8" x14ac:dyDescent="0.35">
      <c r="B236" s="99"/>
      <c r="D236" s="32"/>
      <c r="F236" s="99"/>
      <c r="H236" s="32"/>
    </row>
    <row r="237" spans="2:8" x14ac:dyDescent="0.35">
      <c r="B237" s="99"/>
      <c r="D237" s="32"/>
      <c r="F237" s="99"/>
      <c r="H237" s="32"/>
    </row>
    <row r="238" spans="2:8" x14ac:dyDescent="0.35">
      <c r="B238" s="99"/>
      <c r="D238" s="32"/>
      <c r="F238" s="99"/>
      <c r="H238" s="32"/>
    </row>
    <row r="239" spans="2:8" x14ac:dyDescent="0.35">
      <c r="B239" s="99"/>
      <c r="D239" s="32"/>
      <c r="F239" s="99"/>
      <c r="H239" s="32"/>
    </row>
    <row r="240" spans="2:8" x14ac:dyDescent="0.35">
      <c r="B240" s="99"/>
      <c r="D240" s="32"/>
      <c r="F240" s="99"/>
      <c r="H240" s="32"/>
    </row>
    <row r="241" spans="2:8" x14ac:dyDescent="0.35">
      <c r="B241" s="99"/>
      <c r="D241" s="32"/>
      <c r="F241" s="99"/>
      <c r="H241" s="32"/>
    </row>
    <row r="242" spans="2:8" x14ac:dyDescent="0.35">
      <c r="B242" s="99"/>
      <c r="D242" s="32"/>
      <c r="F242" s="99"/>
      <c r="H242" s="32"/>
    </row>
    <row r="243" spans="2:8" x14ac:dyDescent="0.35">
      <c r="B243" s="99"/>
      <c r="D243" s="32"/>
      <c r="F243" s="99"/>
      <c r="H243" s="32"/>
    </row>
    <row r="244" spans="2:8" x14ac:dyDescent="0.35">
      <c r="B244" s="99"/>
      <c r="D244" s="32"/>
      <c r="F244" s="99"/>
      <c r="H244" s="32"/>
    </row>
    <row r="245" spans="2:8" x14ac:dyDescent="0.35">
      <c r="B245" s="99"/>
      <c r="D245" s="32"/>
      <c r="F245" s="99"/>
      <c r="H245" s="32"/>
    </row>
    <row r="246" spans="2:8" x14ac:dyDescent="0.35">
      <c r="B246" s="99"/>
      <c r="D246" s="32"/>
      <c r="F246" s="99"/>
      <c r="H246" s="32"/>
    </row>
    <row r="247" spans="2:8" x14ac:dyDescent="0.35">
      <c r="B247" s="99"/>
      <c r="D247" s="32"/>
      <c r="F247" s="99"/>
      <c r="H247" s="32"/>
    </row>
    <row r="248" spans="2:8" x14ac:dyDescent="0.35">
      <c r="B248" s="99"/>
      <c r="D248" s="32"/>
      <c r="F248" s="99"/>
      <c r="H248" s="32"/>
    </row>
    <row r="249" spans="2:8" x14ac:dyDescent="0.35">
      <c r="B249" s="99"/>
      <c r="D249" s="32"/>
      <c r="F249" s="99"/>
      <c r="H249" s="32"/>
    </row>
    <row r="250" spans="2:8" x14ac:dyDescent="0.35">
      <c r="B250" s="99"/>
      <c r="D250" s="32"/>
      <c r="F250" s="99"/>
      <c r="H250" s="32"/>
    </row>
  </sheetData>
  <mergeCells count="4">
    <mergeCell ref="B4:D4"/>
    <mergeCell ref="F4:H4"/>
    <mergeCell ref="J4:M4"/>
    <mergeCell ref="B2:M2"/>
  </mergeCells>
  <pageMargins left="0.7" right="0.7" top="0.75" bottom="0.75" header="0.3" footer="0.3"/>
  <pageSetup paperSize="9" scale="3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BA667-DB06-46E7-85DC-8AE2FE3487F2}">
  <sheetPr>
    <pageSetUpPr fitToPage="1"/>
  </sheetPr>
  <dimension ref="A2:K54"/>
  <sheetViews>
    <sheetView showGridLines="0" topLeftCell="A35" workbookViewId="0">
      <selection activeCell="F49" sqref="F49"/>
    </sheetView>
  </sheetViews>
  <sheetFormatPr defaultRowHeight="14.5" x14ac:dyDescent="0.35"/>
  <cols>
    <col min="1" max="1" width="1.81640625" customWidth="1"/>
    <col min="2" max="2" width="28.81640625" bestFit="1" customWidth="1"/>
    <col min="4" max="4" width="9.453125" bestFit="1" customWidth="1"/>
    <col min="5" max="8" width="8.90625" bestFit="1" customWidth="1"/>
    <col min="9" max="9" width="18.6328125" bestFit="1" customWidth="1"/>
    <col min="10" max="11" width="10.26953125" bestFit="1" customWidth="1"/>
  </cols>
  <sheetData>
    <row r="2" spans="1:11" x14ac:dyDescent="0.35">
      <c r="B2" s="276" t="str">
        <f>"Instrc Growth-"&amp;'Data Sheet'!B1</f>
        <v>Instrc Growth-TATA CONSULTANCY SERVICES LTD</v>
      </c>
      <c r="C2" s="276"/>
      <c r="D2" s="276"/>
      <c r="E2" s="276"/>
      <c r="F2" s="276"/>
      <c r="G2" s="276"/>
      <c r="H2" s="276"/>
      <c r="I2" s="276"/>
      <c r="J2" s="276"/>
      <c r="K2" s="276"/>
    </row>
    <row r="5" spans="1:11" x14ac:dyDescent="0.35">
      <c r="A5" t="s">
        <v>95</v>
      </c>
      <c r="B5" s="114" t="s">
        <v>260</v>
      </c>
      <c r="C5" s="114"/>
      <c r="D5" s="115">
        <f>'Historicail Financial Statement'!D4</f>
        <v>43555</v>
      </c>
      <c r="E5" s="115">
        <f>'Historicail Financial Statement'!E4</f>
        <v>43921</v>
      </c>
      <c r="F5" s="115">
        <f>'Historicail Financial Statement'!F4</f>
        <v>44286</v>
      </c>
      <c r="G5" s="115">
        <f>'Historicail Financial Statement'!G4</f>
        <v>44651</v>
      </c>
      <c r="H5" s="115">
        <f>'Historicail Financial Statement'!H4</f>
        <v>45016</v>
      </c>
      <c r="I5" s="115">
        <f>'Historicail Financial Statement'!I4</f>
        <v>45382</v>
      </c>
      <c r="J5" s="115">
        <f>'Historicail Financial Statement'!J4</f>
        <v>45747</v>
      </c>
      <c r="K5" s="115">
        <f>'Historicail Financial Statement'!K4</f>
        <v>46112</v>
      </c>
    </row>
    <row r="7" spans="1:11" x14ac:dyDescent="0.35">
      <c r="B7" s="117" t="s">
        <v>261</v>
      </c>
      <c r="C7" s="116"/>
      <c r="D7" s="116"/>
      <c r="E7" s="116"/>
      <c r="F7" s="116"/>
      <c r="G7" s="116"/>
      <c r="H7" s="116"/>
      <c r="I7" s="116"/>
      <c r="J7" s="116"/>
      <c r="K7" s="116"/>
    </row>
    <row r="9" spans="1:11" x14ac:dyDescent="0.35">
      <c r="B9" s="128" t="s">
        <v>78</v>
      </c>
      <c r="C9" s="129"/>
      <c r="D9" s="130">
        <f>'Data Sheet'!D67</f>
        <v>27346</v>
      </c>
      <c r="E9" s="130">
        <f>'Data Sheet'!E67</f>
        <v>30532</v>
      </c>
      <c r="F9" s="130">
        <f>'Data Sheet'!F67</f>
        <v>30079</v>
      </c>
      <c r="G9" s="130">
        <f>'Data Sheet'!G67</f>
        <v>41810</v>
      </c>
      <c r="H9" s="130">
        <f>'Data Sheet'!H67</f>
        <v>49954</v>
      </c>
      <c r="I9" s="130">
        <f>'Data Sheet'!I67</f>
        <v>53577</v>
      </c>
      <c r="J9" s="130">
        <f>'Data Sheet'!J67</f>
        <v>59046</v>
      </c>
      <c r="K9" s="130">
        <f>'Data Sheet'!K67</f>
        <v>67714</v>
      </c>
    </row>
    <row r="10" spans="1:11" ht="15" thickBot="1" x14ac:dyDescent="0.4">
      <c r="B10" s="131" t="s">
        <v>45</v>
      </c>
      <c r="C10" s="132"/>
      <c r="D10" s="133">
        <f>'Data Sheet'!D68</f>
        <v>10</v>
      </c>
      <c r="E10" s="133">
        <f>'Data Sheet'!E68</f>
        <v>5</v>
      </c>
      <c r="F10" s="133">
        <f>'Data Sheet'!F68</f>
        <v>8</v>
      </c>
      <c r="G10" s="133">
        <f>'Data Sheet'!G68</f>
        <v>20</v>
      </c>
      <c r="H10" s="133">
        <f>'Data Sheet'!H68</f>
        <v>28</v>
      </c>
      <c r="I10" s="133">
        <f>'Data Sheet'!I68</f>
        <v>28</v>
      </c>
      <c r="J10" s="133">
        <f>'Data Sheet'!J68</f>
        <v>21</v>
      </c>
      <c r="K10" s="133">
        <f>'Data Sheet'!K68</f>
        <v>29</v>
      </c>
    </row>
    <row r="11" spans="1:11" ht="15" thickBot="1" x14ac:dyDescent="0.4">
      <c r="B11" s="42" t="s">
        <v>125</v>
      </c>
      <c r="C11" s="44"/>
      <c r="D11" s="118">
        <f>SUM(D9:D10)</f>
        <v>27356</v>
      </c>
      <c r="E11" s="118">
        <f t="shared" ref="E11:K11" si="0">SUM(E9:E10)</f>
        <v>30537</v>
      </c>
      <c r="F11" s="118">
        <f t="shared" si="0"/>
        <v>30087</v>
      </c>
      <c r="G11" s="118">
        <f t="shared" si="0"/>
        <v>41830</v>
      </c>
      <c r="H11" s="118">
        <f t="shared" si="0"/>
        <v>49982</v>
      </c>
      <c r="I11" s="118">
        <f t="shared" si="0"/>
        <v>53605</v>
      </c>
      <c r="J11" s="118">
        <f t="shared" si="0"/>
        <v>59067</v>
      </c>
      <c r="K11" s="118">
        <f t="shared" si="0"/>
        <v>67743</v>
      </c>
    </row>
    <row r="12" spans="1:11" ht="15" thickTop="1" x14ac:dyDescent="0.35"/>
    <row r="13" spans="1:11" x14ac:dyDescent="0.35">
      <c r="B13" s="117" t="s">
        <v>262</v>
      </c>
      <c r="C13" s="116"/>
      <c r="D13" s="116"/>
      <c r="E13" s="116"/>
      <c r="F13" s="116"/>
      <c r="G13" s="116"/>
      <c r="H13" s="116"/>
      <c r="I13" s="116"/>
      <c r="J13" s="116"/>
      <c r="K13" s="116"/>
    </row>
    <row r="15" spans="1:11" ht="15" thickBot="1" x14ac:dyDescent="0.4">
      <c r="B15" s="134" t="str">
        <f>'Data Sheet'!A60</f>
        <v>Other Liabilities</v>
      </c>
      <c r="C15" s="135"/>
      <c r="D15" s="136">
        <f>'Data Sheet'!D60</f>
        <v>24393</v>
      </c>
      <c r="E15" s="136">
        <f>'Data Sheet'!E60</f>
        <v>27827</v>
      </c>
      <c r="F15" s="136">
        <f>'Data Sheet'!F60</f>
        <v>35764</v>
      </c>
      <c r="G15" s="136">
        <f>'Data Sheet'!G60</f>
        <v>43967</v>
      </c>
      <c r="H15" s="136">
        <f>'Data Sheet'!H60</f>
        <v>44747</v>
      </c>
      <c r="I15" s="136">
        <f>'Data Sheet'!I60</f>
        <v>46962</v>
      </c>
      <c r="J15" s="136">
        <f>'Data Sheet'!J60</f>
        <v>54501</v>
      </c>
      <c r="K15" s="136">
        <f>'Data Sheet'!K60</f>
        <v>62644</v>
      </c>
    </row>
    <row r="16" spans="1:11" ht="15" thickBot="1" x14ac:dyDescent="0.4">
      <c r="B16" s="42" t="s">
        <v>263</v>
      </c>
      <c r="C16" s="44"/>
      <c r="D16" s="118">
        <f>SUM(D15)</f>
        <v>24393</v>
      </c>
      <c r="E16" s="118">
        <f t="shared" ref="E16:K16" si="1">SUM(E15)</f>
        <v>27827</v>
      </c>
      <c r="F16" s="118">
        <f t="shared" si="1"/>
        <v>35764</v>
      </c>
      <c r="G16" s="118">
        <f t="shared" si="1"/>
        <v>43967</v>
      </c>
      <c r="H16" s="118">
        <f t="shared" si="1"/>
        <v>44747</v>
      </c>
      <c r="I16" s="118">
        <f t="shared" si="1"/>
        <v>46962</v>
      </c>
      <c r="J16" s="118">
        <f t="shared" si="1"/>
        <v>54501</v>
      </c>
      <c r="K16" s="118">
        <f t="shared" si="1"/>
        <v>62644</v>
      </c>
    </row>
    <row r="17" spans="1:11" ht="15.5" thickTop="1" thickBot="1" x14ac:dyDescent="0.4"/>
    <row r="18" spans="1:11" ht="15" thickBot="1" x14ac:dyDescent="0.4">
      <c r="A18" t="s">
        <v>95</v>
      </c>
      <c r="B18" s="42" t="s">
        <v>264</v>
      </c>
      <c r="C18" s="44"/>
      <c r="D18" s="120">
        <f>D11-D16</f>
        <v>2963</v>
      </c>
      <c r="E18" s="120">
        <f t="shared" ref="E18:K18" si="2">E11-E16</f>
        <v>2710</v>
      </c>
      <c r="F18" s="120">
        <f t="shared" si="2"/>
        <v>-5677</v>
      </c>
      <c r="G18" s="120">
        <f>G11-G16</f>
        <v>-2137</v>
      </c>
      <c r="H18" s="120">
        <f t="shared" si="2"/>
        <v>5235</v>
      </c>
      <c r="I18" s="120">
        <f t="shared" si="2"/>
        <v>6643</v>
      </c>
      <c r="J18" s="120">
        <f t="shared" si="2"/>
        <v>4566</v>
      </c>
      <c r="K18" s="120">
        <f t="shared" si="2"/>
        <v>5099</v>
      </c>
    </row>
    <row r="19" spans="1:11" ht="15" thickTop="1" x14ac:dyDescent="0.35"/>
    <row r="20" spans="1:11" x14ac:dyDescent="0.35">
      <c r="B20" s="117" t="s">
        <v>265</v>
      </c>
      <c r="C20" s="116"/>
      <c r="D20" s="116"/>
      <c r="E20" s="116"/>
      <c r="F20" s="116"/>
      <c r="G20" s="116"/>
      <c r="H20" s="116"/>
      <c r="I20" s="116"/>
      <c r="J20" s="116"/>
      <c r="K20" s="116"/>
    </row>
    <row r="22" spans="1:11" x14ac:dyDescent="0.35">
      <c r="B22" s="137" t="str">
        <f>'Data Sheet'!A63</f>
        <v>Capital Work in Progress</v>
      </c>
      <c r="C22" s="53"/>
      <c r="D22" s="138">
        <f>'Data Sheet'!D63</f>
        <v>963</v>
      </c>
      <c r="E22" s="138">
        <f>'Data Sheet'!E63</f>
        <v>906</v>
      </c>
      <c r="F22" s="138">
        <f>'Data Sheet'!F63</f>
        <v>926</v>
      </c>
      <c r="G22" s="138">
        <f>'Data Sheet'!G63</f>
        <v>1205</v>
      </c>
      <c r="H22" s="138">
        <f>'Data Sheet'!H63</f>
        <v>1234</v>
      </c>
      <c r="I22" s="138">
        <f>'Data Sheet'!I63</f>
        <v>1564</v>
      </c>
      <c r="J22" s="138">
        <f>'Data Sheet'!J63</f>
        <v>1546</v>
      </c>
      <c r="K22" s="138">
        <f>'Data Sheet'!K63</f>
        <v>2665</v>
      </c>
    </row>
    <row r="23" spans="1:11" x14ac:dyDescent="0.35">
      <c r="B23" s="137" t="str">
        <f>'Data Sheet'!A65</f>
        <v>Other Assets</v>
      </c>
      <c r="C23" s="53"/>
      <c r="D23" s="138">
        <f>'Data Sheet'!D65</f>
        <v>71318</v>
      </c>
      <c r="E23" s="138">
        <f>'Data Sheet'!E65</f>
        <v>71937</v>
      </c>
      <c r="F23" s="138">
        <f>'Data Sheet'!F65</f>
        <v>78672</v>
      </c>
      <c r="G23" s="138">
        <f>'Data Sheet'!G65</f>
        <v>87936</v>
      </c>
      <c r="H23" s="138">
        <f>'Data Sheet'!H65</f>
        <v>83947</v>
      </c>
      <c r="I23" s="138">
        <f>'Data Sheet'!I65</f>
        <v>92542</v>
      </c>
      <c r="J23" s="138">
        <f>'Data Sheet'!J65</f>
        <v>103086</v>
      </c>
      <c r="K23" s="138">
        <f>'Data Sheet'!K65</f>
        <v>113171</v>
      </c>
    </row>
    <row r="24" spans="1:11" x14ac:dyDescent="0.35">
      <c r="B24" s="137" t="str">
        <f>'Data Sheet'!A62</f>
        <v>Net Block</v>
      </c>
      <c r="C24" s="53"/>
      <c r="D24" s="138">
        <f>SUM(D22:D23)</f>
        <v>72281</v>
      </c>
      <c r="E24" s="138">
        <f t="shared" ref="E24:K24" si="3">SUM(E22:E23)</f>
        <v>72843</v>
      </c>
      <c r="F24" s="138">
        <f t="shared" si="3"/>
        <v>79598</v>
      </c>
      <c r="G24" s="138">
        <f t="shared" si="3"/>
        <v>89141</v>
      </c>
      <c r="H24" s="138">
        <f t="shared" si="3"/>
        <v>85181</v>
      </c>
      <c r="I24" s="138">
        <f t="shared" si="3"/>
        <v>94106</v>
      </c>
      <c r="J24" s="138">
        <f t="shared" si="3"/>
        <v>104632</v>
      </c>
      <c r="K24" s="138">
        <f t="shared" si="3"/>
        <v>115836</v>
      </c>
    </row>
    <row r="25" spans="1:11" ht="15" thickBot="1" x14ac:dyDescent="0.4">
      <c r="B25" s="135" t="s">
        <v>266</v>
      </c>
      <c r="C25" s="135"/>
      <c r="D25" s="136">
        <f>'Historicail Financial Statement'!D20</f>
        <v>2056</v>
      </c>
      <c r="E25" s="136">
        <f>'Historicail Financial Statement'!E20</f>
        <v>3529</v>
      </c>
      <c r="F25" s="136">
        <f>'Historicail Financial Statement'!F20</f>
        <v>4065</v>
      </c>
      <c r="G25" s="136">
        <f>'Historicail Financial Statement'!G20</f>
        <v>4604</v>
      </c>
      <c r="H25" s="136">
        <f>'Historicail Financial Statement'!H20</f>
        <v>5022</v>
      </c>
      <c r="I25" s="136">
        <f>'Historicail Financial Statement'!I20</f>
        <v>4985</v>
      </c>
      <c r="J25" s="136">
        <f>'Historicail Financial Statement'!J20</f>
        <v>5242</v>
      </c>
      <c r="K25" s="136">
        <f>'Historicail Financial Statement'!K20</f>
        <v>5560</v>
      </c>
    </row>
    <row r="26" spans="1:11" ht="15" thickBot="1" x14ac:dyDescent="0.4">
      <c r="B26" s="44" t="s">
        <v>267</v>
      </c>
      <c r="C26" s="44"/>
      <c r="D26" s="120">
        <f>SUM(D24:D25)</f>
        <v>74337</v>
      </c>
      <c r="E26" s="120">
        <f t="shared" ref="E26:K26" si="4">SUM(E24:E25)</f>
        <v>76372</v>
      </c>
      <c r="F26" s="120">
        <f t="shared" si="4"/>
        <v>83663</v>
      </c>
      <c r="G26" s="120">
        <f t="shared" si="4"/>
        <v>93745</v>
      </c>
      <c r="H26" s="120">
        <f t="shared" si="4"/>
        <v>90203</v>
      </c>
      <c r="I26" s="120">
        <f t="shared" si="4"/>
        <v>99091</v>
      </c>
      <c r="J26" s="120">
        <f t="shared" si="4"/>
        <v>109874</v>
      </c>
      <c r="K26" s="120">
        <f t="shared" si="4"/>
        <v>121396</v>
      </c>
    </row>
    <row r="27" spans="1:11" ht="15" thickTop="1" x14ac:dyDescent="0.35"/>
    <row r="28" spans="1:11" x14ac:dyDescent="0.35">
      <c r="B28" s="139" t="s">
        <v>268</v>
      </c>
      <c r="C28" s="139"/>
      <c r="D28" s="140">
        <f>D18+D26</f>
        <v>77300</v>
      </c>
      <c r="E28" s="140">
        <f t="shared" ref="E28:K28" si="5">E18+E26</f>
        <v>79082</v>
      </c>
      <c r="F28" s="140">
        <f t="shared" si="5"/>
        <v>77986</v>
      </c>
      <c r="G28" s="140">
        <f t="shared" si="5"/>
        <v>91608</v>
      </c>
      <c r="H28" s="140">
        <f t="shared" si="5"/>
        <v>95438</v>
      </c>
      <c r="I28" s="140">
        <f t="shared" si="5"/>
        <v>105734</v>
      </c>
      <c r="J28" s="140">
        <f t="shared" si="5"/>
        <v>114440</v>
      </c>
      <c r="K28" s="140">
        <f t="shared" si="5"/>
        <v>126495</v>
      </c>
    </row>
    <row r="29" spans="1:11" x14ac:dyDescent="0.35">
      <c r="B29" s="139" t="s">
        <v>269</v>
      </c>
      <c r="C29" s="139"/>
      <c r="D29" s="139">
        <f>D40</f>
        <v>28087.5</v>
      </c>
      <c r="E29" s="139">
        <f t="shared" ref="E29:K29" si="6">E40</f>
        <v>28935</v>
      </c>
      <c r="F29" s="139">
        <f t="shared" si="6"/>
        <v>31860.75</v>
      </c>
      <c r="G29" s="139">
        <f t="shared" si="6"/>
        <v>36339.75</v>
      </c>
      <c r="H29" s="139">
        <f t="shared" si="6"/>
        <v>40677.75</v>
      </c>
      <c r="I29" s="139">
        <f t="shared" si="6"/>
        <v>44483.25</v>
      </c>
      <c r="J29" s="139">
        <f t="shared" si="6"/>
        <v>46623.75</v>
      </c>
      <c r="K29" s="139">
        <f t="shared" si="6"/>
        <v>50128.5</v>
      </c>
    </row>
    <row r="30" spans="1:11" ht="15" thickBot="1" x14ac:dyDescent="0.4"/>
    <row r="31" spans="1:11" ht="15" thickBot="1" x14ac:dyDescent="0.4">
      <c r="B31" s="44" t="s">
        <v>278</v>
      </c>
      <c r="C31" s="44"/>
      <c r="D31" s="124">
        <f>D29/D28</f>
        <v>0.36335705045278138</v>
      </c>
      <c r="E31" s="124">
        <f t="shared" ref="E31:K31" si="7">E29/E28</f>
        <v>0.36588604233580335</v>
      </c>
      <c r="F31" s="124">
        <f t="shared" si="7"/>
        <v>0.40854448234298463</v>
      </c>
      <c r="G31" s="124">
        <f t="shared" si="7"/>
        <v>0.39668751637411581</v>
      </c>
      <c r="H31" s="124">
        <f t="shared" si="7"/>
        <v>0.42622173557702381</v>
      </c>
      <c r="I31" s="124">
        <f t="shared" si="7"/>
        <v>0.42070904344865417</v>
      </c>
      <c r="J31" s="124">
        <f t="shared" si="7"/>
        <v>0.40740781195386228</v>
      </c>
      <c r="K31" s="124">
        <f t="shared" si="7"/>
        <v>0.39628839084548795</v>
      </c>
    </row>
    <row r="32" spans="1:11" ht="15" thickTop="1" x14ac:dyDescent="0.35"/>
    <row r="33" spans="1:11" x14ac:dyDescent="0.35">
      <c r="B33" s="114" t="s">
        <v>270</v>
      </c>
      <c r="C33" s="114"/>
      <c r="D33" s="115">
        <f>D5</f>
        <v>43555</v>
      </c>
      <c r="E33" s="115">
        <f t="shared" ref="E33:K33" si="8">E5</f>
        <v>43921</v>
      </c>
      <c r="F33" s="115">
        <f t="shared" si="8"/>
        <v>44286</v>
      </c>
      <c r="G33" s="115">
        <f t="shared" si="8"/>
        <v>44651</v>
      </c>
      <c r="H33" s="115">
        <f t="shared" si="8"/>
        <v>45016</v>
      </c>
      <c r="I33" s="115">
        <f t="shared" si="8"/>
        <v>45382</v>
      </c>
      <c r="J33" s="115">
        <f t="shared" si="8"/>
        <v>45747</v>
      </c>
      <c r="K33" s="115">
        <f t="shared" si="8"/>
        <v>46112</v>
      </c>
    </row>
    <row r="35" spans="1:11" x14ac:dyDescent="0.35">
      <c r="B35" s="139" t="s">
        <v>271</v>
      </c>
      <c r="C35" s="139"/>
      <c r="D35" s="140">
        <f>SUM('Cash Flow'!D9:D12)</f>
        <v>-20578</v>
      </c>
      <c r="E35" s="140">
        <f>SUM('Cash Flow'!E9:E12)</f>
        <v>4205</v>
      </c>
      <c r="F35" s="140">
        <f>SUM('Cash Flow'!F9:F12)</f>
        <v>5250</v>
      </c>
      <c r="G35" s="140">
        <f>SUM('Cash Flow'!G9:G12)</f>
        <v>999</v>
      </c>
      <c r="H35" s="140">
        <f>SUM('Cash Flow'!H9:H12)</f>
        <v>-5971</v>
      </c>
      <c r="I35" s="140">
        <f>SUM('Cash Flow'!I9:I12)</f>
        <v>-4486</v>
      </c>
      <c r="J35" s="140">
        <f>SUM('Cash Flow'!J9:J12)</f>
        <v>-10121</v>
      </c>
      <c r="K35" s="140">
        <f>SUM('Cash Flow'!K9:K12)</f>
        <v>3543</v>
      </c>
    </row>
    <row r="36" spans="1:11" x14ac:dyDescent="0.35">
      <c r="B36" s="139" t="s">
        <v>272</v>
      </c>
      <c r="C36" s="139"/>
      <c r="D36" s="139" t="s">
        <v>97</v>
      </c>
      <c r="E36" s="140">
        <f>E26-D26</f>
        <v>2035</v>
      </c>
      <c r="F36" s="140">
        <f t="shared" ref="F36:K36" si="9">F26-E26</f>
        <v>7291</v>
      </c>
      <c r="G36" s="140">
        <f t="shared" si="9"/>
        <v>10082</v>
      </c>
      <c r="H36" s="140">
        <f t="shared" si="9"/>
        <v>-3542</v>
      </c>
      <c r="I36" s="140">
        <f t="shared" si="9"/>
        <v>8888</v>
      </c>
      <c r="J36" s="140">
        <f t="shared" si="9"/>
        <v>10783</v>
      </c>
      <c r="K36" s="140">
        <f t="shared" si="9"/>
        <v>11522</v>
      </c>
    </row>
    <row r="37" spans="1:11" x14ac:dyDescent="0.35">
      <c r="B37" s="139"/>
      <c r="C37" s="139"/>
      <c r="D37" s="139"/>
      <c r="E37" s="139"/>
      <c r="F37" s="139"/>
      <c r="G37" s="139"/>
      <c r="H37" s="139"/>
      <c r="I37" s="139"/>
      <c r="J37" s="139"/>
      <c r="K37" s="139"/>
    </row>
    <row r="38" spans="1:11" x14ac:dyDescent="0.35">
      <c r="B38" s="139" t="s">
        <v>107</v>
      </c>
      <c r="C38" s="139"/>
      <c r="D38" s="139">
        <f>'Historicail Financial Statement'!D23</f>
        <v>37450</v>
      </c>
      <c r="E38" s="139">
        <f>'Historicail Financial Statement'!E23</f>
        <v>38580</v>
      </c>
      <c r="F38" s="139">
        <f>'Historicail Financial Statement'!F23</f>
        <v>42481</v>
      </c>
      <c r="G38" s="139">
        <f>'Historicail Financial Statement'!G23</f>
        <v>48453</v>
      </c>
      <c r="H38" s="139">
        <f>'Historicail Financial Statement'!H23</f>
        <v>54237</v>
      </c>
      <c r="I38" s="139">
        <f>'Historicail Financial Statement'!I23</f>
        <v>59311</v>
      </c>
      <c r="J38" s="139">
        <f>'Historicail Financial Statement'!J23</f>
        <v>62165</v>
      </c>
      <c r="K38" s="139">
        <f>'Historicail Financial Statement'!K23</f>
        <v>66838</v>
      </c>
    </row>
    <row r="39" spans="1:11" x14ac:dyDescent="0.35">
      <c r="B39" s="139" t="s">
        <v>273</v>
      </c>
      <c r="C39" s="139"/>
      <c r="D39" s="141">
        <v>0.25</v>
      </c>
      <c r="E39" s="141">
        <v>0.25</v>
      </c>
      <c r="F39" s="141">
        <v>0.25</v>
      </c>
      <c r="G39" s="141">
        <v>0.25</v>
      </c>
      <c r="H39" s="141">
        <v>0.25</v>
      </c>
      <c r="I39" s="141">
        <v>0.25</v>
      </c>
      <c r="J39" s="141">
        <v>0.25</v>
      </c>
      <c r="K39" s="141">
        <v>0.25</v>
      </c>
    </row>
    <row r="40" spans="1:11" x14ac:dyDescent="0.35">
      <c r="B40" s="139" t="s">
        <v>269</v>
      </c>
      <c r="C40" s="139"/>
      <c r="D40" s="139">
        <f>D38*(1-D39)</f>
        <v>28087.5</v>
      </c>
      <c r="E40" s="139">
        <f t="shared" ref="E40:K40" si="10">E38*(1-E39)</f>
        <v>28935</v>
      </c>
      <c r="F40" s="139">
        <f t="shared" si="10"/>
        <v>31860.75</v>
      </c>
      <c r="G40" s="139">
        <f t="shared" si="10"/>
        <v>36339.75</v>
      </c>
      <c r="H40" s="139">
        <f t="shared" si="10"/>
        <v>40677.75</v>
      </c>
      <c r="I40" s="139">
        <f t="shared" si="10"/>
        <v>44483.25</v>
      </c>
      <c r="J40" s="139">
        <f t="shared" si="10"/>
        <v>46623.75</v>
      </c>
      <c r="K40" s="139">
        <f t="shared" si="10"/>
        <v>50128.5</v>
      </c>
    </row>
    <row r="41" spans="1:11" x14ac:dyDescent="0.35">
      <c r="B41" s="139"/>
      <c r="C41" s="139"/>
      <c r="D41" s="139"/>
      <c r="E41" s="139"/>
      <c r="F41" s="139"/>
      <c r="G41" s="139"/>
      <c r="H41" s="139"/>
      <c r="I41" s="139"/>
      <c r="J41" s="139"/>
      <c r="K41" s="139"/>
    </row>
    <row r="42" spans="1:11" x14ac:dyDescent="0.35">
      <c r="B42" s="139" t="s">
        <v>274</v>
      </c>
      <c r="C42" s="139"/>
      <c r="D42" s="139"/>
      <c r="E42" s="140">
        <f>SUM(E35:E36)</f>
        <v>6240</v>
      </c>
      <c r="F42" s="140">
        <f t="shared" ref="F42:K42" si="11">SUM(F35:F36)</f>
        <v>12541</v>
      </c>
      <c r="G42" s="140">
        <f t="shared" si="11"/>
        <v>11081</v>
      </c>
      <c r="H42" s="140">
        <f t="shared" si="11"/>
        <v>-9513</v>
      </c>
      <c r="I42" s="140">
        <f t="shared" si="11"/>
        <v>4402</v>
      </c>
      <c r="J42" s="140">
        <f t="shared" si="11"/>
        <v>662</v>
      </c>
      <c r="K42" s="140">
        <f t="shared" si="11"/>
        <v>15065</v>
      </c>
    </row>
    <row r="43" spans="1:11" ht="15" thickBot="1" x14ac:dyDescent="0.4"/>
    <row r="44" spans="1:11" ht="15" thickBot="1" x14ac:dyDescent="0.4">
      <c r="A44" s="44"/>
      <c r="B44" s="44" t="s">
        <v>277</v>
      </c>
      <c r="C44" s="44"/>
      <c r="D44" s="44"/>
      <c r="E44" s="124">
        <f>E42/E40</f>
        <v>0.21565578019699327</v>
      </c>
      <c r="F44" s="124">
        <f t="shared" ref="F44:K44" si="12">F42/F40</f>
        <v>0.39361910815031032</v>
      </c>
      <c r="G44" s="124">
        <f t="shared" si="12"/>
        <v>0.30492779944826259</v>
      </c>
      <c r="H44" s="124">
        <f t="shared" si="12"/>
        <v>-0.23386249239449083</v>
      </c>
      <c r="I44" s="124">
        <f t="shared" si="12"/>
        <v>9.8958596775190658E-2</v>
      </c>
      <c r="J44" s="124">
        <f t="shared" si="12"/>
        <v>1.4198772085042494E-2</v>
      </c>
      <c r="K44" s="124">
        <f t="shared" si="12"/>
        <v>0.30052764395503556</v>
      </c>
    </row>
    <row r="45" spans="1:11" ht="15" thickTop="1" x14ac:dyDescent="0.35">
      <c r="I45" s="125" t="s">
        <v>279</v>
      </c>
      <c r="J45" s="125"/>
      <c r="K45" s="126">
        <f>AVERAGE(H44:K44)</f>
        <v>4.4955630105194475E-2</v>
      </c>
    </row>
    <row r="46" spans="1:11" x14ac:dyDescent="0.35">
      <c r="I46" s="125" t="s">
        <v>280</v>
      </c>
      <c r="J46" s="125"/>
      <c r="K46" s="126">
        <f>MEDIAN(H44:K44)</f>
        <v>5.6578684430116571E-2</v>
      </c>
    </row>
    <row r="47" spans="1:11" x14ac:dyDescent="0.35">
      <c r="K47" s="5"/>
    </row>
    <row r="48" spans="1:11" x14ac:dyDescent="0.35">
      <c r="B48" s="114" t="s">
        <v>281</v>
      </c>
      <c r="C48" s="114"/>
      <c r="D48" s="115">
        <f>D33</f>
        <v>43555</v>
      </c>
      <c r="E48" s="115">
        <f t="shared" ref="E48:K48" si="13">E33</f>
        <v>43921</v>
      </c>
      <c r="F48" s="115">
        <f t="shared" si="13"/>
        <v>44286</v>
      </c>
      <c r="G48" s="115">
        <f t="shared" si="13"/>
        <v>44651</v>
      </c>
      <c r="H48" s="115">
        <f t="shared" si="13"/>
        <v>45016</v>
      </c>
      <c r="I48" s="115">
        <f t="shared" si="13"/>
        <v>45382</v>
      </c>
      <c r="J48" s="115">
        <f t="shared" si="13"/>
        <v>45747</v>
      </c>
      <c r="K48" s="115">
        <f t="shared" si="13"/>
        <v>46112</v>
      </c>
    </row>
    <row r="50" spans="2:11" x14ac:dyDescent="0.35">
      <c r="B50" s="139" t="s">
        <v>277</v>
      </c>
      <c r="C50" s="139"/>
      <c r="D50" s="139"/>
      <c r="E50" s="142">
        <f>E44</f>
        <v>0.21565578019699327</v>
      </c>
      <c r="F50" s="142">
        <f t="shared" ref="F50:K50" si="14">F44</f>
        <v>0.39361910815031032</v>
      </c>
      <c r="G50" s="142">
        <f t="shared" si="14"/>
        <v>0.30492779944826259</v>
      </c>
      <c r="H50" s="142">
        <f t="shared" si="14"/>
        <v>-0.23386249239449083</v>
      </c>
      <c r="I50" s="142">
        <f t="shared" si="14"/>
        <v>9.8958596775190658E-2</v>
      </c>
      <c r="J50" s="142">
        <f t="shared" si="14"/>
        <v>1.4198772085042494E-2</v>
      </c>
      <c r="K50" s="142">
        <f t="shared" si="14"/>
        <v>0.30052764395503556</v>
      </c>
    </row>
    <row r="51" spans="2:11" ht="15" thickBot="1" x14ac:dyDescent="0.4">
      <c r="B51" s="143" t="s">
        <v>278</v>
      </c>
      <c r="C51" s="143"/>
      <c r="D51" s="143"/>
      <c r="E51" s="144">
        <f>E31</f>
        <v>0.36588604233580335</v>
      </c>
      <c r="F51" s="144">
        <f t="shared" ref="F51:K51" si="15">F31</f>
        <v>0.40854448234298463</v>
      </c>
      <c r="G51" s="144">
        <f t="shared" si="15"/>
        <v>0.39668751637411581</v>
      </c>
      <c r="H51" s="144">
        <f t="shared" si="15"/>
        <v>0.42622173557702381</v>
      </c>
      <c r="I51" s="144">
        <f t="shared" si="15"/>
        <v>0.42070904344865417</v>
      </c>
      <c r="J51" s="144">
        <f t="shared" si="15"/>
        <v>0.40740781195386228</v>
      </c>
      <c r="K51" s="144">
        <f t="shared" si="15"/>
        <v>0.39628839084548795</v>
      </c>
    </row>
    <row r="52" spans="2:11" ht="15" thickBot="1" x14ac:dyDescent="0.4">
      <c r="B52" s="42" t="s">
        <v>282</v>
      </c>
      <c r="C52" s="42"/>
      <c r="D52" s="42"/>
      <c r="E52" s="127">
        <f>E50*E51</f>
        <v>7.8905439923117784E-2</v>
      </c>
      <c r="F52" s="127">
        <f t="shared" ref="F52:K52" si="16">F50*F51</f>
        <v>0.16081091477957582</v>
      </c>
      <c r="G52" s="127">
        <f t="shared" si="16"/>
        <v>0.12096105143655576</v>
      </c>
      <c r="H52" s="127">
        <f t="shared" si="16"/>
        <v>-9.9677277394748409E-2</v>
      </c>
      <c r="I52" s="127">
        <f t="shared" si="16"/>
        <v>4.1632776590311532E-2</v>
      </c>
      <c r="J52" s="127">
        <f t="shared" si="16"/>
        <v>5.7846906675987414E-3</v>
      </c>
      <c r="K52" s="127">
        <f t="shared" si="16"/>
        <v>0.11909561642752678</v>
      </c>
    </row>
    <row r="53" spans="2:11" ht="15" thickTop="1" x14ac:dyDescent="0.35">
      <c r="I53" s="125" t="s">
        <v>279</v>
      </c>
      <c r="J53" s="125"/>
      <c r="K53" s="126">
        <f>AVERAGE(H52:K52)</f>
        <v>1.6708951572672159E-2</v>
      </c>
    </row>
    <row r="54" spans="2:11" x14ac:dyDescent="0.35">
      <c r="I54" s="125" t="s">
        <v>280</v>
      </c>
      <c r="J54" s="125"/>
      <c r="K54" s="126">
        <f>MEDIAN(H52:K52)</f>
        <v>2.3708733628955137E-2</v>
      </c>
    </row>
  </sheetData>
  <mergeCells count="1">
    <mergeCell ref="B2:K2"/>
  </mergeCells>
  <pageMargins left="0.7" right="0.7" top="0.75" bottom="0.75" header="0.3" footer="0.3"/>
  <pageSetup scale="73"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2F173-7FD9-4FB4-95BB-592AD37AFA7A}">
  <sheetPr>
    <pageSetUpPr fitToPage="1"/>
  </sheetPr>
  <dimension ref="B2:R40"/>
  <sheetViews>
    <sheetView showGridLines="0" topLeftCell="C11" zoomScale="38" zoomScaleNormal="85" workbookViewId="0">
      <selection activeCell="D11" sqref="D11"/>
    </sheetView>
  </sheetViews>
  <sheetFormatPr defaultRowHeight="14.5" x14ac:dyDescent="0.35"/>
  <cols>
    <col min="1" max="1" width="1.81640625" customWidth="1"/>
    <col min="2" max="2" width="31.6328125" bestFit="1" customWidth="1"/>
    <col min="4" max="4" width="17.90625" bestFit="1" customWidth="1"/>
    <col min="5" max="5" width="14.6328125" bestFit="1" customWidth="1"/>
    <col min="6" max="8" width="17.453125" bestFit="1" customWidth="1"/>
    <col min="9" max="9" width="15.81640625" bestFit="1" customWidth="1"/>
    <col min="10" max="10" width="17.453125" bestFit="1" customWidth="1"/>
    <col min="11" max="11" width="11.08984375" bestFit="1" customWidth="1"/>
    <col min="14" max="14" width="13.6328125" customWidth="1"/>
    <col min="15" max="16" width="11.08984375" bestFit="1" customWidth="1"/>
  </cols>
  <sheetData>
    <row r="2" spans="2:10" x14ac:dyDescent="0.35">
      <c r="C2" s="276" t="str">
        <f>"DCF-"&amp;'Data Sheet'!B1</f>
        <v>DCF-TATA CONSULTANCY SERVICES LTD</v>
      </c>
      <c r="D2" s="276"/>
      <c r="E2" s="276"/>
      <c r="F2" s="276"/>
      <c r="G2" s="276"/>
      <c r="H2" s="276"/>
    </row>
    <row r="4" spans="2:10" x14ac:dyDescent="0.35">
      <c r="B4" s="114" t="s">
        <v>285</v>
      </c>
      <c r="C4" s="114"/>
      <c r="D4" s="155">
        <f>'Instrc Growth'!K48</f>
        <v>46112</v>
      </c>
      <c r="E4" s="156">
        <f>D4+365</f>
        <v>46477</v>
      </c>
      <c r="F4" s="156">
        <f t="shared" ref="F4:J4" si="0">E4+365</f>
        <v>46842</v>
      </c>
      <c r="G4" s="156">
        <f t="shared" si="0"/>
        <v>47207</v>
      </c>
      <c r="H4" s="156">
        <f t="shared" si="0"/>
        <v>47572</v>
      </c>
      <c r="I4" s="156">
        <f t="shared" si="0"/>
        <v>47937</v>
      </c>
      <c r="J4" s="156">
        <f t="shared" si="0"/>
        <v>48302</v>
      </c>
    </row>
    <row r="6" spans="2:10" x14ac:dyDescent="0.35">
      <c r="B6" s="129" t="s">
        <v>107</v>
      </c>
      <c r="C6" s="129"/>
      <c r="D6" s="129">
        <f>'Historicail Financial Statement'!K23</f>
        <v>66838</v>
      </c>
      <c r="E6" s="129">
        <f>D6*(1+$D$16)</f>
        <v>76863.7</v>
      </c>
      <c r="F6" s="129">
        <f t="shared" ref="F6:J6" si="1">E6*(1+$D$16)</f>
        <v>88393.25499999999</v>
      </c>
      <c r="G6" s="129">
        <f t="shared" si="1"/>
        <v>101652.24324999998</v>
      </c>
      <c r="H6" s="129">
        <f t="shared" si="1"/>
        <v>116900.07973749997</v>
      </c>
      <c r="I6" s="129">
        <f t="shared" si="1"/>
        <v>134435.09169812495</v>
      </c>
      <c r="J6" s="129">
        <f t="shared" si="1"/>
        <v>154600.35545284368</v>
      </c>
    </row>
    <row r="7" spans="2:10" x14ac:dyDescent="0.35">
      <c r="B7" s="129" t="s">
        <v>13</v>
      </c>
      <c r="C7" s="129"/>
      <c r="D7" s="157">
        <v>0.25</v>
      </c>
      <c r="E7" s="157">
        <v>0.25</v>
      </c>
      <c r="F7" s="157">
        <v>0.25</v>
      </c>
      <c r="G7" s="157">
        <v>0.25</v>
      </c>
      <c r="H7" s="157">
        <v>0.25</v>
      </c>
      <c r="I7" s="157">
        <v>0.25</v>
      </c>
      <c r="J7" s="157">
        <v>0.25</v>
      </c>
    </row>
    <row r="8" spans="2:10" x14ac:dyDescent="0.35">
      <c r="B8" s="129" t="s">
        <v>290</v>
      </c>
      <c r="C8" s="129"/>
      <c r="D8" s="129">
        <f>D6*(1-D7)</f>
        <v>50128.5</v>
      </c>
      <c r="E8" s="129">
        <f t="shared" ref="E8:J8" si="2">E6*(1-E7)</f>
        <v>57647.774999999994</v>
      </c>
      <c r="F8" s="129">
        <f t="shared" si="2"/>
        <v>66294.941249999989</v>
      </c>
      <c r="G8" s="129">
        <f t="shared" si="2"/>
        <v>76239.182437499985</v>
      </c>
      <c r="H8" s="129">
        <f t="shared" si="2"/>
        <v>87675.059803124983</v>
      </c>
      <c r="I8" s="129">
        <f t="shared" si="2"/>
        <v>100826.31877359371</v>
      </c>
      <c r="J8" s="129">
        <f t="shared" si="2"/>
        <v>115950.26658963275</v>
      </c>
    </row>
    <row r="9" spans="2:10" x14ac:dyDescent="0.35">
      <c r="B9" s="129" t="s">
        <v>307</v>
      </c>
      <c r="C9" s="129"/>
      <c r="D9" s="158">
        <f>'Instrc Growth'!K45</f>
        <v>4.4955630105194475E-2</v>
      </c>
      <c r="E9" s="158">
        <f>D9+($J$9-$D$9)/4</f>
        <v>5.2466722578895855E-2</v>
      </c>
      <c r="F9" s="158">
        <f t="shared" ref="F9:I9" si="3">E9+($J$9-$D$9)/4</f>
        <v>5.9977815052597236E-2</v>
      </c>
      <c r="G9" s="158">
        <f t="shared" si="3"/>
        <v>6.7488907526298617E-2</v>
      </c>
      <c r="H9" s="158">
        <f t="shared" si="3"/>
        <v>7.4999999999999997E-2</v>
      </c>
      <c r="I9" s="158">
        <f t="shared" si="3"/>
        <v>8.2511092473701378E-2</v>
      </c>
      <c r="J9" s="158">
        <v>7.4999999999999997E-2</v>
      </c>
    </row>
    <row r="10" spans="2:10" x14ac:dyDescent="0.35">
      <c r="B10" s="129" t="s">
        <v>286</v>
      </c>
      <c r="C10" s="129"/>
      <c r="D10" s="160">
        <f t="shared" ref="D10:J10" si="4">D8*(1-D9)</f>
        <v>47874.941696271759</v>
      </c>
      <c r="E10" s="129">
        <f t="shared" si="4"/>
        <v>54623.185181784385</v>
      </c>
      <c r="F10" s="129">
        <f t="shared" si="4"/>
        <v>62318.715524784689</v>
      </c>
      <c r="G10" s="129">
        <f t="shared" si="4"/>
        <v>71093.883304094939</v>
      </c>
      <c r="H10" s="129">
        <f t="shared" si="4"/>
        <v>81099.430317890612</v>
      </c>
      <c r="I10" s="129">
        <f t="shared" si="4"/>
        <v>92507.029061482826</v>
      </c>
      <c r="J10" s="129">
        <f t="shared" si="4"/>
        <v>107253.9965954103</v>
      </c>
    </row>
    <row r="11" spans="2:10" x14ac:dyDescent="0.35">
      <c r="B11" s="129" t="s">
        <v>287</v>
      </c>
      <c r="C11" s="129"/>
      <c r="D11" s="129"/>
      <c r="E11" s="129">
        <v>0.5</v>
      </c>
      <c r="F11" s="129">
        <f t="shared" ref="F11:J11" si="5">E11+1</f>
        <v>1.5</v>
      </c>
      <c r="G11" s="129">
        <f t="shared" si="5"/>
        <v>2.5</v>
      </c>
      <c r="H11" s="129">
        <f t="shared" si="5"/>
        <v>3.5</v>
      </c>
      <c r="I11" s="129">
        <f t="shared" si="5"/>
        <v>4.5</v>
      </c>
      <c r="J11" s="129">
        <f t="shared" si="5"/>
        <v>5.5</v>
      </c>
    </row>
    <row r="12" spans="2:10" x14ac:dyDescent="0.35">
      <c r="B12" s="129" t="s">
        <v>288</v>
      </c>
      <c r="C12" s="129"/>
      <c r="D12" s="129"/>
      <c r="E12" s="159">
        <f>1/(1+$D$18)^E11</f>
        <v>0.93955338600148608</v>
      </c>
      <c r="F12" s="159">
        <f t="shared" ref="F12:J12" si="6">1/(1+$D$18)^F11</f>
        <v>0.82940067801231532</v>
      </c>
      <c r="G12" s="159">
        <f t="shared" si="6"/>
        <v>0.73216221125533831</v>
      </c>
      <c r="H12" s="159">
        <f t="shared" si="6"/>
        <v>0.64632392738693512</v>
      </c>
      <c r="I12" s="159">
        <f t="shared" si="6"/>
        <v>0.57054927540802736</v>
      </c>
      <c r="J12" s="159">
        <f t="shared" si="6"/>
        <v>0.50365840080332025</v>
      </c>
    </row>
    <row r="13" spans="2:10" ht="15" thickBot="1" x14ac:dyDescent="0.4"/>
    <row r="14" spans="2:10" ht="15" thickBot="1" x14ac:dyDescent="0.4">
      <c r="B14" s="42" t="s">
        <v>289</v>
      </c>
      <c r="C14" s="42"/>
      <c r="D14" s="42"/>
      <c r="E14" s="148">
        <f>E10*E12</f>
        <v>51321.398591731719</v>
      </c>
      <c r="F14" s="42">
        <f t="shared" ref="F14:J14" si="7">F10*F12</f>
        <v>51687.184909113021</v>
      </c>
      <c r="G14" s="42">
        <f t="shared" si="7"/>
        <v>52052.254806655132</v>
      </c>
      <c r="H14" s="42">
        <f t="shared" si="7"/>
        <v>52416.502311902135</v>
      </c>
      <c r="I14" s="42">
        <f t="shared" si="7"/>
        <v>52779.818401178352</v>
      </c>
      <c r="J14" s="42">
        <f t="shared" si="7"/>
        <v>54019.376405009105</v>
      </c>
    </row>
    <row r="15" spans="2:10" ht="15" thickTop="1" x14ac:dyDescent="0.35"/>
    <row r="16" spans="2:10" x14ac:dyDescent="0.35">
      <c r="B16" s="145" t="s">
        <v>291</v>
      </c>
      <c r="C16" s="145"/>
      <c r="D16" s="146">
        <v>0.15</v>
      </c>
    </row>
    <row r="17" spans="2:18" x14ac:dyDescent="0.35">
      <c r="B17" s="145" t="s">
        <v>292</v>
      </c>
      <c r="C17" s="145"/>
      <c r="D17" s="146">
        <v>0.05</v>
      </c>
    </row>
    <row r="18" spans="2:18" x14ac:dyDescent="0.35">
      <c r="B18" s="145" t="s">
        <v>202</v>
      </c>
      <c r="C18" s="145"/>
      <c r="D18" s="147">
        <f>WACC!L34</f>
        <v>0.13281000475325763</v>
      </c>
      <c r="F18" s="26"/>
      <c r="G18" s="26"/>
      <c r="H18" s="26"/>
      <c r="I18" s="26"/>
      <c r="J18" s="26"/>
      <c r="K18" s="26"/>
    </row>
    <row r="19" spans="2:18" x14ac:dyDescent="0.35">
      <c r="F19" s="276" t="s">
        <v>336</v>
      </c>
      <c r="G19" s="276"/>
      <c r="H19" s="276"/>
      <c r="I19" s="276"/>
      <c r="J19" s="276"/>
    </row>
    <row r="20" spans="2:18" ht="15" thickBot="1" x14ac:dyDescent="0.4">
      <c r="B20" s="279" t="s">
        <v>293</v>
      </c>
      <c r="C20" s="279"/>
      <c r="D20" s="279"/>
    </row>
    <row r="21" spans="2:18" x14ac:dyDescent="0.35">
      <c r="F21" s="173">
        <f>D37</f>
        <v>2766.2324253311758</v>
      </c>
      <c r="G21" s="174">
        <v>0.1</v>
      </c>
      <c r="H21" s="174">
        <v>0.12</v>
      </c>
      <c r="I21" s="174">
        <f>D18</f>
        <v>0.13281000475325763</v>
      </c>
      <c r="J21" s="174">
        <v>0.15</v>
      </c>
      <c r="K21" s="16"/>
      <c r="N21" s="36"/>
      <c r="O21" s="5"/>
      <c r="P21" s="5"/>
      <c r="Q21" s="5"/>
      <c r="R21" s="5"/>
    </row>
    <row r="22" spans="2:18" x14ac:dyDescent="0.35">
      <c r="B22" t="s">
        <v>294</v>
      </c>
      <c r="D22" s="36">
        <f>J10*(1+D17)</f>
        <v>112616.69642518081</v>
      </c>
      <c r="F22" s="175">
        <v>0.03</v>
      </c>
      <c r="G22" s="59">
        <f t="dataTable" ref="G22:J25" dt2D="1" dtr="1" r1="D23" r2="D24"/>
        <v>3112.672593421024</v>
      </c>
      <c r="H22" s="59">
        <v>2614.9936738086176</v>
      </c>
      <c r="I22" s="59">
        <v>2397.9579612438674</v>
      </c>
      <c r="J22" s="59">
        <v>2179.5246191477622</v>
      </c>
      <c r="K22" s="102"/>
      <c r="N22" s="5"/>
      <c r="O22" s="102"/>
      <c r="P22" s="102"/>
      <c r="Q22" s="102"/>
      <c r="R22" s="102"/>
    </row>
    <row r="23" spans="2:18" x14ac:dyDescent="0.35">
      <c r="B23" t="s">
        <v>202</v>
      </c>
      <c r="D23" s="5">
        <f>D18</f>
        <v>0.13281000475325763</v>
      </c>
      <c r="F23" s="175">
        <f>D17</f>
        <v>0.05</v>
      </c>
      <c r="G23" s="59">
        <v>4008.494648723356</v>
      </c>
      <c r="H23" s="59">
        <v>3112.6725934210249</v>
      </c>
      <c r="I23" s="176">
        <v>2766.2324253311758</v>
      </c>
      <c r="J23" s="59">
        <v>2440.8060519442756</v>
      </c>
      <c r="K23" s="102"/>
      <c r="N23" s="5"/>
      <c r="O23" s="102"/>
      <c r="P23" s="102"/>
      <c r="Q23" s="102"/>
      <c r="R23" s="102"/>
    </row>
    <row r="24" spans="2:18" x14ac:dyDescent="0.35">
      <c r="B24" t="s">
        <v>292</v>
      </c>
      <c r="D24" s="5">
        <f>D17</f>
        <v>0.05</v>
      </c>
      <c r="F24" s="175">
        <v>7.0000000000000007E-2</v>
      </c>
      <c r="G24" s="59">
        <v>6098.7461110954646</v>
      </c>
      <c r="H24" s="59">
        <v>4008.4946487233565</v>
      </c>
      <c r="I24" s="59">
        <v>3369.0392480986256</v>
      </c>
      <c r="J24" s="59">
        <v>2832.7282011390457</v>
      </c>
      <c r="K24" s="102"/>
      <c r="N24" s="5"/>
      <c r="O24" s="102"/>
      <c r="P24" s="102"/>
      <c r="Q24" s="102"/>
      <c r="R24" s="102"/>
    </row>
    <row r="25" spans="2:18" ht="15" thickBot="1" x14ac:dyDescent="0.4">
      <c r="B25" s="149" t="s">
        <v>295</v>
      </c>
      <c r="C25" s="149"/>
      <c r="D25" s="150">
        <f>D22/(D23-D24)</f>
        <v>1359940.7071734364</v>
      </c>
      <c r="F25" s="175">
        <v>0.08</v>
      </c>
      <c r="G25" s="59">
        <v>8711.5604390605968</v>
      </c>
      <c r="H25" s="59">
        <v>4792.3389471128967</v>
      </c>
      <c r="I25" s="59">
        <v>3841.6621544200761</v>
      </c>
      <c r="J25" s="59">
        <v>3112.6725934210249</v>
      </c>
      <c r="K25" s="102"/>
      <c r="N25" s="5"/>
      <c r="O25" s="102"/>
      <c r="P25" s="102"/>
      <c r="Q25" s="102"/>
      <c r="R25" s="102"/>
    </row>
    <row r="26" spans="2:18" ht="15" thickTop="1" x14ac:dyDescent="0.35"/>
    <row r="27" spans="2:18" x14ac:dyDescent="0.35">
      <c r="B27" s="279" t="s">
        <v>296</v>
      </c>
      <c r="C27" s="279"/>
      <c r="D27" s="279"/>
      <c r="F27" s="36"/>
      <c r="G27" s="5"/>
      <c r="H27" s="5"/>
      <c r="I27" s="5"/>
      <c r="J27" s="5"/>
    </row>
    <row r="28" spans="2:18" x14ac:dyDescent="0.35">
      <c r="F28" s="5"/>
    </row>
    <row r="29" spans="2:18" x14ac:dyDescent="0.35">
      <c r="B29" t="s">
        <v>297</v>
      </c>
      <c r="D29" s="36">
        <f>SUM(E14:J14)</f>
        <v>314276.53542558948</v>
      </c>
      <c r="F29" s="5"/>
    </row>
    <row r="30" spans="2:18" x14ac:dyDescent="0.35">
      <c r="B30" t="s">
        <v>298</v>
      </c>
      <c r="D30" s="36">
        <f>D25*J12</f>
        <v>684945.5617623094</v>
      </c>
      <c r="F30" s="5"/>
    </row>
    <row r="31" spans="2:18" x14ac:dyDescent="0.35">
      <c r="B31" s="2" t="s">
        <v>299</v>
      </c>
      <c r="D31" s="151">
        <f>D29+D30</f>
        <v>999222.09718789882</v>
      </c>
      <c r="F31" s="36"/>
      <c r="G31" s="5"/>
    </row>
    <row r="32" spans="2:18" x14ac:dyDescent="0.35">
      <c r="F32" s="5"/>
    </row>
    <row r="33" spans="2:4" x14ac:dyDescent="0.35">
      <c r="B33" t="s">
        <v>300</v>
      </c>
      <c r="D33" s="36">
        <f>'Data Sheet'!K69</f>
        <v>12908</v>
      </c>
    </row>
    <row r="34" spans="2:4" x14ac:dyDescent="0.35">
      <c r="B34" t="s">
        <v>301</v>
      </c>
      <c r="D34" s="36">
        <f>'Data Sheet'!K59</f>
        <v>11283</v>
      </c>
    </row>
    <row r="35" spans="2:4" x14ac:dyDescent="0.35">
      <c r="B35" s="2" t="s">
        <v>302</v>
      </c>
      <c r="D35" s="151">
        <f>D31+D33-D34</f>
        <v>1000847.0971878988</v>
      </c>
    </row>
    <row r="36" spans="2:4" x14ac:dyDescent="0.35">
      <c r="B36" t="s">
        <v>303</v>
      </c>
      <c r="D36" s="119">
        <f>'Data Sheet'!B6</f>
        <v>361.80875042272578</v>
      </c>
    </row>
    <row r="37" spans="2:4" ht="15" thickBot="1" x14ac:dyDescent="0.4">
      <c r="B37" s="152" t="s">
        <v>304</v>
      </c>
      <c r="C37" s="152"/>
      <c r="D37" s="153">
        <f>D35/D36</f>
        <v>2766.2324253311758</v>
      </c>
    </row>
    <row r="39" spans="2:4" x14ac:dyDescent="0.35">
      <c r="B39" s="2" t="s">
        <v>305</v>
      </c>
      <c r="D39">
        <f>'Data Sheet'!B8</f>
        <v>2365.6</v>
      </c>
    </row>
    <row r="40" spans="2:4" x14ac:dyDescent="0.35">
      <c r="B40" t="s">
        <v>306</v>
      </c>
      <c r="D40" s="154">
        <f>D37/D39</f>
        <v>1.1693576366804093</v>
      </c>
    </row>
  </sheetData>
  <mergeCells count="4">
    <mergeCell ref="B20:D20"/>
    <mergeCell ref="B27:D27"/>
    <mergeCell ref="C2:H2"/>
    <mergeCell ref="F19:J19"/>
  </mergeCells>
  <conditionalFormatting sqref="F18:J20">
    <cfRule type="colorScale" priority="1">
      <colorScale>
        <cfvo type="min"/>
        <cfvo type="percentile" val="50"/>
        <cfvo type="max"/>
        <color rgb="FFF8696B"/>
        <color rgb="FFFFEB84"/>
        <color rgb="FF63BE7B"/>
      </colorScale>
    </cfRule>
  </conditionalFormatting>
  <pageMargins left="0.7" right="0.7" top="0.75" bottom="0.75" header="0.3" footer="0.3"/>
  <pageSetup paperSize="9" scale="54"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C5854-C5E5-4FB9-96F7-0ED7D7205F9E}">
  <sheetPr>
    <pageSetUpPr fitToPage="1"/>
  </sheetPr>
  <dimension ref="B2:P30"/>
  <sheetViews>
    <sheetView showGridLines="0" zoomScale="60" workbookViewId="0">
      <selection activeCell="E2" sqref="E2:K2"/>
    </sheetView>
  </sheetViews>
  <sheetFormatPr defaultRowHeight="14.5" x14ac:dyDescent="0.35"/>
  <cols>
    <col min="1" max="1" width="1.81640625" customWidth="1"/>
    <col min="2" max="2" width="28.26953125" bestFit="1" customWidth="1"/>
    <col min="5" max="5" width="17.7265625" bestFit="1" customWidth="1"/>
    <col min="6" max="6" width="11.08984375" bestFit="1" customWidth="1"/>
    <col min="8" max="8" width="14.36328125" bestFit="1" customWidth="1"/>
    <col min="9" max="9" width="0.1796875" customWidth="1"/>
    <col min="12" max="12" width="8.7265625" customWidth="1"/>
    <col min="13" max="13" width="0.1796875" customWidth="1"/>
    <col min="14" max="14" width="14.453125" bestFit="1" customWidth="1"/>
    <col min="15" max="15" width="12.36328125" bestFit="1" customWidth="1"/>
    <col min="16" max="16" width="15.453125" bestFit="1" customWidth="1"/>
  </cols>
  <sheetData>
    <row r="2" spans="2:16" x14ac:dyDescent="0.35">
      <c r="E2" s="276" t="str">
        <f>"Relative Valuation of -"&amp;'Data Sheet'!B1</f>
        <v>Relative Valuation of -TATA CONSULTANCY SERVICES LTD</v>
      </c>
      <c r="F2" s="276"/>
      <c r="G2" s="276"/>
      <c r="H2" s="276"/>
      <c r="I2" s="276"/>
      <c r="J2" s="276"/>
      <c r="K2" s="276"/>
    </row>
    <row r="4" spans="2:16" x14ac:dyDescent="0.35">
      <c r="B4" s="161" t="s">
        <v>308</v>
      </c>
    </row>
    <row r="5" spans="2:16" x14ac:dyDescent="0.35">
      <c r="B5" s="162" t="s">
        <v>309</v>
      </c>
    </row>
    <row r="6" spans="2:16" ht="15" thickBot="1" x14ac:dyDescent="0.4">
      <c r="B6" s="163"/>
      <c r="C6" s="286" t="s">
        <v>319</v>
      </c>
      <c r="D6" s="286"/>
      <c r="E6" s="286"/>
      <c r="F6" s="286"/>
      <c r="G6" s="163"/>
      <c r="H6" s="163"/>
      <c r="J6" s="287" t="s">
        <v>322</v>
      </c>
      <c r="K6" s="287"/>
      <c r="L6" s="287"/>
      <c r="N6" s="287" t="s">
        <v>325</v>
      </c>
      <c r="O6" s="287"/>
      <c r="P6" s="287"/>
    </row>
    <row r="7" spans="2:16" ht="34" customHeight="1" x14ac:dyDescent="0.35">
      <c r="B7" s="114" t="s">
        <v>310</v>
      </c>
      <c r="C7" s="114" t="s">
        <v>311</v>
      </c>
      <c r="D7" s="114" t="s">
        <v>312</v>
      </c>
      <c r="E7" s="114" t="s">
        <v>313</v>
      </c>
      <c r="F7" s="114" t="s">
        <v>314</v>
      </c>
      <c r="G7" s="114" t="s">
        <v>315</v>
      </c>
      <c r="H7" s="114" t="s">
        <v>316</v>
      </c>
      <c r="J7" s="114" t="s">
        <v>320</v>
      </c>
      <c r="K7" s="114" t="s">
        <v>104</v>
      </c>
      <c r="L7" s="114" t="s">
        <v>321</v>
      </c>
      <c r="N7" s="114" t="s">
        <v>323</v>
      </c>
      <c r="O7" s="114" t="s">
        <v>326</v>
      </c>
      <c r="P7" s="114" t="s">
        <v>324</v>
      </c>
    </row>
    <row r="8" spans="2:16" ht="16.5" customHeight="1" x14ac:dyDescent="0.35">
      <c r="B8" s="26"/>
      <c r="C8" s="26"/>
      <c r="D8" s="26"/>
      <c r="E8" s="26"/>
      <c r="F8" s="26"/>
      <c r="G8" s="26"/>
      <c r="H8" s="26"/>
      <c r="J8" s="26"/>
      <c r="K8" s="26"/>
      <c r="L8" s="26"/>
      <c r="N8" s="26"/>
      <c r="O8" s="26"/>
      <c r="P8" s="26"/>
    </row>
    <row r="9" spans="2:16" x14ac:dyDescent="0.35">
      <c r="B9" s="129" t="s">
        <v>174</v>
      </c>
      <c r="C9" s="129"/>
      <c r="D9" s="129">
        <f>DCF!D39</f>
        <v>2365.6</v>
      </c>
      <c r="E9" s="129">
        <v>361.81</v>
      </c>
      <c r="F9" s="160">
        <f>D9*E9</f>
        <v>855897.73599999992</v>
      </c>
      <c r="G9" s="129">
        <v>-1625</v>
      </c>
      <c r="H9" s="160">
        <f>F9+G9</f>
        <v>854272.73599999992</v>
      </c>
      <c r="I9" s="129"/>
      <c r="J9" s="129">
        <v>275859</v>
      </c>
      <c r="K9" s="129">
        <v>28606.578299999997</v>
      </c>
      <c r="L9" s="129">
        <v>50055</v>
      </c>
      <c r="M9" s="129"/>
      <c r="N9" s="165">
        <f>H9/J9</f>
        <v>3.0967731196009551</v>
      </c>
      <c r="O9" s="165">
        <f>H9/K9</f>
        <v>29.862807324985106</v>
      </c>
      <c r="P9" s="165">
        <f>F9/L9</f>
        <v>17.099145659774248</v>
      </c>
    </row>
    <row r="10" spans="2:16" x14ac:dyDescent="0.35">
      <c r="B10" s="129" t="s">
        <v>176</v>
      </c>
      <c r="C10" s="129"/>
      <c r="D10" s="129">
        <v>1087.0999999999999</v>
      </c>
      <c r="E10" s="129">
        <v>405.76</v>
      </c>
      <c r="F10" s="160">
        <f>D10*E10</f>
        <v>441101.69599999994</v>
      </c>
      <c r="G10" s="129">
        <v>-13025</v>
      </c>
      <c r="H10" s="160">
        <f>F10+G10</f>
        <v>428076.69599999994</v>
      </c>
      <c r="I10" s="129"/>
      <c r="J10" s="129">
        <v>178650</v>
      </c>
      <c r="K10" s="129">
        <v>16542.990000000002</v>
      </c>
      <c r="L10" s="129">
        <v>29474</v>
      </c>
      <c r="M10" s="129"/>
      <c r="N10" s="165">
        <f>H10/J10</f>
        <v>2.3961751805205704</v>
      </c>
      <c r="O10" s="165">
        <f>H10/K10</f>
        <v>25.876621819876569</v>
      </c>
      <c r="P10" s="165">
        <f>F10/L10</f>
        <v>14.965790052249439</v>
      </c>
    </row>
    <row r="11" spans="2:16" x14ac:dyDescent="0.35">
      <c r="B11" s="129" t="s">
        <v>317</v>
      </c>
      <c r="C11" s="129"/>
      <c r="D11" s="129">
        <v>1221.3</v>
      </c>
      <c r="E11" s="129">
        <v>271.37</v>
      </c>
      <c r="F11" s="160">
        <f t="shared" ref="F11:F13" si="0">D11*E11</f>
        <v>331424.18099999998</v>
      </c>
      <c r="G11" s="129">
        <v>-18210</v>
      </c>
      <c r="H11" s="160">
        <f t="shared" ref="H11:H13" si="1">F11+G11</f>
        <v>313214.18099999998</v>
      </c>
      <c r="I11" s="129"/>
      <c r="J11" s="129">
        <v>134374</v>
      </c>
      <c r="K11" s="129">
        <v>14498.954599999999</v>
      </c>
      <c r="L11" s="129">
        <v>17434</v>
      </c>
      <c r="M11" s="129"/>
      <c r="N11" s="165">
        <f t="shared" ref="N11:N13" si="2">H11/J11</f>
        <v>2.330913577031271</v>
      </c>
      <c r="O11" s="165">
        <f t="shared" ref="O11:O13" si="3">H11/K11</f>
        <v>21.602535468315764</v>
      </c>
      <c r="P11" s="165">
        <f t="shared" ref="P11:P13" si="4">F11/L11</f>
        <v>19.010220316622689</v>
      </c>
    </row>
    <row r="12" spans="2:16" x14ac:dyDescent="0.35">
      <c r="B12" s="129" t="s">
        <v>177</v>
      </c>
      <c r="C12" s="129"/>
      <c r="D12" s="129">
        <v>176.38</v>
      </c>
      <c r="E12" s="129">
        <v>990.41</v>
      </c>
      <c r="F12" s="160">
        <f t="shared" si="0"/>
        <v>174688.51579999999</v>
      </c>
      <c r="G12" s="129">
        <v>9735.5</v>
      </c>
      <c r="H12" s="160">
        <f t="shared" si="1"/>
        <v>184424.01579999999</v>
      </c>
      <c r="I12" s="129"/>
      <c r="J12" s="129">
        <v>94968</v>
      </c>
      <c r="K12" s="129">
        <v>7958.318400000001</v>
      </c>
      <c r="L12" s="129">
        <v>13285.3</v>
      </c>
      <c r="M12" s="129"/>
      <c r="N12" s="165">
        <f t="shared" si="2"/>
        <v>1.9419595632212956</v>
      </c>
      <c r="O12" s="165">
        <f t="shared" si="3"/>
        <v>23.173741804550062</v>
      </c>
      <c r="P12" s="165">
        <f t="shared" si="4"/>
        <v>13.14900798627054</v>
      </c>
    </row>
    <row r="13" spans="2:16" ht="15" thickBot="1" x14ac:dyDescent="0.4">
      <c r="B13" s="132" t="s">
        <v>318</v>
      </c>
      <c r="C13" s="132"/>
      <c r="D13" s="132">
        <v>1576.4</v>
      </c>
      <c r="E13" s="132">
        <v>98.01</v>
      </c>
      <c r="F13" s="166">
        <f t="shared" si="0"/>
        <v>154502.96400000001</v>
      </c>
      <c r="G13" s="132">
        <v>-2919.2</v>
      </c>
      <c r="H13" s="166">
        <f t="shared" si="1"/>
        <v>151583.764</v>
      </c>
      <c r="I13" s="132"/>
      <c r="J13" s="132">
        <v>59176.1</v>
      </c>
      <c r="K13" s="132">
        <v>9397.1646799999999</v>
      </c>
      <c r="L13" s="132">
        <v>5163</v>
      </c>
      <c r="M13" s="132"/>
      <c r="N13" s="167">
        <f t="shared" si="2"/>
        <v>2.5615707016853086</v>
      </c>
      <c r="O13" s="167">
        <f t="shared" si="3"/>
        <v>16.13079786955484</v>
      </c>
      <c r="P13" s="167">
        <f t="shared" si="4"/>
        <v>29.925036606624058</v>
      </c>
    </row>
    <row r="15" spans="2:16" x14ac:dyDescent="0.35">
      <c r="B15" s="168" t="s">
        <v>327</v>
      </c>
      <c r="C15" s="168"/>
      <c r="D15" s="168"/>
      <c r="E15" s="168"/>
      <c r="F15" s="168"/>
      <c r="G15" s="168"/>
      <c r="H15" s="168"/>
      <c r="I15" s="168"/>
      <c r="J15" s="168"/>
      <c r="K15" s="168"/>
      <c r="L15" s="168"/>
      <c r="M15" s="168"/>
      <c r="N15" s="169">
        <f>MAX(N10:N13)</f>
        <v>2.5615707016853086</v>
      </c>
      <c r="O15" s="169">
        <f>MAX(O10:O13)</f>
        <v>25.876621819876569</v>
      </c>
      <c r="P15" s="169">
        <f>MAX(P10:P13)</f>
        <v>29.925036606624058</v>
      </c>
    </row>
    <row r="16" spans="2:16" x14ac:dyDescent="0.35">
      <c r="B16" s="168" t="s">
        <v>328</v>
      </c>
      <c r="C16" s="168"/>
      <c r="D16" s="168"/>
      <c r="E16" s="168"/>
      <c r="F16" s="168"/>
      <c r="G16" s="168"/>
      <c r="H16" s="168"/>
      <c r="I16" s="168"/>
      <c r="J16" s="168"/>
      <c r="K16" s="168"/>
      <c r="L16" s="168"/>
      <c r="M16" s="168"/>
      <c r="N16" s="168">
        <f>QUARTILE(N10:N13,3)</f>
        <v>2.437524060811755</v>
      </c>
      <c r="O16" s="168">
        <f t="shared" ref="O16:P16" si="5">QUARTILE(O10:O13,3)</f>
        <v>23.84946180838169</v>
      </c>
      <c r="P16" s="168">
        <f t="shared" si="5"/>
        <v>21.738924389123031</v>
      </c>
    </row>
    <row r="17" spans="2:16" x14ac:dyDescent="0.35">
      <c r="B17" s="168" t="s">
        <v>156</v>
      </c>
      <c r="C17" s="168"/>
      <c r="D17" s="168"/>
      <c r="E17" s="168"/>
      <c r="F17" s="168"/>
      <c r="G17" s="168"/>
      <c r="H17" s="168"/>
      <c r="I17" s="168"/>
      <c r="J17" s="168"/>
      <c r="K17" s="168"/>
      <c r="L17" s="168"/>
      <c r="M17" s="168"/>
      <c r="N17" s="170">
        <f>AVERAGE(N9:N13)</f>
        <v>2.4654784284118803</v>
      </c>
      <c r="O17" s="170">
        <f t="shared" ref="O17:P17" si="6">AVERAGE(O9:O13)</f>
        <v>23.329300857456467</v>
      </c>
      <c r="P17" s="170">
        <f t="shared" si="6"/>
        <v>18.829840124308195</v>
      </c>
    </row>
    <row r="18" spans="2:16" x14ac:dyDescent="0.35">
      <c r="B18" s="168" t="s">
        <v>155</v>
      </c>
      <c r="C18" s="168"/>
      <c r="D18" s="168"/>
      <c r="E18" s="168"/>
      <c r="F18" s="168"/>
      <c r="G18" s="168"/>
      <c r="H18" s="168"/>
      <c r="I18" s="168"/>
      <c r="J18" s="168"/>
      <c r="K18" s="168"/>
      <c r="L18" s="168"/>
      <c r="M18" s="168"/>
      <c r="N18" s="170">
        <f>MEDIAN(N9:N13)</f>
        <v>2.3961751805205704</v>
      </c>
      <c r="O18" s="170">
        <f t="shared" ref="O18:P18" si="7">MEDIAN(O9:O13)</f>
        <v>23.173741804550062</v>
      </c>
      <c r="P18" s="170">
        <f t="shared" si="7"/>
        <v>17.099145659774248</v>
      </c>
    </row>
    <row r="19" spans="2:16" x14ac:dyDescent="0.35">
      <c r="B19" s="168" t="s">
        <v>329</v>
      </c>
      <c r="C19" s="168"/>
      <c r="D19" s="168"/>
      <c r="E19" s="168"/>
      <c r="F19" s="168"/>
      <c r="G19" s="168"/>
      <c r="H19" s="168"/>
      <c r="I19" s="168"/>
      <c r="J19" s="168"/>
      <c r="K19" s="168"/>
      <c r="L19" s="168"/>
      <c r="M19" s="168"/>
      <c r="N19" s="168">
        <f>QUARTILE(N9:N13,)</f>
        <v>1.9419595632212956</v>
      </c>
      <c r="O19" s="168">
        <f t="shared" ref="O19:P19" si="8">QUARTILE(O9:O13,)</f>
        <v>16.13079786955484</v>
      </c>
      <c r="P19" s="168">
        <f t="shared" si="8"/>
        <v>13.14900798627054</v>
      </c>
    </row>
    <row r="20" spans="2:16" ht="15" thickBot="1" x14ac:dyDescent="0.4">
      <c r="B20" s="171" t="s">
        <v>330</v>
      </c>
      <c r="C20" s="171"/>
      <c r="D20" s="171"/>
      <c r="E20" s="171"/>
      <c r="F20" s="171"/>
      <c r="G20" s="171"/>
      <c r="H20" s="171"/>
      <c r="I20" s="171"/>
      <c r="J20" s="171"/>
      <c r="K20" s="171"/>
      <c r="L20" s="171"/>
      <c r="M20" s="171"/>
      <c r="N20" s="172">
        <f>MIN(N9:N13)</f>
        <v>1.9419595632212956</v>
      </c>
      <c r="O20" s="172">
        <f t="shared" ref="O20:P20" si="9">MIN(O9:O13)</f>
        <v>16.13079786955484</v>
      </c>
      <c r="P20" s="172">
        <f t="shared" si="9"/>
        <v>13.14900798627054</v>
      </c>
    </row>
    <row r="21" spans="2:16" ht="15" thickTop="1" x14ac:dyDescent="0.35"/>
    <row r="22" spans="2:16" x14ac:dyDescent="0.35">
      <c r="B22" s="114" t="s">
        <v>335</v>
      </c>
      <c r="C22" s="114"/>
      <c r="D22" s="114"/>
      <c r="E22" s="114"/>
      <c r="F22" s="114"/>
      <c r="G22" s="114"/>
      <c r="H22" s="114"/>
      <c r="I22" s="114"/>
      <c r="J22" s="114"/>
      <c r="K22" s="114"/>
      <c r="L22" s="114"/>
      <c r="M22" s="114"/>
      <c r="N22" s="114" t="s">
        <v>323</v>
      </c>
      <c r="O22" s="114" t="s">
        <v>326</v>
      </c>
      <c r="P22" s="114" t="s">
        <v>324</v>
      </c>
    </row>
    <row r="24" spans="2:16" x14ac:dyDescent="0.35">
      <c r="B24" s="129" t="s">
        <v>331</v>
      </c>
      <c r="C24" s="129"/>
      <c r="D24" s="129"/>
      <c r="E24" s="129"/>
      <c r="F24" s="129"/>
      <c r="G24" s="129"/>
      <c r="H24" s="129"/>
      <c r="I24" s="129"/>
      <c r="J24" s="129"/>
      <c r="K24" s="129"/>
      <c r="L24" s="129"/>
      <c r="M24" s="129"/>
      <c r="N24" s="160">
        <f>J$9/N18</f>
        <v>115124.72136535087</v>
      </c>
      <c r="O24" s="129">
        <f>K$9/O18</f>
        <v>1234.439329706488</v>
      </c>
      <c r="P24" s="160">
        <f>P25+P26</f>
        <v>854272.73599999992</v>
      </c>
    </row>
    <row r="25" spans="2:16" x14ac:dyDescent="0.35">
      <c r="B25" s="129" t="s">
        <v>315</v>
      </c>
      <c r="C25" s="129"/>
      <c r="D25" s="129"/>
      <c r="E25" s="129"/>
      <c r="F25" s="129"/>
      <c r="G25" s="129"/>
      <c r="H25" s="129"/>
      <c r="I25" s="129"/>
      <c r="J25" s="129"/>
      <c r="K25" s="129"/>
      <c r="L25" s="129"/>
      <c r="M25" s="129"/>
      <c r="N25" s="129">
        <f>$G$9</f>
        <v>-1625</v>
      </c>
      <c r="O25" s="129">
        <f t="shared" ref="O25:P25" si="10">$G$9</f>
        <v>-1625</v>
      </c>
      <c r="P25" s="129">
        <f t="shared" si="10"/>
        <v>-1625</v>
      </c>
    </row>
    <row r="26" spans="2:16" x14ac:dyDescent="0.35">
      <c r="B26" s="129" t="s">
        <v>332</v>
      </c>
      <c r="C26" s="129"/>
      <c r="D26" s="129"/>
      <c r="E26" s="129"/>
      <c r="F26" s="129"/>
      <c r="G26" s="129"/>
      <c r="H26" s="129"/>
      <c r="I26" s="129"/>
      <c r="J26" s="129"/>
      <c r="K26" s="129"/>
      <c r="L26" s="129"/>
      <c r="M26" s="129"/>
      <c r="N26" s="160">
        <f>N24-N25</f>
        <v>116749.72136535087</v>
      </c>
      <c r="O26" s="160">
        <f t="shared" ref="O26" si="11">O24-O25</f>
        <v>2859.439329706488</v>
      </c>
      <c r="P26" s="160">
        <f>L$9*P18</f>
        <v>855897.73599999992</v>
      </c>
    </row>
    <row r="27" spans="2:16" x14ac:dyDescent="0.35">
      <c r="B27" s="129" t="s">
        <v>333</v>
      </c>
      <c r="C27" s="129"/>
      <c r="D27" s="129"/>
      <c r="E27" s="129"/>
      <c r="F27" s="129"/>
      <c r="G27" s="129"/>
      <c r="H27" s="129"/>
      <c r="I27" s="129"/>
      <c r="J27" s="129"/>
      <c r="K27" s="129"/>
      <c r="L27" s="129"/>
      <c r="M27" s="129"/>
      <c r="N27" s="129">
        <f>$E$9</f>
        <v>361.81</v>
      </c>
      <c r="O27" s="129">
        <f t="shared" ref="O27:P27" si="12">$E$9</f>
        <v>361.81</v>
      </c>
      <c r="P27" s="129">
        <f t="shared" si="12"/>
        <v>361.81</v>
      </c>
    </row>
    <row r="28" spans="2:16" ht="15" thickBot="1" x14ac:dyDescent="0.4">
      <c r="B28" s="164" t="s">
        <v>334</v>
      </c>
      <c r="C28" s="164"/>
      <c r="D28" s="164"/>
      <c r="E28" s="164"/>
      <c r="F28" s="164"/>
      <c r="G28" s="164"/>
      <c r="H28" s="164"/>
      <c r="I28" s="164"/>
      <c r="J28" s="164"/>
      <c r="K28" s="164"/>
      <c r="L28" s="164"/>
      <c r="M28" s="164"/>
      <c r="N28" s="189">
        <f>N26/N27</f>
        <v>322.68240613955078</v>
      </c>
      <c r="O28" s="188">
        <f>O26/O27</f>
        <v>7.9031517362883505</v>
      </c>
      <c r="P28" s="189">
        <f>P26/P27</f>
        <v>2365.6</v>
      </c>
    </row>
    <row r="29" spans="2:16" ht="15" thickTop="1" x14ac:dyDescent="0.35"/>
    <row r="30" spans="2:16" x14ac:dyDescent="0.35">
      <c r="N30" t="str">
        <f>IF(D9&gt;N28,"Undrvalued","Overvalued")</f>
        <v>Undrvalued</v>
      </c>
      <c r="O30" t="str">
        <f t="shared" ref="O30:P30" si="13">IF(E9&gt;O28,"Undrvalue","Overvalue")</f>
        <v>Undrvalue</v>
      </c>
      <c r="P30" t="str">
        <f t="shared" si="13"/>
        <v>Undrvalue</v>
      </c>
    </row>
  </sheetData>
  <mergeCells count="4">
    <mergeCell ref="C6:F6"/>
    <mergeCell ref="J6:L6"/>
    <mergeCell ref="N6:P6"/>
    <mergeCell ref="E2:K2"/>
  </mergeCells>
  <pageMargins left="0.7" right="0.7" top="0.75" bottom="0.75" header="0.3" footer="0.3"/>
  <pageSetup paperSize="9" scale="52"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61D39-5455-4250-9C0F-3EF103CFDFB3}">
  <sheetPr>
    <pageSetUpPr fitToPage="1"/>
  </sheetPr>
  <dimension ref="C4:O11"/>
  <sheetViews>
    <sheetView showGridLines="0" workbookViewId="0">
      <selection activeCell="I15" sqref="I15"/>
    </sheetView>
  </sheetViews>
  <sheetFormatPr defaultRowHeight="14.5" x14ac:dyDescent="0.35"/>
  <cols>
    <col min="1" max="1" width="1.81640625" customWidth="1"/>
    <col min="13" max="13" width="9.54296875" bestFit="1" customWidth="1"/>
  </cols>
  <sheetData>
    <row r="4" spans="3:15" x14ac:dyDescent="0.35">
      <c r="C4" s="276" t="s">
        <v>345</v>
      </c>
      <c r="D4" s="276"/>
      <c r="E4" s="276"/>
      <c r="F4" s="276"/>
      <c r="G4" s="276"/>
      <c r="H4" s="276"/>
      <c r="J4" s="276" t="str">
        <f>"Football filed Analysis Data-"&amp;'Data Sheet'!B1</f>
        <v>Football filed Analysis Data-TATA CONSULTANCY SERVICES LTD</v>
      </c>
      <c r="K4" s="276"/>
      <c r="L4" s="276"/>
      <c r="M4" s="276"/>
      <c r="N4" s="276"/>
      <c r="O4" s="276"/>
    </row>
    <row r="6" spans="3:15" x14ac:dyDescent="0.35">
      <c r="K6" t="s">
        <v>338</v>
      </c>
      <c r="L6" t="s">
        <v>330</v>
      </c>
      <c r="M6" t="s">
        <v>339</v>
      </c>
      <c r="N6" t="s">
        <v>340</v>
      </c>
    </row>
    <row r="7" spans="3:15" x14ac:dyDescent="0.35">
      <c r="J7" t="s">
        <v>337</v>
      </c>
      <c r="K7" s="59">
        <v>3112.672593421024</v>
      </c>
      <c r="L7" s="59">
        <v>3112.672593421024</v>
      </c>
      <c r="M7" s="59">
        <v>8711.5604390605968</v>
      </c>
      <c r="N7" s="59">
        <v>8711.5604390605968</v>
      </c>
    </row>
    <row r="8" spans="3:15" x14ac:dyDescent="0.35">
      <c r="J8" t="s">
        <v>341</v>
      </c>
      <c r="K8" s="59">
        <v>2179.5246191477622</v>
      </c>
      <c r="L8" s="59">
        <v>2179.5246191477622</v>
      </c>
      <c r="M8" s="59">
        <v>3112.6725934210249</v>
      </c>
      <c r="N8" s="59">
        <v>3112.6725934210249</v>
      </c>
    </row>
    <row r="9" spans="3:15" x14ac:dyDescent="0.35">
      <c r="J9" t="s">
        <v>342</v>
      </c>
      <c r="K9" s="59">
        <v>2397.9579612438674</v>
      </c>
      <c r="L9" s="59">
        <v>2397.9579612438674</v>
      </c>
      <c r="M9" s="59">
        <v>3841.6621544200761</v>
      </c>
      <c r="N9" s="59">
        <v>3841.6621544200761</v>
      </c>
    </row>
    <row r="10" spans="3:15" x14ac:dyDescent="0.35">
      <c r="J10" t="s">
        <v>343</v>
      </c>
      <c r="K10" s="59">
        <v>2614.9936738086176</v>
      </c>
      <c r="L10" s="59">
        <v>2614.9936738086176</v>
      </c>
      <c r="M10" s="59">
        <v>4792.3389471128967</v>
      </c>
      <c r="N10" s="59">
        <v>4792.3389471128967</v>
      </c>
    </row>
    <row r="11" spans="3:15" x14ac:dyDescent="0.35">
      <c r="J11" t="s">
        <v>344</v>
      </c>
      <c r="K11" s="59">
        <v>2745.55</v>
      </c>
      <c r="L11" s="59">
        <v>2745.55</v>
      </c>
      <c r="M11" s="59">
        <v>7584.55</v>
      </c>
      <c r="N11" s="59">
        <v>7584.55</v>
      </c>
    </row>
  </sheetData>
  <mergeCells count="2">
    <mergeCell ref="J4:O4"/>
    <mergeCell ref="C4:H4"/>
  </mergeCells>
  <pageMargins left="0.7" right="0.7" top="0.75" bottom="0.75" header="0.3" footer="0.3"/>
  <pageSetup scale="72"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4652B-4B89-4B0F-8B23-0B8BE6C521E2}">
  <sheetPr>
    <pageSetUpPr fitToPage="1"/>
  </sheetPr>
  <dimension ref="B3:M10005"/>
  <sheetViews>
    <sheetView showGridLines="0" topLeftCell="A37" workbookViewId="0">
      <selection activeCell="B3" sqref="B3:M55"/>
    </sheetView>
  </sheetViews>
  <sheetFormatPr defaultRowHeight="14.5" x14ac:dyDescent="0.35"/>
  <cols>
    <col min="5" max="5" width="14.81640625" bestFit="1" customWidth="1"/>
    <col min="6" max="6" width="10.08984375" bestFit="1" customWidth="1"/>
    <col min="8" max="8" width="7.90625" customWidth="1"/>
    <col min="12" max="12" width="11.1796875" bestFit="1" customWidth="1"/>
    <col min="13" max="13" width="12.453125" bestFit="1" customWidth="1"/>
  </cols>
  <sheetData>
    <row r="3" spans="2:13" x14ac:dyDescent="0.35">
      <c r="F3" s="276" t="str">
        <f>"VAR-"&amp;'Data Sheet'!B1</f>
        <v>VAR-TATA CONSULTANCY SERVICES LTD</v>
      </c>
      <c r="G3" s="276"/>
      <c r="H3" s="276"/>
      <c r="I3" s="276"/>
      <c r="J3" s="276"/>
    </row>
    <row r="4" spans="2:13" x14ac:dyDescent="0.35">
      <c r="G4" s="106"/>
    </row>
    <row r="5" spans="2:13" x14ac:dyDescent="0.35">
      <c r="B5" s="113" t="s">
        <v>346</v>
      </c>
      <c r="C5" s="114" t="s">
        <v>347</v>
      </c>
      <c r="D5" s="113" t="s">
        <v>348</v>
      </c>
      <c r="E5" s="114" t="s">
        <v>349</v>
      </c>
      <c r="F5" s="177" t="s">
        <v>350</v>
      </c>
      <c r="G5" s="178" t="s">
        <v>351</v>
      </c>
      <c r="H5" s="179"/>
      <c r="I5" s="276" t="s">
        <v>352</v>
      </c>
      <c r="J5" s="276"/>
      <c r="K5" s="276"/>
      <c r="L5" s="276"/>
      <c r="M5" s="276"/>
    </row>
    <row r="6" spans="2:13" x14ac:dyDescent="0.35">
      <c r="B6" s="99">
        <v>45931</v>
      </c>
      <c r="C6">
        <v>11.065</v>
      </c>
      <c r="D6">
        <v>0</v>
      </c>
      <c r="E6">
        <v>0</v>
      </c>
      <c r="F6">
        <v>1</v>
      </c>
      <c r="G6" s="102">
        <f ca="1">_xlfn.NORM.INV(RAND(),M$9,M$10)</f>
        <v>-2.4541454387302718E-3</v>
      </c>
    </row>
    <row r="7" spans="2:13" x14ac:dyDescent="0.35">
      <c r="B7" s="99">
        <v>45933</v>
      </c>
      <c r="C7">
        <v>10.2875</v>
      </c>
      <c r="D7">
        <f>C6/C7-1</f>
        <v>7.5577156743620977E-2</v>
      </c>
      <c r="E7">
        <v>7.5577156743620977E-2</v>
      </c>
      <c r="F7">
        <v>2</v>
      </c>
      <c r="G7" s="102">
        <f t="shared" ref="G7:G70" ca="1" si="0">_xlfn.NORM.INV(RAND(),M$9,M$10)</f>
        <v>1.5005038582409171E-2</v>
      </c>
    </row>
    <row r="8" spans="2:13" ht="15" thickBot="1" x14ac:dyDescent="0.4">
      <c r="B8" s="99">
        <v>45936</v>
      </c>
      <c r="C8">
        <v>10.06</v>
      </c>
      <c r="D8">
        <f t="shared" ref="D8:D71" si="1">C7/C8-1</f>
        <v>2.2614314115308121E-2</v>
      </c>
      <c r="E8">
        <v>2.2614314115308121E-2</v>
      </c>
      <c r="F8">
        <v>3</v>
      </c>
      <c r="G8" s="102">
        <f t="shared" ca="1" si="0"/>
        <v>-6.7060466867232618E-3</v>
      </c>
      <c r="I8" s="73" t="s">
        <v>353</v>
      </c>
      <c r="J8" s="73"/>
      <c r="K8" s="73"/>
      <c r="L8" s="73"/>
      <c r="M8" s="73"/>
    </row>
    <row r="9" spans="2:13" x14ac:dyDescent="0.35">
      <c r="B9" s="99">
        <v>45937</v>
      </c>
      <c r="C9">
        <v>10.192500000000001</v>
      </c>
      <c r="D9">
        <f t="shared" si="1"/>
        <v>-1.299975472160908E-2</v>
      </c>
      <c r="E9">
        <v>-1.299975472160908E-2</v>
      </c>
      <c r="F9">
        <v>4</v>
      </c>
      <c r="G9" s="102">
        <f t="shared" ca="1" si="0"/>
        <v>7.9589862133661066E-2</v>
      </c>
      <c r="I9" s="184" t="s">
        <v>354</v>
      </c>
      <c r="J9" s="184"/>
      <c r="K9" s="184"/>
      <c r="L9" s="184"/>
      <c r="M9" s="184">
        <f>AVERAGE(E6:E127)</f>
        <v>-5.2925377038016592E-3</v>
      </c>
    </row>
    <row r="10" spans="2:13" x14ac:dyDescent="0.35">
      <c r="B10" s="99">
        <v>45938</v>
      </c>
      <c r="C10">
        <v>10.050000000000001</v>
      </c>
      <c r="D10">
        <f t="shared" si="1"/>
        <v>1.4179104477611837E-2</v>
      </c>
      <c r="E10">
        <v>1.4179104477611837E-2</v>
      </c>
      <c r="F10">
        <v>5</v>
      </c>
      <c r="G10" s="102">
        <f t="shared" ca="1" si="0"/>
        <v>-1.486397013380047E-2</v>
      </c>
      <c r="I10" s="129" t="s">
        <v>355</v>
      </c>
      <c r="J10" s="129"/>
      <c r="K10" s="129"/>
      <c r="L10" s="129"/>
      <c r="M10" s="129">
        <f>_xlfn.STDEV.S(E6:E127)</f>
        <v>6.1682626844162994E-2</v>
      </c>
    </row>
    <row r="11" spans="2:13" x14ac:dyDescent="0.35">
      <c r="B11" s="99">
        <v>45939</v>
      </c>
      <c r="C11">
        <v>10.3125</v>
      </c>
      <c r="D11">
        <f t="shared" si="1"/>
        <v>-2.5454545454545396E-2</v>
      </c>
      <c r="E11">
        <v>-2.5454545454545396E-2</v>
      </c>
      <c r="F11">
        <v>6</v>
      </c>
      <c r="G11" s="102">
        <f t="shared" ca="1" si="0"/>
        <v>-3.5485930635241747E-2</v>
      </c>
      <c r="I11" s="129" t="s">
        <v>356</v>
      </c>
      <c r="J11" s="129"/>
      <c r="K11" s="129"/>
      <c r="L11" s="129"/>
      <c r="M11" s="129">
        <f>MIN(E6:E127)</f>
        <v>-0.20008756567425556</v>
      </c>
    </row>
    <row r="12" spans="2:13" x14ac:dyDescent="0.35">
      <c r="B12" s="99">
        <v>45940</v>
      </c>
      <c r="C12">
        <v>10.119999999999999</v>
      </c>
      <c r="D12">
        <f t="shared" si="1"/>
        <v>1.9021739130434812E-2</v>
      </c>
      <c r="E12">
        <v>1.9021739130434812E-2</v>
      </c>
      <c r="F12">
        <v>7</v>
      </c>
      <c r="G12" s="102">
        <f t="shared" ca="1" si="0"/>
        <v>-8.273518742607168E-2</v>
      </c>
      <c r="I12" s="129" t="s">
        <v>357</v>
      </c>
      <c r="J12" s="129"/>
      <c r="K12" s="129"/>
      <c r="L12" s="129"/>
      <c r="M12" s="129">
        <f>MAX(E6:E127)</f>
        <v>0.23578418407828616</v>
      </c>
    </row>
    <row r="13" spans="2:13" x14ac:dyDescent="0.35">
      <c r="B13" s="99">
        <v>45943</v>
      </c>
      <c r="C13">
        <v>10.102499999999999</v>
      </c>
      <c r="D13">
        <f t="shared" si="1"/>
        <v>1.7322444939371628E-3</v>
      </c>
      <c r="E13">
        <v>1.7322444939371628E-3</v>
      </c>
      <c r="F13">
        <v>8</v>
      </c>
      <c r="G13" s="102">
        <f t="shared" ca="1" si="0"/>
        <v>7.5986938942248242E-2</v>
      </c>
      <c r="I13" s="129" t="s">
        <v>358</v>
      </c>
      <c r="J13" s="129"/>
      <c r="K13" s="129"/>
      <c r="L13" s="129"/>
      <c r="M13" s="183">
        <f>'Data Sheet'!B6*'Data Sheet'!B8</f>
        <v>855894.78</v>
      </c>
    </row>
    <row r="14" spans="2:13" x14ac:dyDescent="0.35">
      <c r="B14" s="99">
        <v>45944</v>
      </c>
      <c r="C14">
        <v>11.0075</v>
      </c>
      <c r="D14">
        <f t="shared" si="1"/>
        <v>-8.221667045196468E-2</v>
      </c>
      <c r="E14">
        <v>-8.221667045196468E-2</v>
      </c>
      <c r="F14">
        <v>9</v>
      </c>
      <c r="G14" s="102">
        <f t="shared" ca="1" si="0"/>
        <v>1.1500882817045536E-2</v>
      </c>
    </row>
    <row r="15" spans="2:13" ht="15" thickBot="1" x14ac:dyDescent="0.4">
      <c r="B15" s="99">
        <v>45945</v>
      </c>
      <c r="C15">
        <v>11.154999999999999</v>
      </c>
      <c r="D15">
        <f t="shared" si="1"/>
        <v>-1.3222770058269773E-2</v>
      </c>
      <c r="E15">
        <v>-1.3222770058269773E-2</v>
      </c>
      <c r="F15">
        <v>10</v>
      </c>
      <c r="G15" s="102">
        <f t="shared" ca="1" si="0"/>
        <v>-0.14497768689002399</v>
      </c>
      <c r="I15" s="73" t="s">
        <v>359</v>
      </c>
      <c r="J15" s="73"/>
      <c r="K15" s="73"/>
      <c r="L15" s="73"/>
      <c r="M15" s="73"/>
    </row>
    <row r="16" spans="2:13" x14ac:dyDescent="0.35">
      <c r="B16" s="99">
        <v>45946</v>
      </c>
      <c r="C16">
        <v>10.53</v>
      </c>
      <c r="D16">
        <f t="shared" si="1"/>
        <v>5.9354226020892797E-2</v>
      </c>
      <c r="E16">
        <v>5.9354226020892797E-2</v>
      </c>
      <c r="F16">
        <v>11</v>
      </c>
      <c r="G16" s="102">
        <f t="shared" ca="1" si="0"/>
        <v>-0.10198730764802356</v>
      </c>
      <c r="I16" s="185" t="s">
        <v>354</v>
      </c>
      <c r="J16" s="185"/>
      <c r="K16" s="185"/>
      <c r="L16" s="185"/>
      <c r="M16" s="185">
        <f ca="1">AVERAGEA(G6:G10005)</f>
        <v>-5.3266970427260944E-3</v>
      </c>
    </row>
    <row r="17" spans="2:13" x14ac:dyDescent="0.35">
      <c r="B17" s="99">
        <v>45947</v>
      </c>
      <c r="C17">
        <v>10.865</v>
      </c>
      <c r="D17">
        <f t="shared" si="1"/>
        <v>-3.0832949838932477E-2</v>
      </c>
      <c r="E17">
        <v>-3.0832949838932477E-2</v>
      </c>
      <c r="F17">
        <v>12</v>
      </c>
      <c r="G17" s="102">
        <f t="shared" ca="1" si="0"/>
        <v>-7.5619326284387292E-2</v>
      </c>
      <c r="I17" s="53" t="s">
        <v>355</v>
      </c>
      <c r="J17" s="53"/>
      <c r="K17" s="53"/>
      <c r="L17" s="53"/>
      <c r="M17" s="53">
        <f ca="1">_xlfn.STDEV.S(G6:G10005)</f>
        <v>6.1197713501220788E-2</v>
      </c>
    </row>
    <row r="18" spans="2:13" x14ac:dyDescent="0.35">
      <c r="B18" s="99">
        <v>45950</v>
      </c>
      <c r="C18">
        <v>11.625</v>
      </c>
      <c r="D18">
        <f t="shared" si="1"/>
        <v>-6.5376344086021443E-2</v>
      </c>
      <c r="E18">
        <v>-6.5376344086021443E-2</v>
      </c>
      <c r="F18">
        <v>13</v>
      </c>
      <c r="G18" s="102">
        <f t="shared" ca="1" si="0"/>
        <v>5.0897815980663966E-2</v>
      </c>
      <c r="I18" s="53" t="s">
        <v>356</v>
      </c>
      <c r="J18" s="53"/>
      <c r="K18" s="53"/>
      <c r="L18" s="53"/>
      <c r="M18" s="53">
        <f ca="1">MIN(G6:G10005)</f>
        <v>-0.30642719960478593</v>
      </c>
    </row>
    <row r="19" spans="2:13" x14ac:dyDescent="0.35">
      <c r="B19" s="99">
        <v>45951</v>
      </c>
      <c r="C19">
        <v>11.355</v>
      </c>
      <c r="D19">
        <f t="shared" si="1"/>
        <v>2.3778071334213946E-2</v>
      </c>
      <c r="E19">
        <v>2.3778071334213946E-2</v>
      </c>
      <c r="F19">
        <v>14</v>
      </c>
      <c r="G19" s="102">
        <f t="shared" ca="1" si="0"/>
        <v>3.5687999351674105E-2</v>
      </c>
      <c r="I19" s="53" t="s">
        <v>357</v>
      </c>
      <c r="J19" s="53"/>
      <c r="K19" s="53"/>
      <c r="L19" s="53"/>
      <c r="M19" s="53">
        <f ca="1">MAX(G6:G10005)</f>
        <v>0.21176516383670285</v>
      </c>
    </row>
    <row r="20" spans="2:13" x14ac:dyDescent="0.35">
      <c r="B20" s="99">
        <v>45953</v>
      </c>
      <c r="C20">
        <v>11.297499999999999</v>
      </c>
      <c r="D20">
        <f t="shared" si="1"/>
        <v>5.089621597698768E-3</v>
      </c>
      <c r="E20">
        <v>5.089621597698768E-3</v>
      </c>
      <c r="F20">
        <v>15</v>
      </c>
      <c r="G20" s="102">
        <f t="shared" ca="1" si="0"/>
        <v>-4.788303399918159E-2</v>
      </c>
      <c r="I20" s="53" t="s">
        <v>358</v>
      </c>
      <c r="J20" s="53"/>
      <c r="K20" s="53"/>
      <c r="L20" s="53"/>
      <c r="M20" s="137">
        <f>M13</f>
        <v>855894.78</v>
      </c>
    </row>
    <row r="21" spans="2:13" x14ac:dyDescent="0.35">
      <c r="B21" s="99">
        <v>45954</v>
      </c>
      <c r="C21">
        <v>11.7325</v>
      </c>
      <c r="D21">
        <f t="shared" si="1"/>
        <v>-3.7076496910291912E-2</v>
      </c>
      <c r="E21">
        <v>-3.7076496910291912E-2</v>
      </c>
      <c r="F21">
        <v>16</v>
      </c>
      <c r="G21" s="102">
        <f t="shared" ca="1" si="0"/>
        <v>-1.0927211508471342E-2</v>
      </c>
    </row>
    <row r="22" spans="2:13" x14ac:dyDescent="0.35">
      <c r="B22" s="99">
        <v>45957</v>
      </c>
      <c r="C22">
        <v>11.59</v>
      </c>
      <c r="D22">
        <f t="shared" si="1"/>
        <v>1.2295081967213184E-2</v>
      </c>
      <c r="E22">
        <v>1.2295081967213184E-2</v>
      </c>
      <c r="F22">
        <v>17</v>
      </c>
      <c r="G22" s="102">
        <f t="shared" ca="1" si="0"/>
        <v>2.6167619376068183E-2</v>
      </c>
      <c r="I22" s="2" t="s">
        <v>360</v>
      </c>
      <c r="J22" s="2" t="s">
        <v>361</v>
      </c>
      <c r="K22" s="2" t="s">
        <v>362</v>
      </c>
      <c r="L22" s="2" t="s">
        <v>363</v>
      </c>
      <c r="M22" s="2" t="s">
        <v>364</v>
      </c>
    </row>
    <row r="23" spans="2:13" x14ac:dyDescent="0.35">
      <c r="B23" s="99">
        <v>45958</v>
      </c>
      <c r="C23">
        <v>11.8575</v>
      </c>
      <c r="D23">
        <f t="shared" si="1"/>
        <v>-2.2559561458992183E-2</v>
      </c>
      <c r="E23">
        <v>-2.2559561458992183E-2</v>
      </c>
      <c r="F23">
        <v>18</v>
      </c>
      <c r="G23" s="102">
        <f t="shared" ca="1" si="0"/>
        <v>-1.4565496830486958E-2</v>
      </c>
      <c r="I23" s="180">
        <v>0.01</v>
      </c>
      <c r="J23" s="181">
        <f>100%-I23</f>
        <v>0.99</v>
      </c>
      <c r="K23" s="181">
        <f>_xlfn.PERCENTILE.INC(E9:E69,I23)</f>
        <v>-9.3203810048141419E-2</v>
      </c>
      <c r="L23" s="182">
        <f>$M$13*(1-K23)</f>
        <v>935667.43449631578</v>
      </c>
      <c r="M23" s="182">
        <f>M13-L23</f>
        <v>-79772.65449631575</v>
      </c>
    </row>
    <row r="24" spans="2:13" x14ac:dyDescent="0.35">
      <c r="B24" s="99">
        <v>45959</v>
      </c>
      <c r="C24">
        <v>11.952500000000001</v>
      </c>
      <c r="D24">
        <f t="shared" si="1"/>
        <v>-7.9481280066932003E-3</v>
      </c>
      <c r="E24">
        <v>-7.9481280066932003E-3</v>
      </c>
      <c r="F24">
        <v>19</v>
      </c>
      <c r="G24" s="102">
        <f t="shared" ca="1" si="0"/>
        <v>-7.8285391970074447E-2</v>
      </c>
      <c r="I24" s="180">
        <v>0.05</v>
      </c>
      <c r="J24" s="181">
        <f>100%-I24</f>
        <v>0.95</v>
      </c>
      <c r="K24" s="181">
        <f>_xlfn.PERCENTILE.INC(E10:E70,I24)</f>
        <v>-6.5376344086021443E-2</v>
      </c>
      <c r="L24" s="182">
        <f t="shared" ref="L24:L26" si="2">$M$13*(1-K24)</f>
        <v>911850.05163870973</v>
      </c>
      <c r="M24" s="182">
        <f t="shared" ref="M24:M26" si="3">M14-L24</f>
        <v>-911850.05163870973</v>
      </c>
    </row>
    <row r="25" spans="2:13" x14ac:dyDescent="0.35">
      <c r="B25" s="99">
        <v>45960</v>
      </c>
      <c r="C25">
        <v>11.9725</v>
      </c>
      <c r="D25">
        <f t="shared" si="1"/>
        <v>-1.6704948841094192E-3</v>
      </c>
      <c r="E25">
        <v>-1.6704948841094192E-3</v>
      </c>
      <c r="F25">
        <v>20</v>
      </c>
      <c r="G25" s="102">
        <f t="shared" ca="1" si="0"/>
        <v>3.8307950701886459E-2</v>
      </c>
      <c r="I25" s="142">
        <v>5.0000000000000001E-3</v>
      </c>
      <c r="J25" s="181">
        <f>100%-I25</f>
        <v>0.995</v>
      </c>
      <c r="K25" s="181">
        <f>_xlfn.PERCENTILE.INC(E11:E71,I25)</f>
        <v>-0.10144416474527398</v>
      </c>
      <c r="L25" s="182">
        <f t="shared" si="2"/>
        <v>942720.31106694008</v>
      </c>
      <c r="M25" s="182">
        <f t="shared" si="3"/>
        <v>-942720.31106694008</v>
      </c>
    </row>
    <row r="26" spans="2:13" x14ac:dyDescent="0.35">
      <c r="B26" s="99">
        <v>45961</v>
      </c>
      <c r="C26">
        <v>12.067500000000001</v>
      </c>
      <c r="D26">
        <f t="shared" si="1"/>
        <v>-7.8723845038326523E-3</v>
      </c>
      <c r="E26">
        <v>-7.8723845038326523E-3</v>
      </c>
      <c r="F26">
        <v>21</v>
      </c>
      <c r="G26" s="102">
        <f t="shared" ca="1" si="0"/>
        <v>-2.5419339246512573E-2</v>
      </c>
      <c r="I26" s="180">
        <v>0.1</v>
      </c>
      <c r="J26" s="181">
        <f>100%-I26</f>
        <v>0.9</v>
      </c>
      <c r="K26" s="181">
        <f>_xlfn.PERCENTILE.INC(E12:E72,I26)</f>
        <v>-4.0465850769838108E-2</v>
      </c>
      <c r="L26" s="182">
        <f t="shared" si="2"/>
        <v>890529.29044216347</v>
      </c>
      <c r="M26" s="182">
        <f t="shared" ca="1" si="3"/>
        <v>-890529.29576886049</v>
      </c>
    </row>
    <row r="27" spans="2:13" x14ac:dyDescent="0.35">
      <c r="B27" s="99">
        <v>45964</v>
      </c>
      <c r="C27">
        <v>12.1525</v>
      </c>
      <c r="D27">
        <f t="shared" si="1"/>
        <v>-6.9944455873276468E-3</v>
      </c>
      <c r="E27">
        <v>-6.9944455873276468E-3</v>
      </c>
      <c r="F27">
        <v>22</v>
      </c>
      <c r="G27" s="102">
        <f t="shared" ca="1" si="0"/>
        <v>-9.1588985814375877E-3</v>
      </c>
    </row>
    <row r="28" spans="2:13" x14ac:dyDescent="0.35">
      <c r="B28" s="99">
        <v>45965</v>
      </c>
      <c r="C28">
        <v>12.664999999999999</v>
      </c>
      <c r="D28">
        <f t="shared" si="1"/>
        <v>-4.0465850769838108E-2</v>
      </c>
      <c r="E28">
        <v>-4.0465850769838108E-2</v>
      </c>
      <c r="F28">
        <v>23</v>
      </c>
      <c r="G28" s="102">
        <f t="shared" ca="1" si="0"/>
        <v>8.4000086899802553E-2</v>
      </c>
    </row>
    <row r="29" spans="2:13" x14ac:dyDescent="0.35">
      <c r="B29" s="99">
        <v>45967</v>
      </c>
      <c r="C29">
        <v>12.6525</v>
      </c>
      <c r="D29">
        <f t="shared" si="1"/>
        <v>9.8794704603832884E-4</v>
      </c>
      <c r="E29">
        <v>9.8794704603832884E-4</v>
      </c>
      <c r="F29">
        <v>24</v>
      </c>
      <c r="G29" s="102">
        <f t="shared" ca="1" si="0"/>
        <v>-5.2878564676227383E-2</v>
      </c>
    </row>
    <row r="30" spans="2:13" x14ac:dyDescent="0.35">
      <c r="B30" s="99">
        <v>45968</v>
      </c>
      <c r="C30">
        <v>12.41</v>
      </c>
      <c r="D30">
        <f t="shared" si="1"/>
        <v>1.9540692989524544E-2</v>
      </c>
      <c r="E30">
        <v>1.9540692989524544E-2</v>
      </c>
      <c r="F30">
        <v>25</v>
      </c>
      <c r="G30" s="102">
        <f t="shared" ca="1" si="0"/>
        <v>9.5829495107272858E-2</v>
      </c>
    </row>
    <row r="31" spans="2:13" x14ac:dyDescent="0.35">
      <c r="B31" s="99">
        <v>45971</v>
      </c>
      <c r="C31">
        <v>12.557499999999999</v>
      </c>
      <c r="D31">
        <f t="shared" si="1"/>
        <v>-1.1745968544694341E-2</v>
      </c>
      <c r="E31">
        <v>-1.1745968544694341E-2</v>
      </c>
      <c r="F31">
        <v>26</v>
      </c>
      <c r="G31" s="102">
        <f t="shared" ca="1" si="0"/>
        <v>-8.1005278479617651E-2</v>
      </c>
    </row>
    <row r="32" spans="2:13" x14ac:dyDescent="0.35">
      <c r="B32" s="99">
        <v>45972</v>
      </c>
      <c r="C32">
        <v>12.3</v>
      </c>
      <c r="D32">
        <f t="shared" si="1"/>
        <v>2.0934959349593329E-2</v>
      </c>
      <c r="E32">
        <v>2.0934959349593329E-2</v>
      </c>
      <c r="F32">
        <v>27</v>
      </c>
      <c r="G32" s="102">
        <f t="shared" ca="1" si="0"/>
        <v>5.8393319942493541E-2</v>
      </c>
    </row>
    <row r="33" spans="2:7" x14ac:dyDescent="0.35">
      <c r="B33" s="99">
        <v>45973</v>
      </c>
      <c r="C33">
        <v>12.49</v>
      </c>
      <c r="D33">
        <f t="shared" si="1"/>
        <v>-1.5212169735788539E-2</v>
      </c>
      <c r="E33">
        <v>-1.5212169735788539E-2</v>
      </c>
      <c r="F33">
        <v>28</v>
      </c>
      <c r="G33" s="102">
        <f t="shared" ca="1" si="0"/>
        <v>-6.4837490182565556E-3</v>
      </c>
    </row>
    <row r="34" spans="2:7" x14ac:dyDescent="0.35">
      <c r="B34" s="99">
        <v>45974</v>
      </c>
      <c r="C34">
        <v>12.11</v>
      </c>
      <c r="D34">
        <f t="shared" si="1"/>
        <v>3.1379025598678778E-2</v>
      </c>
      <c r="E34">
        <v>3.1379025598678778E-2</v>
      </c>
      <c r="F34">
        <v>29</v>
      </c>
      <c r="G34" s="102">
        <f t="shared" ca="1" si="0"/>
        <v>1.2146775479958453E-2</v>
      </c>
    </row>
    <row r="35" spans="2:7" x14ac:dyDescent="0.35">
      <c r="B35" s="99">
        <v>45975</v>
      </c>
      <c r="C35">
        <v>12.1625</v>
      </c>
      <c r="D35">
        <f t="shared" si="1"/>
        <v>-4.3165467625899678E-3</v>
      </c>
      <c r="E35">
        <v>-4.3165467625899678E-3</v>
      </c>
      <c r="F35">
        <v>30</v>
      </c>
      <c r="G35" s="102">
        <f t="shared" ca="1" si="0"/>
        <v>-6.8526207859238505E-2</v>
      </c>
    </row>
    <row r="36" spans="2:7" x14ac:dyDescent="0.35">
      <c r="B36" s="99">
        <v>45978</v>
      </c>
      <c r="C36">
        <v>11.9375</v>
      </c>
      <c r="D36">
        <f t="shared" si="1"/>
        <v>1.884816753926688E-2</v>
      </c>
      <c r="E36">
        <v>1.884816753926688E-2</v>
      </c>
      <c r="F36">
        <v>31</v>
      </c>
      <c r="G36" s="102">
        <f t="shared" ca="1" si="0"/>
        <v>-2.1290314395412541E-2</v>
      </c>
    </row>
    <row r="37" spans="2:7" x14ac:dyDescent="0.35">
      <c r="B37" s="99">
        <v>45979</v>
      </c>
      <c r="C37">
        <v>11.7875</v>
      </c>
      <c r="D37">
        <f t="shared" si="1"/>
        <v>1.2725344644750836E-2</v>
      </c>
      <c r="E37">
        <v>1.2725344644750836E-2</v>
      </c>
      <c r="F37">
        <v>32</v>
      </c>
      <c r="G37" s="102">
        <f t="shared" ca="1" si="0"/>
        <v>2.7075305945983532E-2</v>
      </c>
    </row>
    <row r="38" spans="2:7" x14ac:dyDescent="0.35">
      <c r="B38" s="99">
        <v>45980</v>
      </c>
      <c r="C38">
        <v>12.095000000000001</v>
      </c>
      <c r="D38">
        <f t="shared" si="1"/>
        <v>-2.5423728813559365E-2</v>
      </c>
      <c r="E38">
        <v>-2.5423728813559365E-2</v>
      </c>
      <c r="F38">
        <v>33</v>
      </c>
      <c r="G38" s="102">
        <f t="shared" ca="1" si="0"/>
        <v>-3.5906715598005866E-2</v>
      </c>
    </row>
    <row r="39" spans="2:7" x14ac:dyDescent="0.35">
      <c r="B39" s="99">
        <v>45981</v>
      </c>
      <c r="C39">
        <v>11.9725</v>
      </c>
      <c r="D39">
        <f t="shared" si="1"/>
        <v>1.0231781165170206E-2</v>
      </c>
      <c r="E39">
        <v>1.0231781165170206E-2</v>
      </c>
      <c r="F39">
        <v>34</v>
      </c>
      <c r="G39" s="102">
        <f t="shared" ca="1" si="0"/>
        <v>-2.7946453410894738E-2</v>
      </c>
    </row>
    <row r="40" spans="2:7" x14ac:dyDescent="0.35">
      <c r="B40" s="99">
        <v>45982</v>
      </c>
      <c r="C40">
        <v>12.135</v>
      </c>
      <c r="D40">
        <f t="shared" si="1"/>
        <v>-1.3391017717346521E-2</v>
      </c>
      <c r="E40">
        <v>-1.3391017717346521E-2</v>
      </c>
      <c r="F40">
        <v>35</v>
      </c>
      <c r="G40" s="102">
        <f t="shared" ca="1" si="0"/>
        <v>-8.8362627000587113E-2</v>
      </c>
    </row>
    <row r="41" spans="2:7" x14ac:dyDescent="0.35">
      <c r="B41" s="99">
        <v>45985</v>
      </c>
      <c r="C41">
        <v>13.63</v>
      </c>
      <c r="D41">
        <f t="shared" si="1"/>
        <v>-0.10968451944240654</v>
      </c>
      <c r="E41">
        <v>-0.10968451944240654</v>
      </c>
      <c r="F41">
        <v>36</v>
      </c>
      <c r="G41" s="102">
        <f t="shared" ca="1" si="0"/>
        <v>2.8937162593619819E-2</v>
      </c>
    </row>
    <row r="42" spans="2:7" x14ac:dyDescent="0.35">
      <c r="B42" s="99">
        <v>45986</v>
      </c>
      <c r="C42">
        <v>13.234999999999999</v>
      </c>
      <c r="D42">
        <f t="shared" si="1"/>
        <v>2.9845107669059345E-2</v>
      </c>
      <c r="E42">
        <v>2.9845107669059345E-2</v>
      </c>
      <c r="F42">
        <v>37</v>
      </c>
      <c r="G42" s="102">
        <f t="shared" ca="1" si="0"/>
        <v>0.10124946341540102</v>
      </c>
    </row>
    <row r="43" spans="2:7" x14ac:dyDescent="0.35">
      <c r="B43" s="99">
        <v>45987</v>
      </c>
      <c r="C43">
        <v>12.2425</v>
      </c>
      <c r="D43">
        <f t="shared" si="1"/>
        <v>8.1070042883397919E-2</v>
      </c>
      <c r="E43">
        <v>8.1070042883397919E-2</v>
      </c>
      <c r="F43">
        <v>38</v>
      </c>
      <c r="G43" s="102">
        <f t="shared" ca="1" si="0"/>
        <v>-1.9647014024711681E-2</v>
      </c>
    </row>
    <row r="44" spans="2:7" x14ac:dyDescent="0.35">
      <c r="B44" s="99">
        <v>45988</v>
      </c>
      <c r="C44">
        <v>11.967499999999999</v>
      </c>
      <c r="D44">
        <f t="shared" si="1"/>
        <v>2.2978901190724876E-2</v>
      </c>
      <c r="E44">
        <v>2.2978901190724876E-2</v>
      </c>
      <c r="F44">
        <v>39</v>
      </c>
      <c r="G44" s="102">
        <f t="shared" ca="1" si="0"/>
        <v>-3.2566871259855946E-2</v>
      </c>
    </row>
    <row r="45" spans="2:7" x14ac:dyDescent="0.35">
      <c r="B45" s="99">
        <v>45989</v>
      </c>
      <c r="C45">
        <v>11.785</v>
      </c>
      <c r="D45">
        <f t="shared" si="1"/>
        <v>1.5485787017395003E-2</v>
      </c>
      <c r="E45">
        <v>1.5485787017395003E-2</v>
      </c>
      <c r="F45">
        <v>40</v>
      </c>
      <c r="G45" s="102">
        <f t="shared" ca="1" si="0"/>
        <v>-3.4427839389868705E-3</v>
      </c>
    </row>
    <row r="46" spans="2:7" x14ac:dyDescent="0.35">
      <c r="B46" s="99">
        <v>45992</v>
      </c>
      <c r="C46">
        <v>11.6175</v>
      </c>
      <c r="D46">
        <f t="shared" si="1"/>
        <v>1.4417904024101702E-2</v>
      </c>
      <c r="E46">
        <v>1.4417904024101702E-2</v>
      </c>
      <c r="F46">
        <v>41</v>
      </c>
      <c r="G46" s="102">
        <f t="shared" ca="1" si="0"/>
        <v>-1.061683701433324E-2</v>
      </c>
    </row>
    <row r="47" spans="2:7" x14ac:dyDescent="0.35">
      <c r="B47" s="99">
        <v>45993</v>
      </c>
      <c r="C47">
        <v>11.625</v>
      </c>
      <c r="D47">
        <f t="shared" si="1"/>
        <v>-6.4516129032266001E-4</v>
      </c>
      <c r="E47">
        <v>-6.4516129032266001E-4</v>
      </c>
      <c r="F47">
        <v>42</v>
      </c>
      <c r="G47" s="102">
        <f t="shared" ca="1" si="0"/>
        <v>-1.8691440435573913E-3</v>
      </c>
    </row>
    <row r="48" spans="2:7" x14ac:dyDescent="0.35">
      <c r="B48" s="99">
        <v>45994</v>
      </c>
      <c r="C48">
        <v>11.227499999999999</v>
      </c>
      <c r="D48">
        <f t="shared" si="1"/>
        <v>3.5404141616566465E-2</v>
      </c>
      <c r="E48">
        <v>3.5404141616566465E-2</v>
      </c>
      <c r="F48">
        <v>43</v>
      </c>
      <c r="G48" s="102">
        <f t="shared" ca="1" si="0"/>
        <v>-0.1459877814186446</v>
      </c>
    </row>
    <row r="49" spans="2:7" x14ac:dyDescent="0.35">
      <c r="B49" s="99">
        <v>45995</v>
      </c>
      <c r="C49">
        <v>11.2125</v>
      </c>
      <c r="D49">
        <f t="shared" si="1"/>
        <v>1.3377926421402897E-3</v>
      </c>
      <c r="E49">
        <v>1.3377926421402897E-3</v>
      </c>
      <c r="F49">
        <v>44</v>
      </c>
      <c r="G49" s="102">
        <f t="shared" ca="1" si="0"/>
        <v>9.8103971938782175E-2</v>
      </c>
    </row>
    <row r="50" spans="2:7" x14ac:dyDescent="0.35">
      <c r="B50" s="99">
        <v>45996</v>
      </c>
      <c r="C50">
        <v>10.817500000000001</v>
      </c>
      <c r="D50">
        <f t="shared" si="1"/>
        <v>3.6514906401663882E-2</v>
      </c>
      <c r="E50">
        <v>3.6514906401663882E-2</v>
      </c>
      <c r="F50">
        <v>45</v>
      </c>
      <c r="G50" s="102">
        <f t="shared" ca="1" si="0"/>
        <v>7.0687076873255424E-3</v>
      </c>
    </row>
    <row r="51" spans="2:7" x14ac:dyDescent="0.35">
      <c r="B51" s="99">
        <v>45999</v>
      </c>
      <c r="C51">
        <v>10.315</v>
      </c>
      <c r="D51">
        <f t="shared" si="1"/>
        <v>4.8715462918080599E-2</v>
      </c>
      <c r="E51">
        <v>4.8715462918080599E-2</v>
      </c>
      <c r="F51">
        <v>46</v>
      </c>
      <c r="G51" s="102">
        <f t="shared" ca="1" si="0"/>
        <v>-7.5503046325451004E-2</v>
      </c>
    </row>
    <row r="52" spans="2:7" x14ac:dyDescent="0.35">
      <c r="B52" s="99">
        <v>46000</v>
      </c>
      <c r="C52">
        <v>11.125</v>
      </c>
      <c r="D52">
        <f t="shared" si="1"/>
        <v>-7.2808988764044957E-2</v>
      </c>
      <c r="E52">
        <v>-7.2808988764044957E-2</v>
      </c>
      <c r="F52">
        <v>47</v>
      </c>
      <c r="G52" s="102">
        <f t="shared" ca="1" si="0"/>
        <v>-8.8960530030374824E-2</v>
      </c>
    </row>
    <row r="53" spans="2:7" x14ac:dyDescent="0.35">
      <c r="B53" s="99">
        <v>46001</v>
      </c>
      <c r="C53">
        <v>10.952500000000001</v>
      </c>
      <c r="D53">
        <f t="shared" si="1"/>
        <v>1.5749828806208566E-2</v>
      </c>
      <c r="E53">
        <v>1.5749828806208566E-2</v>
      </c>
      <c r="F53">
        <v>48</v>
      </c>
      <c r="G53" s="102">
        <f t="shared" ca="1" si="0"/>
        <v>3.0132771992405379E-2</v>
      </c>
    </row>
    <row r="54" spans="2:7" x14ac:dyDescent="0.35">
      <c r="B54" s="99">
        <v>46002</v>
      </c>
      <c r="C54">
        <v>10.9125</v>
      </c>
      <c r="D54">
        <f t="shared" si="1"/>
        <v>3.6655211912943741E-3</v>
      </c>
      <c r="E54">
        <v>3.6655211912943741E-3</v>
      </c>
      <c r="F54">
        <v>49</v>
      </c>
      <c r="G54" s="102">
        <f t="shared" ca="1" si="0"/>
        <v>-1.4516911142888885E-2</v>
      </c>
    </row>
    <row r="55" spans="2:7" x14ac:dyDescent="0.35">
      <c r="B55" s="99">
        <v>46003</v>
      </c>
      <c r="C55">
        <v>10.4</v>
      </c>
      <c r="D55">
        <f t="shared" si="1"/>
        <v>4.9278846153846034E-2</v>
      </c>
      <c r="E55">
        <v>4.9278846153846034E-2</v>
      </c>
      <c r="F55">
        <v>50</v>
      </c>
      <c r="G55" s="102">
        <f t="shared" ca="1" si="0"/>
        <v>-4.3379102825626903E-2</v>
      </c>
    </row>
    <row r="56" spans="2:7" x14ac:dyDescent="0.35">
      <c r="B56" s="99">
        <v>46006</v>
      </c>
      <c r="C56">
        <v>10.1075</v>
      </c>
      <c r="D56">
        <f t="shared" si="1"/>
        <v>2.8938906752411508E-2</v>
      </c>
      <c r="E56">
        <v>2.8938906752411508E-2</v>
      </c>
      <c r="F56">
        <v>51</v>
      </c>
      <c r="G56" s="102">
        <f t="shared" ca="1" si="0"/>
        <v>-1.1716386298789849E-2</v>
      </c>
    </row>
    <row r="57" spans="2:7" x14ac:dyDescent="0.35">
      <c r="B57" s="99">
        <v>46007</v>
      </c>
      <c r="C57">
        <v>10.25</v>
      </c>
      <c r="D57">
        <f t="shared" si="1"/>
        <v>-1.3902439024390256E-2</v>
      </c>
      <c r="E57">
        <v>-1.3902439024390256E-2</v>
      </c>
      <c r="F57">
        <v>52</v>
      </c>
      <c r="G57" s="102">
        <f t="shared" ca="1" si="0"/>
        <v>3.9393370377718992E-2</v>
      </c>
    </row>
    <row r="58" spans="2:7" x14ac:dyDescent="0.35">
      <c r="B58" s="99">
        <v>46008</v>
      </c>
      <c r="C58">
        <v>10.0625</v>
      </c>
      <c r="D58">
        <f t="shared" si="1"/>
        <v>1.8633540372670732E-2</v>
      </c>
      <c r="E58">
        <v>1.8633540372670732E-2</v>
      </c>
      <c r="F58">
        <v>53</v>
      </c>
      <c r="G58" s="102">
        <f t="shared" ca="1" si="0"/>
        <v>-2.1601035769110492E-2</v>
      </c>
    </row>
    <row r="59" spans="2:7" x14ac:dyDescent="0.35">
      <c r="B59" s="99">
        <v>46009</v>
      </c>
      <c r="C59">
        <v>9.8375000000000004</v>
      </c>
      <c r="D59">
        <f t="shared" si="1"/>
        <v>2.2871664548919979E-2</v>
      </c>
      <c r="E59">
        <v>2.2871664548919979E-2</v>
      </c>
      <c r="F59">
        <v>54</v>
      </c>
      <c r="G59" s="102">
        <f t="shared" ca="1" si="0"/>
        <v>-1.4184718768286244E-2</v>
      </c>
    </row>
    <row r="60" spans="2:7" x14ac:dyDescent="0.35">
      <c r="B60" s="99">
        <v>46010</v>
      </c>
      <c r="C60">
        <v>9.7074999999999996</v>
      </c>
      <c r="D60">
        <f t="shared" si="1"/>
        <v>1.3391707442699019E-2</v>
      </c>
      <c r="E60">
        <v>1.3391707442699019E-2</v>
      </c>
      <c r="F60">
        <v>55</v>
      </c>
      <c r="G60" s="102">
        <f t="shared" ca="1" si="0"/>
        <v>-6.3443752277501486E-2</v>
      </c>
    </row>
    <row r="61" spans="2:7" x14ac:dyDescent="0.35">
      <c r="B61" s="99">
        <v>46013</v>
      </c>
      <c r="C61">
        <v>9.5225000000000009</v>
      </c>
      <c r="D61">
        <f t="shared" si="1"/>
        <v>1.9427671304804273E-2</v>
      </c>
      <c r="E61">
        <v>1.9427671304804273E-2</v>
      </c>
      <c r="F61">
        <v>56</v>
      </c>
      <c r="G61" s="102">
        <f t="shared" ca="1" si="0"/>
        <v>-2.2937967763834499E-2</v>
      </c>
    </row>
    <row r="62" spans="2:7" x14ac:dyDescent="0.35">
      <c r="B62" s="99">
        <v>46014</v>
      </c>
      <c r="C62">
        <v>9.6750000000000007</v>
      </c>
      <c r="D62">
        <f t="shared" si="1"/>
        <v>-1.5762273901808732E-2</v>
      </c>
      <c r="E62">
        <v>-1.5762273901808732E-2</v>
      </c>
      <c r="F62">
        <v>57</v>
      </c>
      <c r="G62" s="102">
        <f t="shared" ca="1" si="0"/>
        <v>-3.4124601025448439E-2</v>
      </c>
    </row>
    <row r="63" spans="2:7" x14ac:dyDescent="0.35">
      <c r="B63" s="99">
        <v>46015</v>
      </c>
      <c r="C63">
        <v>9.3774999999999995</v>
      </c>
      <c r="D63">
        <f t="shared" si="1"/>
        <v>3.172487336710228E-2</v>
      </c>
      <c r="E63">
        <v>3.172487336710228E-2</v>
      </c>
      <c r="F63">
        <v>58</v>
      </c>
      <c r="G63" s="102">
        <f t="shared" ca="1" si="0"/>
        <v>-6.083515104758315E-2</v>
      </c>
    </row>
    <row r="64" spans="2:7" x14ac:dyDescent="0.35">
      <c r="B64" s="99">
        <v>46017</v>
      </c>
      <c r="C64">
        <v>9.19</v>
      </c>
      <c r="D64">
        <f t="shared" si="1"/>
        <v>2.040261153427636E-2</v>
      </c>
      <c r="E64">
        <v>2.040261153427636E-2</v>
      </c>
      <c r="F64">
        <v>59</v>
      </c>
      <c r="G64" s="102">
        <f t="shared" ca="1" si="0"/>
        <v>-0.10253636760297324</v>
      </c>
    </row>
    <row r="65" spans="2:7" x14ac:dyDescent="0.35">
      <c r="B65" s="99">
        <v>46020</v>
      </c>
      <c r="C65">
        <v>9.15</v>
      </c>
      <c r="D65">
        <f t="shared" si="1"/>
        <v>4.3715846994534235E-3</v>
      </c>
      <c r="E65">
        <v>4.3715846994534235E-3</v>
      </c>
      <c r="F65">
        <v>60</v>
      </c>
      <c r="G65" s="102">
        <f t="shared" ca="1" si="0"/>
        <v>5.0930584927407589E-3</v>
      </c>
    </row>
    <row r="66" spans="2:7" x14ac:dyDescent="0.35">
      <c r="B66" s="99">
        <v>46021</v>
      </c>
      <c r="C66">
        <v>9.7200000000000006</v>
      </c>
      <c r="D66">
        <f t="shared" si="1"/>
        <v>-5.8641975308642014E-2</v>
      </c>
      <c r="E66">
        <v>-5.8641975308642014E-2</v>
      </c>
      <c r="F66">
        <v>61</v>
      </c>
      <c r="G66" s="102">
        <f t="shared" ca="1" si="0"/>
        <v>0.11245801260190819</v>
      </c>
    </row>
    <row r="67" spans="2:7" x14ac:dyDescent="0.35">
      <c r="B67" s="99">
        <v>46022</v>
      </c>
      <c r="C67">
        <v>9.6775000000000002</v>
      </c>
      <c r="D67">
        <f t="shared" si="1"/>
        <v>4.3916300697495192E-3</v>
      </c>
      <c r="E67">
        <v>4.3916300697495192E-3</v>
      </c>
      <c r="F67">
        <v>62</v>
      </c>
      <c r="G67" s="102">
        <f t="shared" ca="1" si="0"/>
        <v>-6.0545641420795659E-2</v>
      </c>
    </row>
    <row r="68" spans="2:7" x14ac:dyDescent="0.35">
      <c r="B68" s="99">
        <v>46023</v>
      </c>
      <c r="C68">
        <v>9.4749999999999996</v>
      </c>
      <c r="D68">
        <f t="shared" si="1"/>
        <v>2.1372031662269197E-2</v>
      </c>
      <c r="E68">
        <v>2.1372031662269197E-2</v>
      </c>
      <c r="F68">
        <v>63</v>
      </c>
      <c r="G68" s="102">
        <f t="shared" ca="1" si="0"/>
        <v>-3.314586202572109E-2</v>
      </c>
    </row>
    <row r="69" spans="2:7" x14ac:dyDescent="0.35">
      <c r="B69" s="99">
        <v>46024</v>
      </c>
      <c r="C69">
        <v>9.1850000000000005</v>
      </c>
      <c r="D69">
        <f t="shared" si="1"/>
        <v>3.1573217201959602E-2</v>
      </c>
      <c r="E69">
        <v>3.1573217201959602E-2</v>
      </c>
      <c r="F69">
        <v>64</v>
      </c>
      <c r="G69" s="102">
        <f t="shared" ca="1" si="0"/>
        <v>0.1183775966930399</v>
      </c>
    </row>
    <row r="70" spans="2:7" x14ac:dyDescent="0.35">
      <c r="B70" s="99">
        <v>46027</v>
      </c>
      <c r="C70">
        <v>9.4499999999999993</v>
      </c>
      <c r="D70">
        <f t="shared" si="1"/>
        <v>-2.8042328042327869E-2</v>
      </c>
      <c r="E70">
        <v>-2.8042328042327869E-2</v>
      </c>
      <c r="F70">
        <v>65</v>
      </c>
      <c r="G70" s="102">
        <f t="shared" ca="1" si="0"/>
        <v>-4.4778883381374396E-2</v>
      </c>
    </row>
    <row r="71" spans="2:7" x14ac:dyDescent="0.35">
      <c r="B71" s="99">
        <v>46028</v>
      </c>
      <c r="C71">
        <v>10.022500000000001</v>
      </c>
      <c r="D71">
        <f t="shared" si="1"/>
        <v>-5.7121476677475802E-2</v>
      </c>
      <c r="E71">
        <v>-5.7121476677475802E-2</v>
      </c>
      <c r="F71">
        <v>66</v>
      </c>
      <c r="G71" s="102">
        <f t="shared" ref="G71:G134" ca="1" si="4">_xlfn.NORM.INV(RAND(),M$9,M$10)</f>
        <v>2.8278264072082806E-2</v>
      </c>
    </row>
    <row r="72" spans="2:7" x14ac:dyDescent="0.35">
      <c r="B72" s="99">
        <v>46029</v>
      </c>
      <c r="C72">
        <v>10.0175</v>
      </c>
      <c r="D72">
        <f t="shared" ref="D72:D127" si="5">C71/C72-1</f>
        <v>4.9912652857497797E-4</v>
      </c>
      <c r="E72">
        <v>4.9912652857497797E-4</v>
      </c>
      <c r="F72">
        <v>67</v>
      </c>
      <c r="G72" s="102">
        <f t="shared" ca="1" si="4"/>
        <v>-1.8594754584693063E-2</v>
      </c>
    </row>
    <row r="73" spans="2:7" x14ac:dyDescent="0.35">
      <c r="B73" s="99">
        <v>46030</v>
      </c>
      <c r="C73">
        <v>9.9499999999999993</v>
      </c>
      <c r="D73">
        <f t="shared" si="5"/>
        <v>6.7839195979899625E-3</v>
      </c>
      <c r="E73">
        <v>6.7839195979899625E-3</v>
      </c>
      <c r="F73">
        <v>68</v>
      </c>
      <c r="G73" s="102">
        <f t="shared" ca="1" si="4"/>
        <v>-0.18825717830776786</v>
      </c>
    </row>
    <row r="74" spans="2:7" x14ac:dyDescent="0.35">
      <c r="B74" s="99">
        <v>46031</v>
      </c>
      <c r="C74">
        <v>10.6</v>
      </c>
      <c r="D74">
        <f t="shared" si="5"/>
        <v>-6.1320754716981174E-2</v>
      </c>
      <c r="E74">
        <v>-6.1320754716981174E-2</v>
      </c>
      <c r="F74">
        <v>69</v>
      </c>
      <c r="G74" s="102">
        <f t="shared" ca="1" si="4"/>
        <v>-7.6361664353161801E-2</v>
      </c>
    </row>
    <row r="75" spans="2:7" x14ac:dyDescent="0.35">
      <c r="B75" s="99">
        <v>46034</v>
      </c>
      <c r="C75">
        <v>10.925000000000001</v>
      </c>
      <c r="D75">
        <f t="shared" si="5"/>
        <v>-2.9748283752860538E-2</v>
      </c>
      <c r="E75">
        <v>-2.9748283752860538E-2</v>
      </c>
      <c r="F75">
        <v>70</v>
      </c>
      <c r="G75" s="102">
        <f t="shared" ca="1" si="4"/>
        <v>1.3896775266743412E-2</v>
      </c>
    </row>
    <row r="76" spans="2:7" x14ac:dyDescent="0.35">
      <c r="B76" s="99">
        <v>46035</v>
      </c>
      <c r="C76">
        <v>11.3675</v>
      </c>
      <c r="D76">
        <f t="shared" si="5"/>
        <v>-3.8926764899933963E-2</v>
      </c>
      <c r="E76">
        <v>-3.8926764899933963E-2</v>
      </c>
      <c r="F76">
        <v>71</v>
      </c>
      <c r="G76" s="102">
        <f t="shared" ca="1" si="4"/>
        <v>5.0688090437327735E-2</v>
      </c>
    </row>
    <row r="77" spans="2:7" x14ac:dyDescent="0.35">
      <c r="B77" s="99">
        <v>46036</v>
      </c>
      <c r="C77">
        <v>11.1975</v>
      </c>
      <c r="D77">
        <f t="shared" si="5"/>
        <v>1.5181960258986438E-2</v>
      </c>
      <c r="E77">
        <v>1.5181960258986438E-2</v>
      </c>
      <c r="F77">
        <v>72</v>
      </c>
      <c r="G77" s="102">
        <f t="shared" ca="1" si="4"/>
        <v>-3.1240355586512971E-2</v>
      </c>
    </row>
    <row r="78" spans="2:7" x14ac:dyDescent="0.35">
      <c r="B78" s="99">
        <v>46038</v>
      </c>
      <c r="C78">
        <v>11.32</v>
      </c>
      <c r="D78">
        <f t="shared" si="5"/>
        <v>-1.0821554770318098E-2</v>
      </c>
      <c r="E78">
        <v>-1.0821554770318098E-2</v>
      </c>
      <c r="F78">
        <v>73</v>
      </c>
      <c r="G78" s="102">
        <f t="shared" ca="1" si="4"/>
        <v>-1.00858665299284E-2</v>
      </c>
    </row>
    <row r="79" spans="2:7" x14ac:dyDescent="0.35">
      <c r="B79" s="99">
        <v>46041</v>
      </c>
      <c r="C79">
        <v>11.3725</v>
      </c>
      <c r="D79">
        <f t="shared" si="5"/>
        <v>-4.6163992086173389E-3</v>
      </c>
      <c r="E79">
        <v>-4.6163992086173389E-3</v>
      </c>
      <c r="F79">
        <v>74</v>
      </c>
      <c r="G79" s="102">
        <f t="shared" ca="1" si="4"/>
        <v>2.6843188993142576E-2</v>
      </c>
    </row>
    <row r="80" spans="2:7" x14ac:dyDescent="0.35">
      <c r="B80" s="99">
        <v>46042</v>
      </c>
      <c r="C80">
        <v>11.827500000000001</v>
      </c>
      <c r="D80">
        <f t="shared" si="5"/>
        <v>-3.8469668146269287E-2</v>
      </c>
      <c r="E80">
        <v>-3.8469668146269287E-2</v>
      </c>
      <c r="F80">
        <v>75</v>
      </c>
      <c r="G80" s="102">
        <f t="shared" ca="1" si="4"/>
        <v>-0.17178364062510662</v>
      </c>
    </row>
    <row r="81" spans="2:7" x14ac:dyDescent="0.35">
      <c r="B81" s="99">
        <v>46043</v>
      </c>
      <c r="C81">
        <v>12.73</v>
      </c>
      <c r="D81">
        <f t="shared" si="5"/>
        <v>-7.089552238805974E-2</v>
      </c>
      <c r="E81">
        <v>-7.089552238805974E-2</v>
      </c>
      <c r="F81">
        <v>76</v>
      </c>
      <c r="G81" s="102">
        <f t="shared" ca="1" si="4"/>
        <v>2.4259023624537693E-2</v>
      </c>
    </row>
    <row r="82" spans="2:7" x14ac:dyDescent="0.35">
      <c r="B82" s="99">
        <v>46044</v>
      </c>
      <c r="C82">
        <v>13.78</v>
      </c>
      <c r="D82">
        <f t="shared" si="5"/>
        <v>-7.6197387518142201E-2</v>
      </c>
      <c r="E82">
        <v>-7.6197387518142201E-2</v>
      </c>
      <c r="F82">
        <v>77</v>
      </c>
      <c r="G82" s="102">
        <f t="shared" ca="1" si="4"/>
        <v>-3.4098414045703584E-3</v>
      </c>
    </row>
    <row r="83" spans="2:7" x14ac:dyDescent="0.35">
      <c r="B83" s="99">
        <v>46045</v>
      </c>
      <c r="C83">
        <v>13.35</v>
      </c>
      <c r="D83">
        <f t="shared" si="5"/>
        <v>3.2209737827715301E-2</v>
      </c>
      <c r="E83">
        <v>3.2209737827715301E-2</v>
      </c>
      <c r="F83">
        <v>78</v>
      </c>
      <c r="G83" s="102">
        <f t="shared" ca="1" si="4"/>
        <v>-0.17282118308818845</v>
      </c>
    </row>
    <row r="84" spans="2:7" x14ac:dyDescent="0.35">
      <c r="B84" s="99">
        <v>46049</v>
      </c>
      <c r="C84">
        <v>14.192500000000001</v>
      </c>
      <c r="D84">
        <f t="shared" si="5"/>
        <v>-5.9362339263695718E-2</v>
      </c>
      <c r="E84">
        <v>-5.9362339263695718E-2</v>
      </c>
      <c r="F84">
        <v>79</v>
      </c>
      <c r="G84" s="102">
        <f t="shared" ca="1" si="4"/>
        <v>-4.2796240165494256E-2</v>
      </c>
    </row>
    <row r="85" spans="2:7" x14ac:dyDescent="0.35">
      <c r="B85" s="99">
        <v>46050</v>
      </c>
      <c r="C85">
        <v>14.452500000000001</v>
      </c>
      <c r="D85">
        <f t="shared" si="5"/>
        <v>-1.7989967133713924E-2</v>
      </c>
      <c r="E85">
        <v>-1.7989967133713924E-2</v>
      </c>
      <c r="F85">
        <v>80</v>
      </c>
      <c r="G85" s="102">
        <f t="shared" ca="1" si="4"/>
        <v>-1.3571631971583871E-2</v>
      </c>
    </row>
    <row r="86" spans="2:7" x14ac:dyDescent="0.35">
      <c r="B86" s="99">
        <v>46051</v>
      </c>
      <c r="C86">
        <v>13.525</v>
      </c>
      <c r="D86">
        <f t="shared" si="5"/>
        <v>6.8576709796672741E-2</v>
      </c>
      <c r="E86">
        <v>6.8576709796672741E-2</v>
      </c>
      <c r="F86">
        <v>81</v>
      </c>
      <c r="G86" s="102">
        <f t="shared" ca="1" si="4"/>
        <v>-6.6075291680676426E-2</v>
      </c>
    </row>
    <row r="87" spans="2:7" x14ac:dyDescent="0.35">
      <c r="B87" s="99">
        <v>46052</v>
      </c>
      <c r="C87">
        <v>13.37</v>
      </c>
      <c r="D87">
        <f t="shared" si="5"/>
        <v>1.1593118922961887E-2</v>
      </c>
      <c r="E87">
        <v>1.1593118922961887E-2</v>
      </c>
      <c r="F87">
        <v>82</v>
      </c>
      <c r="G87" s="102">
        <f t="shared" ca="1" si="4"/>
        <v>-0.10607210828746587</v>
      </c>
    </row>
    <row r="88" spans="2:7" x14ac:dyDescent="0.35">
      <c r="B88" s="99">
        <v>46054</v>
      </c>
      <c r="C88">
        <v>13.6325</v>
      </c>
      <c r="D88">
        <f t="shared" si="5"/>
        <v>-1.9255455712451908E-2</v>
      </c>
      <c r="E88">
        <v>-1.9255455712451908E-2</v>
      </c>
      <c r="F88">
        <v>83</v>
      </c>
      <c r="G88" s="102">
        <f t="shared" ca="1" si="4"/>
        <v>-6.8511372027630236E-3</v>
      </c>
    </row>
    <row r="89" spans="2:7" x14ac:dyDescent="0.35">
      <c r="B89" s="99">
        <v>46055</v>
      </c>
      <c r="C89">
        <v>15.095000000000001</v>
      </c>
      <c r="D89">
        <f t="shared" si="5"/>
        <v>-9.688638622060286E-2</v>
      </c>
      <c r="E89">
        <v>-9.688638622060286E-2</v>
      </c>
      <c r="F89">
        <v>84</v>
      </c>
      <c r="G89" s="102">
        <f t="shared" ca="1" si="4"/>
        <v>-8.8146083962606717E-5</v>
      </c>
    </row>
    <row r="90" spans="2:7" x14ac:dyDescent="0.35">
      <c r="B90" s="99">
        <v>46056</v>
      </c>
      <c r="C90">
        <v>13.865</v>
      </c>
      <c r="D90">
        <f t="shared" si="5"/>
        <v>8.8712585647313436E-2</v>
      </c>
      <c r="E90">
        <v>8.8712585647313436E-2</v>
      </c>
      <c r="F90">
        <v>85</v>
      </c>
      <c r="G90" s="102">
        <f t="shared" ca="1" si="4"/>
        <v>0.14885764086997247</v>
      </c>
    </row>
    <row r="91" spans="2:7" x14ac:dyDescent="0.35">
      <c r="B91" s="99">
        <v>46057</v>
      </c>
      <c r="C91">
        <v>12.895</v>
      </c>
      <c r="D91">
        <f t="shared" si="5"/>
        <v>7.5222954633578976E-2</v>
      </c>
      <c r="E91">
        <v>7.5222954633578976E-2</v>
      </c>
      <c r="F91">
        <v>86</v>
      </c>
      <c r="G91" s="102">
        <f t="shared" ca="1" si="4"/>
        <v>1.956877078352999E-2</v>
      </c>
    </row>
    <row r="92" spans="2:7" x14ac:dyDescent="0.35">
      <c r="B92" s="99">
        <v>46058</v>
      </c>
      <c r="C92">
        <v>12.2525</v>
      </c>
      <c r="D92">
        <f t="shared" si="5"/>
        <v>5.2438277902468799E-2</v>
      </c>
      <c r="E92">
        <v>5.2438277902468799E-2</v>
      </c>
      <c r="F92">
        <v>87</v>
      </c>
      <c r="G92" s="102">
        <f t="shared" ca="1" si="4"/>
        <v>2.2095982820781415E-2</v>
      </c>
    </row>
    <row r="93" spans="2:7" x14ac:dyDescent="0.35">
      <c r="B93" s="99">
        <v>46059</v>
      </c>
      <c r="C93">
        <v>12.1675</v>
      </c>
      <c r="D93">
        <f t="shared" si="5"/>
        <v>6.9858228888430851E-3</v>
      </c>
      <c r="E93">
        <v>6.9858228888430851E-3</v>
      </c>
      <c r="F93">
        <v>88</v>
      </c>
      <c r="G93" s="102">
        <f t="shared" ca="1" si="4"/>
        <v>2.1994458541554521E-2</v>
      </c>
    </row>
    <row r="94" spans="2:7" x14ac:dyDescent="0.35">
      <c r="B94" s="99">
        <v>46062</v>
      </c>
      <c r="C94">
        <v>11.94</v>
      </c>
      <c r="D94">
        <f t="shared" si="5"/>
        <v>1.9053601340033532E-2</v>
      </c>
      <c r="E94">
        <v>1.9053601340033532E-2</v>
      </c>
      <c r="F94">
        <v>89</v>
      </c>
      <c r="G94" s="102">
        <f t="shared" ca="1" si="4"/>
        <v>2.0078537057707853E-2</v>
      </c>
    </row>
    <row r="95" spans="2:7" x14ac:dyDescent="0.35">
      <c r="B95" s="99">
        <v>46063</v>
      </c>
      <c r="C95">
        <v>12.19</v>
      </c>
      <c r="D95">
        <f t="shared" si="5"/>
        <v>-2.0508613617719496E-2</v>
      </c>
      <c r="E95">
        <v>-2.0508613617719496E-2</v>
      </c>
      <c r="F95">
        <v>90</v>
      </c>
      <c r="G95" s="102">
        <f t="shared" ca="1" si="4"/>
        <v>-6.6400439470859871E-2</v>
      </c>
    </row>
    <row r="96" spans="2:7" x14ac:dyDescent="0.35">
      <c r="B96" s="99">
        <v>46064</v>
      </c>
      <c r="C96">
        <v>11.664999999999999</v>
      </c>
      <c r="D96">
        <f t="shared" si="5"/>
        <v>4.5006429489927058E-2</v>
      </c>
      <c r="E96">
        <v>4.5006429489927058E-2</v>
      </c>
      <c r="F96">
        <v>91</v>
      </c>
      <c r="G96" s="102">
        <f t="shared" ca="1" si="4"/>
        <v>7.0143273943840984E-2</v>
      </c>
    </row>
    <row r="97" spans="2:7" x14ac:dyDescent="0.35">
      <c r="B97" s="99">
        <v>46065</v>
      </c>
      <c r="C97">
        <v>11.547499999999999</v>
      </c>
      <c r="D97">
        <f t="shared" si="5"/>
        <v>1.0175362632604434E-2</v>
      </c>
      <c r="E97">
        <v>1.0175362632604434E-2</v>
      </c>
      <c r="F97">
        <v>92</v>
      </c>
      <c r="G97" s="102">
        <f t="shared" ca="1" si="4"/>
        <v>-0.1470419872765274</v>
      </c>
    </row>
    <row r="98" spans="2:7" x14ac:dyDescent="0.35">
      <c r="B98" s="99">
        <v>46066</v>
      </c>
      <c r="C98">
        <v>11.725</v>
      </c>
      <c r="D98">
        <f t="shared" si="5"/>
        <v>-1.5138592750533086E-2</v>
      </c>
      <c r="E98">
        <v>-1.5138592750533086E-2</v>
      </c>
      <c r="F98">
        <v>93</v>
      </c>
      <c r="G98" s="102">
        <f t="shared" ca="1" si="4"/>
        <v>-4.6835915599704847E-2</v>
      </c>
    </row>
    <row r="99" spans="2:7" x14ac:dyDescent="0.35">
      <c r="B99" s="99">
        <v>46069</v>
      </c>
      <c r="C99">
        <v>13.2925</v>
      </c>
      <c r="D99">
        <f t="shared" si="5"/>
        <v>-0.11792364115102505</v>
      </c>
      <c r="E99">
        <v>-0.11792364115102505</v>
      </c>
      <c r="F99">
        <v>94</v>
      </c>
      <c r="G99" s="102">
        <f t="shared" ca="1" si="4"/>
        <v>7.2670191561007985E-2</v>
      </c>
    </row>
    <row r="100" spans="2:7" x14ac:dyDescent="0.35">
      <c r="B100" s="99">
        <v>46070</v>
      </c>
      <c r="C100">
        <v>13.33</v>
      </c>
      <c r="D100">
        <f t="shared" si="5"/>
        <v>-2.8132033008251289E-3</v>
      </c>
      <c r="E100">
        <v>-2.8132033008251289E-3</v>
      </c>
      <c r="F100">
        <v>95</v>
      </c>
      <c r="G100" s="102">
        <f t="shared" ca="1" si="4"/>
        <v>-3.7403466183265538E-2</v>
      </c>
    </row>
    <row r="101" spans="2:7" x14ac:dyDescent="0.35">
      <c r="B101" s="99">
        <v>46071</v>
      </c>
      <c r="C101">
        <v>12.672499999999999</v>
      </c>
      <c r="D101">
        <f t="shared" si="5"/>
        <v>5.1884000789110374E-2</v>
      </c>
      <c r="E101">
        <v>5.1884000789110374E-2</v>
      </c>
      <c r="F101">
        <v>96</v>
      </c>
      <c r="G101" s="102">
        <f t="shared" ca="1" si="4"/>
        <v>5.37226771715512E-2</v>
      </c>
    </row>
    <row r="102" spans="2:7" x14ac:dyDescent="0.35">
      <c r="B102" s="99">
        <v>46072</v>
      </c>
      <c r="C102">
        <v>12.2225</v>
      </c>
      <c r="D102">
        <f t="shared" si="5"/>
        <v>3.6817345060339512E-2</v>
      </c>
      <c r="E102">
        <v>3.6817345060339512E-2</v>
      </c>
      <c r="F102">
        <v>97</v>
      </c>
      <c r="G102" s="102">
        <f t="shared" ca="1" si="4"/>
        <v>-7.7616852942249959E-4</v>
      </c>
    </row>
    <row r="103" spans="2:7" x14ac:dyDescent="0.35">
      <c r="B103" s="99">
        <v>46073</v>
      </c>
      <c r="C103">
        <v>13.46</v>
      </c>
      <c r="D103">
        <f t="shared" si="5"/>
        <v>-9.1939078751857362E-2</v>
      </c>
      <c r="E103">
        <v>-9.1939078751857362E-2</v>
      </c>
      <c r="F103">
        <v>98</v>
      </c>
      <c r="G103" s="102">
        <f t="shared" ca="1" si="4"/>
        <v>1.8385596585215668E-2</v>
      </c>
    </row>
    <row r="104" spans="2:7" x14ac:dyDescent="0.35">
      <c r="B104" s="99">
        <v>46076</v>
      </c>
      <c r="C104">
        <v>14.362500000000001</v>
      </c>
      <c r="D104">
        <f t="shared" si="5"/>
        <v>-6.2837249782419446E-2</v>
      </c>
      <c r="E104">
        <v>-6.2837249782419446E-2</v>
      </c>
      <c r="F104">
        <v>99</v>
      </c>
      <c r="G104" s="102">
        <f t="shared" ca="1" si="4"/>
        <v>2.0856897123941287E-2</v>
      </c>
    </row>
    <row r="105" spans="2:7" x14ac:dyDescent="0.35">
      <c r="B105" s="99">
        <v>46077</v>
      </c>
      <c r="C105">
        <v>14.1675</v>
      </c>
      <c r="D105">
        <f t="shared" si="5"/>
        <v>1.3763896241397511E-2</v>
      </c>
      <c r="E105">
        <v>1.3763896241397511E-2</v>
      </c>
      <c r="F105">
        <v>100</v>
      </c>
      <c r="G105" s="102">
        <f t="shared" ca="1" si="4"/>
        <v>2.2679996757730428E-2</v>
      </c>
    </row>
    <row r="106" spans="2:7" x14ac:dyDescent="0.35">
      <c r="B106" s="99">
        <v>46078</v>
      </c>
      <c r="C106">
        <v>14.15</v>
      </c>
      <c r="D106">
        <f t="shared" si="5"/>
        <v>1.2367491166078715E-3</v>
      </c>
      <c r="E106">
        <v>1.2367491166078715E-3</v>
      </c>
      <c r="F106">
        <v>101</v>
      </c>
      <c r="G106" s="102">
        <f t="shared" ca="1" si="4"/>
        <v>1.8152977565762422E-3</v>
      </c>
    </row>
    <row r="107" spans="2:7" x14ac:dyDescent="0.35">
      <c r="B107" s="99">
        <v>46079</v>
      </c>
      <c r="C107">
        <v>13.487500000000001</v>
      </c>
      <c r="D107">
        <f t="shared" si="5"/>
        <v>4.9119555143651406E-2</v>
      </c>
      <c r="E107">
        <v>4.9119555143651406E-2</v>
      </c>
      <c r="F107">
        <v>102</v>
      </c>
      <c r="G107" s="102">
        <f t="shared" ca="1" si="4"/>
        <v>1.8107897928036715E-2</v>
      </c>
    </row>
    <row r="108" spans="2:7" x14ac:dyDescent="0.35">
      <c r="B108" s="99">
        <v>46080</v>
      </c>
      <c r="C108">
        <v>13.0625</v>
      </c>
      <c r="D108">
        <f t="shared" si="5"/>
        <v>3.2535885167464196E-2</v>
      </c>
      <c r="E108">
        <v>3.2535885167464196E-2</v>
      </c>
      <c r="F108">
        <v>103</v>
      </c>
      <c r="G108" s="102">
        <f t="shared" ca="1" si="4"/>
        <v>-0.14453519025396258</v>
      </c>
    </row>
    <row r="109" spans="2:7" x14ac:dyDescent="0.35">
      <c r="B109" s="99">
        <v>46083</v>
      </c>
      <c r="C109">
        <v>13.702500000000001</v>
      </c>
      <c r="D109">
        <f t="shared" si="5"/>
        <v>-4.6706805327495049E-2</v>
      </c>
      <c r="E109">
        <v>-4.6706805327495049E-2</v>
      </c>
      <c r="F109">
        <v>104</v>
      </c>
      <c r="G109" s="102">
        <f t="shared" ca="1" si="4"/>
        <v>2.2144967194127216E-2</v>
      </c>
    </row>
    <row r="110" spans="2:7" x14ac:dyDescent="0.35">
      <c r="B110" s="99">
        <v>46085</v>
      </c>
      <c r="C110">
        <v>17.13</v>
      </c>
      <c r="D110">
        <f t="shared" si="5"/>
        <v>-0.20008756567425556</v>
      </c>
      <c r="E110">
        <v>-0.20008756567425556</v>
      </c>
      <c r="F110">
        <v>105</v>
      </c>
      <c r="G110" s="102">
        <f t="shared" ca="1" si="4"/>
        <v>1.901586713535805E-2</v>
      </c>
    </row>
    <row r="111" spans="2:7" x14ac:dyDescent="0.35">
      <c r="B111" s="99">
        <v>46086</v>
      </c>
      <c r="C111">
        <v>21.14</v>
      </c>
      <c r="D111">
        <f t="shared" si="5"/>
        <v>-0.1896877956480606</v>
      </c>
      <c r="E111">
        <v>-0.1896877956480606</v>
      </c>
      <c r="F111">
        <v>106</v>
      </c>
      <c r="G111" s="102">
        <f t="shared" ca="1" si="4"/>
        <v>-2.8992993134260382E-2</v>
      </c>
    </row>
    <row r="112" spans="2:7" x14ac:dyDescent="0.35">
      <c r="B112" s="99">
        <v>46087</v>
      </c>
      <c r="C112">
        <v>17.857500000000002</v>
      </c>
      <c r="D112">
        <f t="shared" si="5"/>
        <v>0.18381632367352641</v>
      </c>
      <c r="E112">
        <v>0.18381632367352641</v>
      </c>
      <c r="F112">
        <v>107</v>
      </c>
      <c r="G112" s="102">
        <f t="shared" ca="1" si="4"/>
        <v>-8.9580844410911034E-2</v>
      </c>
    </row>
    <row r="113" spans="2:7" x14ac:dyDescent="0.35">
      <c r="B113" s="99">
        <v>46090</v>
      </c>
      <c r="C113">
        <v>19.88</v>
      </c>
      <c r="D113">
        <f t="shared" si="5"/>
        <v>-0.10173541247484896</v>
      </c>
      <c r="E113">
        <v>-0.10173541247484896</v>
      </c>
      <c r="F113">
        <v>108</v>
      </c>
      <c r="G113" s="102">
        <f t="shared" ca="1" si="4"/>
        <v>6.0843288050641847E-2</v>
      </c>
    </row>
    <row r="114" spans="2:7" x14ac:dyDescent="0.35">
      <c r="B114" s="99">
        <v>46091</v>
      </c>
      <c r="C114">
        <v>23.362500000000001</v>
      </c>
      <c r="D114">
        <f t="shared" si="5"/>
        <v>-0.14906367041198509</v>
      </c>
      <c r="E114">
        <v>-0.14906367041198509</v>
      </c>
      <c r="F114">
        <v>109</v>
      </c>
      <c r="G114" s="102">
        <f t="shared" ca="1" si="4"/>
        <v>-5.1959882453320047E-2</v>
      </c>
    </row>
    <row r="115" spans="2:7" x14ac:dyDescent="0.35">
      <c r="B115" s="99">
        <v>46092</v>
      </c>
      <c r="C115">
        <v>18.905000000000001</v>
      </c>
      <c r="D115">
        <f t="shared" si="5"/>
        <v>0.23578418407828616</v>
      </c>
      <c r="E115">
        <v>0.23578418407828616</v>
      </c>
      <c r="F115">
        <v>110</v>
      </c>
      <c r="G115" s="102">
        <f t="shared" ca="1" si="4"/>
        <v>4.1757953331355551E-3</v>
      </c>
    </row>
    <row r="116" spans="2:7" x14ac:dyDescent="0.35">
      <c r="B116" s="99">
        <v>46093</v>
      </c>
      <c r="C116">
        <v>21.0625</v>
      </c>
      <c r="D116">
        <f t="shared" si="5"/>
        <v>-0.10243323442136498</v>
      </c>
      <c r="E116">
        <v>-0.10243323442136498</v>
      </c>
      <c r="F116">
        <v>111</v>
      </c>
      <c r="G116" s="102">
        <f t="shared" ca="1" si="4"/>
        <v>-5.2565726526893286E-2</v>
      </c>
    </row>
    <row r="117" spans="2:7" x14ac:dyDescent="0.35">
      <c r="B117" s="99">
        <v>46094</v>
      </c>
      <c r="C117">
        <v>21.517499999999998</v>
      </c>
      <c r="D117">
        <f t="shared" si="5"/>
        <v>-2.1145579179737362E-2</v>
      </c>
      <c r="E117">
        <v>-2.1145579179737362E-2</v>
      </c>
      <c r="F117">
        <v>112</v>
      </c>
      <c r="G117" s="102">
        <f t="shared" ca="1" si="4"/>
        <v>-3.8153427828919076E-2</v>
      </c>
    </row>
    <row r="118" spans="2:7" x14ac:dyDescent="0.35">
      <c r="B118" s="99">
        <v>46097</v>
      </c>
      <c r="C118">
        <v>22.645</v>
      </c>
      <c r="D118">
        <f t="shared" si="5"/>
        <v>-4.9790240671229946E-2</v>
      </c>
      <c r="E118">
        <v>-4.9790240671229946E-2</v>
      </c>
      <c r="F118">
        <v>113</v>
      </c>
      <c r="G118" s="102">
        <f t="shared" ca="1" si="4"/>
        <v>1.5775262026019093E-3</v>
      </c>
    </row>
    <row r="119" spans="2:7" x14ac:dyDescent="0.35">
      <c r="B119" s="99">
        <v>46098</v>
      </c>
      <c r="C119">
        <v>21.602499999999999</v>
      </c>
      <c r="D119">
        <f t="shared" si="5"/>
        <v>4.8258303437102246E-2</v>
      </c>
      <c r="E119">
        <v>4.8258303437102246E-2</v>
      </c>
      <c r="F119">
        <v>114</v>
      </c>
      <c r="G119" s="102">
        <f t="shared" ca="1" si="4"/>
        <v>-6.8787851863616287E-2</v>
      </c>
    </row>
    <row r="120" spans="2:7" x14ac:dyDescent="0.35">
      <c r="B120" s="99">
        <v>46099</v>
      </c>
      <c r="C120">
        <v>19.79</v>
      </c>
      <c r="D120">
        <f t="shared" si="5"/>
        <v>9.1586659929257186E-2</v>
      </c>
      <c r="E120">
        <v>9.1586659929257186E-2</v>
      </c>
      <c r="F120">
        <v>115</v>
      </c>
      <c r="G120" s="102">
        <f t="shared" ca="1" si="4"/>
        <v>6.0047423905041988E-2</v>
      </c>
    </row>
    <row r="121" spans="2:7" x14ac:dyDescent="0.35">
      <c r="B121" s="99">
        <v>46100</v>
      </c>
      <c r="C121">
        <v>18.7225</v>
      </c>
      <c r="D121">
        <f t="shared" si="5"/>
        <v>5.7016958205367896E-2</v>
      </c>
      <c r="E121">
        <v>5.7016958205367896E-2</v>
      </c>
      <c r="F121">
        <v>116</v>
      </c>
      <c r="G121" s="102">
        <f t="shared" ca="1" si="4"/>
        <v>2.4082926598016068E-2</v>
      </c>
    </row>
    <row r="122" spans="2:7" x14ac:dyDescent="0.35">
      <c r="B122" s="99">
        <v>46101</v>
      </c>
      <c r="C122">
        <v>22.802499999999998</v>
      </c>
      <c r="D122">
        <f t="shared" si="5"/>
        <v>-0.1789277491503124</v>
      </c>
      <c r="E122">
        <v>-0.1789277491503124</v>
      </c>
      <c r="F122">
        <v>117</v>
      </c>
      <c r="G122" s="102">
        <f t="shared" ca="1" si="4"/>
        <v>-5.9137455183234697E-2</v>
      </c>
    </row>
    <row r="123" spans="2:7" x14ac:dyDescent="0.35">
      <c r="B123" s="99">
        <v>46104</v>
      </c>
      <c r="C123">
        <v>22.8125</v>
      </c>
      <c r="D123">
        <f t="shared" si="5"/>
        <v>-4.3835616438359093E-4</v>
      </c>
      <c r="E123">
        <v>-4.3835616438359093E-4</v>
      </c>
      <c r="F123">
        <v>118</v>
      </c>
      <c r="G123" s="102">
        <f t="shared" ca="1" si="4"/>
        <v>-9.3811787304775407E-2</v>
      </c>
    </row>
    <row r="124" spans="2:7" x14ac:dyDescent="0.35">
      <c r="B124" s="99">
        <v>46105</v>
      </c>
      <c r="C124">
        <v>26.73</v>
      </c>
      <c r="D124">
        <f t="shared" si="5"/>
        <v>-0.14655817433595208</v>
      </c>
      <c r="E124">
        <v>-0.14655817433595208</v>
      </c>
      <c r="F124">
        <v>119</v>
      </c>
      <c r="G124" s="102">
        <f t="shared" ca="1" si="4"/>
        <v>-9.2076959376652875E-3</v>
      </c>
    </row>
    <row r="125" spans="2:7" x14ac:dyDescent="0.35">
      <c r="B125" s="99">
        <v>46106</v>
      </c>
      <c r="C125">
        <v>24.74</v>
      </c>
      <c r="D125">
        <f t="shared" si="5"/>
        <v>8.0436540016168179E-2</v>
      </c>
      <c r="E125">
        <v>8.0436540016168179E-2</v>
      </c>
      <c r="F125">
        <v>120</v>
      </c>
      <c r="G125" s="102">
        <f t="shared" ca="1" si="4"/>
        <v>-6.6887605859268333E-3</v>
      </c>
    </row>
    <row r="126" spans="2:7" x14ac:dyDescent="0.35">
      <c r="B126" s="99">
        <v>46108</v>
      </c>
      <c r="C126">
        <v>24.64</v>
      </c>
      <c r="D126">
        <f t="shared" si="5"/>
        <v>4.0584415584414835E-3</v>
      </c>
      <c r="E126">
        <v>4.0584415584414835E-3</v>
      </c>
      <c r="F126">
        <v>121</v>
      </c>
      <c r="G126" s="102">
        <f t="shared" ca="1" si="4"/>
        <v>1.8281858163921545E-2</v>
      </c>
    </row>
    <row r="127" spans="2:7" x14ac:dyDescent="0.35">
      <c r="B127" s="99">
        <v>46111</v>
      </c>
      <c r="C127">
        <v>26.802499999999998</v>
      </c>
      <c r="D127">
        <f t="shared" si="5"/>
        <v>-8.0682772129465508E-2</v>
      </c>
      <c r="E127">
        <v>-8.0682772129465508E-2</v>
      </c>
      <c r="F127">
        <v>122</v>
      </c>
      <c r="G127" s="102">
        <f t="shared" ca="1" si="4"/>
        <v>-2.4503083170190898E-2</v>
      </c>
    </row>
    <row r="128" spans="2:7" x14ac:dyDescent="0.35">
      <c r="F128">
        <v>123</v>
      </c>
      <c r="G128" s="102">
        <f t="shared" ca="1" si="4"/>
        <v>-6.0183242292425304E-2</v>
      </c>
    </row>
    <row r="129" spans="6:7" x14ac:dyDescent="0.35">
      <c r="F129">
        <v>124</v>
      </c>
      <c r="G129" s="102">
        <f t="shared" ca="1" si="4"/>
        <v>-4.3812443351976663E-2</v>
      </c>
    </row>
    <row r="130" spans="6:7" x14ac:dyDescent="0.35">
      <c r="F130">
        <v>125</v>
      </c>
      <c r="G130" s="102">
        <f t="shared" ca="1" si="4"/>
        <v>-4.9432442283891806E-2</v>
      </c>
    </row>
    <row r="131" spans="6:7" x14ac:dyDescent="0.35">
      <c r="F131">
        <v>126</v>
      </c>
      <c r="G131" s="102">
        <f t="shared" ca="1" si="4"/>
        <v>-5.5720382955717476E-2</v>
      </c>
    </row>
    <row r="132" spans="6:7" x14ac:dyDescent="0.35">
      <c r="F132">
        <v>127</v>
      </c>
      <c r="G132" s="102">
        <f t="shared" ca="1" si="4"/>
        <v>-0.12611508831876053</v>
      </c>
    </row>
    <row r="133" spans="6:7" x14ac:dyDescent="0.35">
      <c r="F133">
        <v>128</v>
      </c>
      <c r="G133" s="102">
        <f t="shared" ca="1" si="4"/>
        <v>-3.5840998477928071E-2</v>
      </c>
    </row>
    <row r="134" spans="6:7" x14ac:dyDescent="0.35">
      <c r="F134">
        <v>129</v>
      </c>
      <c r="G134" s="102">
        <f t="shared" ca="1" si="4"/>
        <v>-1.5374073222103801E-2</v>
      </c>
    </row>
    <row r="135" spans="6:7" x14ac:dyDescent="0.35">
      <c r="F135">
        <v>130</v>
      </c>
      <c r="G135" s="102">
        <f t="shared" ref="G135:G198" ca="1" si="6">_xlfn.NORM.INV(RAND(),M$9,M$10)</f>
        <v>1.0721276306717327E-2</v>
      </c>
    </row>
    <row r="136" spans="6:7" x14ac:dyDescent="0.35">
      <c r="F136">
        <v>131</v>
      </c>
      <c r="G136" s="102">
        <f t="shared" ca="1" si="6"/>
        <v>-5.0194500716348213E-3</v>
      </c>
    </row>
    <row r="137" spans="6:7" x14ac:dyDescent="0.35">
      <c r="F137">
        <v>132</v>
      </c>
      <c r="G137" s="102">
        <f t="shared" ca="1" si="6"/>
        <v>4.8876759153711119E-2</v>
      </c>
    </row>
    <row r="138" spans="6:7" x14ac:dyDescent="0.35">
      <c r="F138">
        <v>133</v>
      </c>
      <c r="G138" s="102">
        <f t="shared" ca="1" si="6"/>
        <v>-9.2541789356200638E-2</v>
      </c>
    </row>
    <row r="139" spans="6:7" x14ac:dyDescent="0.35">
      <c r="F139">
        <v>134</v>
      </c>
      <c r="G139" s="102">
        <f t="shared" ca="1" si="6"/>
        <v>3.9350554649865851E-2</v>
      </c>
    </row>
    <row r="140" spans="6:7" x14ac:dyDescent="0.35">
      <c r="F140">
        <v>135</v>
      </c>
      <c r="G140" s="102">
        <f t="shared" ca="1" si="6"/>
        <v>-0.15251201950755228</v>
      </c>
    </row>
    <row r="141" spans="6:7" x14ac:dyDescent="0.35">
      <c r="F141">
        <v>136</v>
      </c>
      <c r="G141" s="102">
        <f t="shared" ca="1" si="6"/>
        <v>2.2224530915675358E-2</v>
      </c>
    </row>
    <row r="142" spans="6:7" x14ac:dyDescent="0.35">
      <c r="F142">
        <v>137</v>
      </c>
      <c r="G142" s="102">
        <f t="shared" ca="1" si="6"/>
        <v>-2.483563464158399E-2</v>
      </c>
    </row>
    <row r="143" spans="6:7" x14ac:dyDescent="0.35">
      <c r="F143">
        <v>138</v>
      </c>
      <c r="G143" s="102">
        <f t="shared" ca="1" si="6"/>
        <v>-4.0463198386253021E-2</v>
      </c>
    </row>
    <row r="144" spans="6:7" x14ac:dyDescent="0.35">
      <c r="F144">
        <v>139</v>
      </c>
      <c r="G144" s="102">
        <f t="shared" ca="1" si="6"/>
        <v>2.7440626856782859E-2</v>
      </c>
    </row>
    <row r="145" spans="6:7" x14ac:dyDescent="0.35">
      <c r="F145">
        <v>140</v>
      </c>
      <c r="G145" s="102">
        <f t="shared" ca="1" si="6"/>
        <v>3.3004031616242473E-3</v>
      </c>
    </row>
    <row r="146" spans="6:7" x14ac:dyDescent="0.35">
      <c r="F146">
        <v>141</v>
      </c>
      <c r="G146" s="102">
        <f t="shared" ca="1" si="6"/>
        <v>5.3047251574149995E-2</v>
      </c>
    </row>
    <row r="147" spans="6:7" x14ac:dyDescent="0.35">
      <c r="F147">
        <v>142</v>
      </c>
      <c r="G147" s="102">
        <f t="shared" ca="1" si="6"/>
        <v>-7.2272305214736376E-2</v>
      </c>
    </row>
    <row r="148" spans="6:7" x14ac:dyDescent="0.35">
      <c r="F148">
        <v>143</v>
      </c>
      <c r="G148" s="102">
        <f t="shared" ca="1" si="6"/>
        <v>2.7063046632624582E-2</v>
      </c>
    </row>
    <row r="149" spans="6:7" x14ac:dyDescent="0.35">
      <c r="F149">
        <v>144</v>
      </c>
      <c r="G149" s="102">
        <f t="shared" ca="1" si="6"/>
        <v>-3.7006014244207408E-2</v>
      </c>
    </row>
    <row r="150" spans="6:7" x14ac:dyDescent="0.35">
      <c r="F150">
        <v>145</v>
      </c>
      <c r="G150" s="102">
        <f t="shared" ca="1" si="6"/>
        <v>8.7406015534876591E-3</v>
      </c>
    </row>
    <row r="151" spans="6:7" x14ac:dyDescent="0.35">
      <c r="F151">
        <v>146</v>
      </c>
      <c r="G151" s="102">
        <f t="shared" ca="1" si="6"/>
        <v>2.9759133904017059E-2</v>
      </c>
    </row>
    <row r="152" spans="6:7" x14ac:dyDescent="0.35">
      <c r="F152">
        <v>147</v>
      </c>
      <c r="G152" s="102">
        <f t="shared" ca="1" si="6"/>
        <v>6.1003531147938439E-3</v>
      </c>
    </row>
    <row r="153" spans="6:7" x14ac:dyDescent="0.35">
      <c r="F153">
        <v>148</v>
      </c>
      <c r="G153" s="102">
        <f t="shared" ca="1" si="6"/>
        <v>-2.4888559245101815E-2</v>
      </c>
    </row>
    <row r="154" spans="6:7" x14ac:dyDescent="0.35">
      <c r="F154">
        <v>149</v>
      </c>
      <c r="G154" s="102">
        <f t="shared" ca="1" si="6"/>
        <v>6.9831273445946043E-2</v>
      </c>
    </row>
    <row r="155" spans="6:7" x14ac:dyDescent="0.35">
      <c r="F155">
        <v>150</v>
      </c>
      <c r="G155" s="102">
        <f t="shared" ca="1" si="6"/>
        <v>-3.6750418260634646E-2</v>
      </c>
    </row>
    <row r="156" spans="6:7" x14ac:dyDescent="0.35">
      <c r="F156">
        <v>151</v>
      </c>
      <c r="G156" s="102">
        <f t="shared" ca="1" si="6"/>
        <v>-6.1250075532178899E-3</v>
      </c>
    </row>
    <row r="157" spans="6:7" x14ac:dyDescent="0.35">
      <c r="F157">
        <v>152</v>
      </c>
      <c r="G157" s="102">
        <f t="shared" ca="1" si="6"/>
        <v>1.1185785483028735E-2</v>
      </c>
    </row>
    <row r="158" spans="6:7" x14ac:dyDescent="0.35">
      <c r="F158">
        <v>153</v>
      </c>
      <c r="G158" s="102">
        <f t="shared" ca="1" si="6"/>
        <v>-4.7317051121397646E-3</v>
      </c>
    </row>
    <row r="159" spans="6:7" x14ac:dyDescent="0.35">
      <c r="F159">
        <v>154</v>
      </c>
      <c r="G159" s="102">
        <f t="shared" ca="1" si="6"/>
        <v>1.149520138347538E-2</v>
      </c>
    </row>
    <row r="160" spans="6:7" x14ac:dyDescent="0.35">
      <c r="F160">
        <v>155</v>
      </c>
      <c r="G160" s="102">
        <f t="shared" ca="1" si="6"/>
        <v>5.3394076021413897E-2</v>
      </c>
    </row>
    <row r="161" spans="6:7" x14ac:dyDescent="0.35">
      <c r="F161">
        <v>156</v>
      </c>
      <c r="G161" s="102">
        <f t="shared" ca="1" si="6"/>
        <v>-2.0994034152637998E-2</v>
      </c>
    </row>
    <row r="162" spans="6:7" x14ac:dyDescent="0.35">
      <c r="F162">
        <v>157</v>
      </c>
      <c r="G162" s="102">
        <f t="shared" ca="1" si="6"/>
        <v>0.12903069392478594</v>
      </c>
    </row>
    <row r="163" spans="6:7" x14ac:dyDescent="0.35">
      <c r="F163">
        <v>158</v>
      </c>
      <c r="G163" s="102">
        <f t="shared" ca="1" si="6"/>
        <v>-6.849876195619467E-2</v>
      </c>
    </row>
    <row r="164" spans="6:7" x14ac:dyDescent="0.35">
      <c r="F164">
        <v>159</v>
      </c>
      <c r="G164" s="102">
        <f t="shared" ca="1" si="6"/>
        <v>3.2436243430213424E-2</v>
      </c>
    </row>
    <row r="165" spans="6:7" x14ac:dyDescent="0.35">
      <c r="F165">
        <v>160</v>
      </c>
      <c r="G165" s="102">
        <f t="shared" ca="1" si="6"/>
        <v>-6.9174908342095526E-2</v>
      </c>
    </row>
    <row r="166" spans="6:7" x14ac:dyDescent="0.35">
      <c r="F166">
        <v>161</v>
      </c>
      <c r="G166" s="102">
        <f t="shared" ca="1" si="6"/>
        <v>-2.4408311068366433E-2</v>
      </c>
    </row>
    <row r="167" spans="6:7" x14ac:dyDescent="0.35">
      <c r="F167">
        <v>162</v>
      </c>
      <c r="G167" s="102">
        <f t="shared" ca="1" si="6"/>
        <v>1.5281124918520399E-2</v>
      </c>
    </row>
    <row r="168" spans="6:7" x14ac:dyDescent="0.35">
      <c r="F168">
        <v>163</v>
      </c>
      <c r="G168" s="102">
        <f t="shared" ca="1" si="6"/>
        <v>-1.0174422673796949E-2</v>
      </c>
    </row>
    <row r="169" spans="6:7" x14ac:dyDescent="0.35">
      <c r="F169">
        <v>164</v>
      </c>
      <c r="G169" s="102">
        <f t="shared" ca="1" si="6"/>
        <v>-2.550272192383134E-2</v>
      </c>
    </row>
    <row r="170" spans="6:7" x14ac:dyDescent="0.35">
      <c r="F170">
        <v>165</v>
      </c>
      <c r="G170" s="102">
        <f t="shared" ca="1" si="6"/>
        <v>3.3701447301938747E-2</v>
      </c>
    </row>
    <row r="171" spans="6:7" x14ac:dyDescent="0.35">
      <c r="F171">
        <v>166</v>
      </c>
      <c r="G171" s="102">
        <f t="shared" ca="1" si="6"/>
        <v>-9.8403630109168028E-2</v>
      </c>
    </row>
    <row r="172" spans="6:7" x14ac:dyDescent="0.35">
      <c r="F172">
        <v>167</v>
      </c>
      <c r="G172" s="102">
        <f t="shared" ca="1" si="6"/>
        <v>-2.4348363162227061E-3</v>
      </c>
    </row>
    <row r="173" spans="6:7" x14ac:dyDescent="0.35">
      <c r="F173">
        <v>168</v>
      </c>
      <c r="G173" s="102">
        <f t="shared" ca="1" si="6"/>
        <v>-1.9339231912361244E-2</v>
      </c>
    </row>
    <row r="174" spans="6:7" x14ac:dyDescent="0.35">
      <c r="F174">
        <v>169</v>
      </c>
      <c r="G174" s="102">
        <f t="shared" ca="1" si="6"/>
        <v>-1.8515712652900491E-2</v>
      </c>
    </row>
    <row r="175" spans="6:7" x14ac:dyDescent="0.35">
      <c r="F175">
        <v>170</v>
      </c>
      <c r="G175" s="102">
        <f t="shared" ca="1" si="6"/>
        <v>-5.1978177754333485E-2</v>
      </c>
    </row>
    <row r="176" spans="6:7" x14ac:dyDescent="0.35">
      <c r="F176">
        <v>171</v>
      </c>
      <c r="G176" s="102">
        <f t="shared" ca="1" si="6"/>
        <v>-3.8815879294105959E-2</v>
      </c>
    </row>
    <row r="177" spans="6:7" x14ac:dyDescent="0.35">
      <c r="F177">
        <v>172</v>
      </c>
      <c r="G177" s="102">
        <f t="shared" ca="1" si="6"/>
        <v>-0.11508701434976942</v>
      </c>
    </row>
    <row r="178" spans="6:7" x14ac:dyDescent="0.35">
      <c r="F178">
        <v>173</v>
      </c>
      <c r="G178" s="102">
        <f t="shared" ca="1" si="6"/>
        <v>-9.1483573346019212E-2</v>
      </c>
    </row>
    <row r="179" spans="6:7" x14ac:dyDescent="0.35">
      <c r="F179">
        <v>174</v>
      </c>
      <c r="G179" s="102">
        <f t="shared" ca="1" si="6"/>
        <v>5.3029396520686209E-2</v>
      </c>
    </row>
    <row r="180" spans="6:7" x14ac:dyDescent="0.35">
      <c r="F180">
        <v>175</v>
      </c>
      <c r="G180" s="102">
        <f t="shared" ca="1" si="6"/>
        <v>-0.12430150096090949</v>
      </c>
    </row>
    <row r="181" spans="6:7" x14ac:dyDescent="0.35">
      <c r="F181">
        <v>176</v>
      </c>
      <c r="G181" s="102">
        <f t="shared" ca="1" si="6"/>
        <v>-4.4496231041606521E-3</v>
      </c>
    </row>
    <row r="182" spans="6:7" x14ac:dyDescent="0.35">
      <c r="F182">
        <v>177</v>
      </c>
      <c r="G182" s="102">
        <f t="shared" ca="1" si="6"/>
        <v>-4.9074830837752742E-2</v>
      </c>
    </row>
    <row r="183" spans="6:7" x14ac:dyDescent="0.35">
      <c r="F183">
        <v>178</v>
      </c>
      <c r="G183" s="102">
        <f t="shared" ca="1" si="6"/>
        <v>-5.9507156432127298E-2</v>
      </c>
    </row>
    <row r="184" spans="6:7" x14ac:dyDescent="0.35">
      <c r="F184">
        <v>179</v>
      </c>
      <c r="G184" s="102">
        <f t="shared" ca="1" si="6"/>
        <v>-2.4071619311228146E-2</v>
      </c>
    </row>
    <row r="185" spans="6:7" x14ac:dyDescent="0.35">
      <c r="F185">
        <v>180</v>
      </c>
      <c r="G185" s="102">
        <f t="shared" ca="1" si="6"/>
        <v>-2.6156613318349106E-2</v>
      </c>
    </row>
    <row r="186" spans="6:7" x14ac:dyDescent="0.35">
      <c r="F186">
        <v>181</v>
      </c>
      <c r="G186" s="102">
        <f t="shared" ca="1" si="6"/>
        <v>-3.3978065017849113E-2</v>
      </c>
    </row>
    <row r="187" spans="6:7" x14ac:dyDescent="0.35">
      <c r="F187">
        <v>182</v>
      </c>
      <c r="G187" s="102">
        <f t="shared" ca="1" si="6"/>
        <v>0.12528962168214494</v>
      </c>
    </row>
    <row r="188" spans="6:7" x14ac:dyDescent="0.35">
      <c r="F188">
        <v>183</v>
      </c>
      <c r="G188" s="102">
        <f t="shared" ca="1" si="6"/>
        <v>-0.11536070543825318</v>
      </c>
    </row>
    <row r="189" spans="6:7" x14ac:dyDescent="0.35">
      <c r="F189">
        <v>184</v>
      </c>
      <c r="G189" s="102">
        <f t="shared" ca="1" si="6"/>
        <v>-1.7634893599811846E-3</v>
      </c>
    </row>
    <row r="190" spans="6:7" x14ac:dyDescent="0.35">
      <c r="F190">
        <v>185</v>
      </c>
      <c r="G190" s="102">
        <f t="shared" ca="1" si="6"/>
        <v>6.3692752701381E-3</v>
      </c>
    </row>
    <row r="191" spans="6:7" x14ac:dyDescent="0.35">
      <c r="F191">
        <v>186</v>
      </c>
      <c r="G191" s="102">
        <f t="shared" ca="1" si="6"/>
        <v>1.6979775643282437E-3</v>
      </c>
    </row>
    <row r="192" spans="6:7" x14ac:dyDescent="0.35">
      <c r="F192">
        <v>187</v>
      </c>
      <c r="G192" s="102">
        <f t="shared" ca="1" si="6"/>
        <v>-6.7214883638860136E-3</v>
      </c>
    </row>
    <row r="193" spans="6:7" x14ac:dyDescent="0.35">
      <c r="F193">
        <v>188</v>
      </c>
      <c r="G193" s="102">
        <f t="shared" ca="1" si="6"/>
        <v>2.3738604801047348E-3</v>
      </c>
    </row>
    <row r="194" spans="6:7" x14ac:dyDescent="0.35">
      <c r="F194">
        <v>189</v>
      </c>
      <c r="G194" s="102">
        <f t="shared" ca="1" si="6"/>
        <v>1.3923224688344501E-2</v>
      </c>
    </row>
    <row r="195" spans="6:7" x14ac:dyDescent="0.35">
      <c r="F195">
        <v>190</v>
      </c>
      <c r="G195" s="102">
        <f t="shared" ca="1" si="6"/>
        <v>7.2329751894359591E-3</v>
      </c>
    </row>
    <row r="196" spans="6:7" x14ac:dyDescent="0.35">
      <c r="F196">
        <v>191</v>
      </c>
      <c r="G196" s="102">
        <f t="shared" ca="1" si="6"/>
        <v>-2.9280025056848159E-2</v>
      </c>
    </row>
    <row r="197" spans="6:7" x14ac:dyDescent="0.35">
      <c r="F197">
        <v>192</v>
      </c>
      <c r="G197" s="102">
        <f t="shared" ca="1" si="6"/>
        <v>2.0692982462162123E-2</v>
      </c>
    </row>
    <row r="198" spans="6:7" x14ac:dyDescent="0.35">
      <c r="F198">
        <v>193</v>
      </c>
      <c r="G198" s="102">
        <f t="shared" ca="1" si="6"/>
        <v>-7.3557847707730981E-2</v>
      </c>
    </row>
    <row r="199" spans="6:7" x14ac:dyDescent="0.35">
      <c r="F199">
        <v>194</v>
      </c>
      <c r="G199" s="102">
        <f t="shared" ref="G199:G262" ca="1" si="7">_xlfn.NORM.INV(RAND(),M$9,M$10)</f>
        <v>-8.1890414037310399E-2</v>
      </c>
    </row>
    <row r="200" spans="6:7" x14ac:dyDescent="0.35">
      <c r="F200">
        <v>195</v>
      </c>
      <c r="G200" s="102">
        <f t="shared" ca="1" si="7"/>
        <v>1.5913916751873671E-2</v>
      </c>
    </row>
    <row r="201" spans="6:7" x14ac:dyDescent="0.35">
      <c r="F201">
        <v>196</v>
      </c>
      <c r="G201" s="102">
        <f t="shared" ca="1" si="7"/>
        <v>6.9003564475424356E-2</v>
      </c>
    </row>
    <row r="202" spans="6:7" x14ac:dyDescent="0.35">
      <c r="F202">
        <v>197</v>
      </c>
      <c r="G202" s="102">
        <f t="shared" ca="1" si="7"/>
        <v>2.2514864753611752E-2</v>
      </c>
    </row>
    <row r="203" spans="6:7" x14ac:dyDescent="0.35">
      <c r="F203">
        <v>198</v>
      </c>
      <c r="G203" s="102">
        <f t="shared" ca="1" si="7"/>
        <v>3.4625050566092816E-2</v>
      </c>
    </row>
    <row r="204" spans="6:7" x14ac:dyDescent="0.35">
      <c r="F204">
        <v>199</v>
      </c>
      <c r="G204" s="102">
        <f t="shared" ca="1" si="7"/>
        <v>8.3609131856499028E-2</v>
      </c>
    </row>
    <row r="205" spans="6:7" x14ac:dyDescent="0.35">
      <c r="F205">
        <v>200</v>
      </c>
      <c r="G205" s="102">
        <f t="shared" ca="1" si="7"/>
        <v>4.7496753748793238E-2</v>
      </c>
    </row>
    <row r="206" spans="6:7" x14ac:dyDescent="0.35">
      <c r="F206">
        <v>201</v>
      </c>
      <c r="G206" s="102">
        <f t="shared" ca="1" si="7"/>
        <v>-1.2667630242896934E-2</v>
      </c>
    </row>
    <row r="207" spans="6:7" x14ac:dyDescent="0.35">
      <c r="F207">
        <v>202</v>
      </c>
      <c r="G207" s="102">
        <f t="shared" ca="1" si="7"/>
        <v>0.12379730695662138</v>
      </c>
    </row>
    <row r="208" spans="6:7" x14ac:dyDescent="0.35">
      <c r="F208">
        <v>203</v>
      </c>
      <c r="G208" s="102">
        <f t="shared" ca="1" si="7"/>
        <v>4.3538185048768732E-2</v>
      </c>
    </row>
    <row r="209" spans="6:7" x14ac:dyDescent="0.35">
      <c r="F209">
        <v>204</v>
      </c>
      <c r="G209" s="102">
        <f t="shared" ca="1" si="7"/>
        <v>-8.6983454532132423E-2</v>
      </c>
    </row>
    <row r="210" spans="6:7" x14ac:dyDescent="0.35">
      <c r="F210">
        <v>205</v>
      </c>
      <c r="G210" s="102">
        <f t="shared" ca="1" si="7"/>
        <v>-3.9319047156471498E-2</v>
      </c>
    </row>
    <row r="211" spans="6:7" x14ac:dyDescent="0.35">
      <c r="F211">
        <v>206</v>
      </c>
      <c r="G211" s="102">
        <f t="shared" ca="1" si="7"/>
        <v>0.10661036486763455</v>
      </c>
    </row>
    <row r="212" spans="6:7" x14ac:dyDescent="0.35">
      <c r="F212">
        <v>207</v>
      </c>
      <c r="G212" s="102">
        <f t="shared" ca="1" si="7"/>
        <v>5.3306312799816947E-3</v>
      </c>
    </row>
    <row r="213" spans="6:7" x14ac:dyDescent="0.35">
      <c r="F213">
        <v>208</v>
      </c>
      <c r="G213" s="102">
        <f t="shared" ca="1" si="7"/>
        <v>-1.0750094109219704E-2</v>
      </c>
    </row>
    <row r="214" spans="6:7" x14ac:dyDescent="0.35">
      <c r="F214">
        <v>209</v>
      </c>
      <c r="G214" s="102">
        <f t="shared" ca="1" si="7"/>
        <v>-1.1864316581155974E-2</v>
      </c>
    </row>
    <row r="215" spans="6:7" x14ac:dyDescent="0.35">
      <c r="F215">
        <v>210</v>
      </c>
      <c r="G215" s="102">
        <f t="shared" ca="1" si="7"/>
        <v>-0.10919923592385625</v>
      </c>
    </row>
    <row r="216" spans="6:7" x14ac:dyDescent="0.35">
      <c r="F216">
        <v>211</v>
      </c>
      <c r="G216" s="102">
        <f t="shared" ca="1" si="7"/>
        <v>-8.5239020629622686E-2</v>
      </c>
    </row>
    <row r="217" spans="6:7" x14ac:dyDescent="0.35">
      <c r="F217">
        <v>212</v>
      </c>
      <c r="G217" s="102">
        <f t="shared" ca="1" si="7"/>
        <v>-4.1028226094451628E-2</v>
      </c>
    </row>
    <row r="218" spans="6:7" x14ac:dyDescent="0.35">
      <c r="F218">
        <v>213</v>
      </c>
      <c r="G218" s="102">
        <f t="shared" ca="1" si="7"/>
        <v>-0.11044906026109848</v>
      </c>
    </row>
    <row r="219" spans="6:7" x14ac:dyDescent="0.35">
      <c r="F219">
        <v>214</v>
      </c>
      <c r="G219" s="102">
        <f t="shared" ca="1" si="7"/>
        <v>2.5821385149571881E-2</v>
      </c>
    </row>
    <row r="220" spans="6:7" x14ac:dyDescent="0.35">
      <c r="F220">
        <v>215</v>
      </c>
      <c r="G220" s="102">
        <f t="shared" ca="1" si="7"/>
        <v>7.0963850536601508E-2</v>
      </c>
    </row>
    <row r="221" spans="6:7" x14ac:dyDescent="0.35">
      <c r="F221">
        <v>216</v>
      </c>
      <c r="G221" s="102">
        <f t="shared" ca="1" si="7"/>
        <v>7.8344296233616134E-2</v>
      </c>
    </row>
    <row r="222" spans="6:7" x14ac:dyDescent="0.35">
      <c r="F222">
        <v>217</v>
      </c>
      <c r="G222" s="102">
        <f t="shared" ca="1" si="7"/>
        <v>-4.4257995727425725E-2</v>
      </c>
    </row>
    <row r="223" spans="6:7" x14ac:dyDescent="0.35">
      <c r="F223">
        <v>218</v>
      </c>
      <c r="G223" s="102">
        <f t="shared" ca="1" si="7"/>
        <v>0.12586047183772434</v>
      </c>
    </row>
    <row r="224" spans="6:7" x14ac:dyDescent="0.35">
      <c r="F224">
        <v>219</v>
      </c>
      <c r="G224" s="102">
        <f t="shared" ca="1" si="7"/>
        <v>4.5343695880203649E-2</v>
      </c>
    </row>
    <row r="225" spans="6:7" x14ac:dyDescent="0.35">
      <c r="F225">
        <v>220</v>
      </c>
      <c r="G225" s="102">
        <f t="shared" ca="1" si="7"/>
        <v>-3.9354540471164184E-2</v>
      </c>
    </row>
    <row r="226" spans="6:7" x14ac:dyDescent="0.35">
      <c r="F226">
        <v>221</v>
      </c>
      <c r="G226" s="102">
        <f t="shared" ca="1" si="7"/>
        <v>-5.5426057622290817E-2</v>
      </c>
    </row>
    <row r="227" spans="6:7" x14ac:dyDescent="0.35">
      <c r="F227">
        <v>222</v>
      </c>
      <c r="G227" s="102">
        <f t="shared" ca="1" si="7"/>
        <v>4.1579881187704226E-2</v>
      </c>
    </row>
    <row r="228" spans="6:7" x14ac:dyDescent="0.35">
      <c r="F228">
        <v>223</v>
      </c>
      <c r="G228" s="102">
        <f t="shared" ca="1" si="7"/>
        <v>4.3857499041694781E-2</v>
      </c>
    </row>
    <row r="229" spans="6:7" x14ac:dyDescent="0.35">
      <c r="F229">
        <v>224</v>
      </c>
      <c r="G229" s="102">
        <f t="shared" ca="1" si="7"/>
        <v>1.6584538820912268E-2</v>
      </c>
    </row>
    <row r="230" spans="6:7" x14ac:dyDescent="0.35">
      <c r="F230">
        <v>225</v>
      </c>
      <c r="G230" s="102">
        <f t="shared" ca="1" si="7"/>
        <v>-2.6452420587032812E-2</v>
      </c>
    </row>
    <row r="231" spans="6:7" x14ac:dyDescent="0.35">
      <c r="F231">
        <v>226</v>
      </c>
      <c r="G231" s="102">
        <f t="shared" ca="1" si="7"/>
        <v>-9.2406070631492407E-2</v>
      </c>
    </row>
    <row r="232" spans="6:7" x14ac:dyDescent="0.35">
      <c r="F232">
        <v>227</v>
      </c>
      <c r="G232" s="102">
        <f t="shared" ca="1" si="7"/>
        <v>1.7972973739267414E-2</v>
      </c>
    </row>
    <row r="233" spans="6:7" x14ac:dyDescent="0.35">
      <c r="F233">
        <v>228</v>
      </c>
      <c r="G233" s="102">
        <f t="shared" ca="1" si="7"/>
        <v>9.1056391581910076E-3</v>
      </c>
    </row>
    <row r="234" spans="6:7" x14ac:dyDescent="0.35">
      <c r="F234">
        <v>229</v>
      </c>
      <c r="G234" s="102">
        <f t="shared" ca="1" si="7"/>
        <v>-3.3960184669240313E-2</v>
      </c>
    </row>
    <row r="235" spans="6:7" x14ac:dyDescent="0.35">
      <c r="F235">
        <v>230</v>
      </c>
      <c r="G235" s="102">
        <f t="shared" ca="1" si="7"/>
        <v>-2.1614315135125441E-2</v>
      </c>
    </row>
    <row r="236" spans="6:7" x14ac:dyDescent="0.35">
      <c r="F236">
        <v>231</v>
      </c>
      <c r="G236" s="102">
        <f t="shared" ca="1" si="7"/>
        <v>6.8132087409323971E-2</v>
      </c>
    </row>
    <row r="237" spans="6:7" x14ac:dyDescent="0.35">
      <c r="F237">
        <v>232</v>
      </c>
      <c r="G237" s="102">
        <f t="shared" ca="1" si="7"/>
        <v>-1.6241608848024149E-3</v>
      </c>
    </row>
    <row r="238" spans="6:7" x14ac:dyDescent="0.35">
      <c r="F238">
        <v>233</v>
      </c>
      <c r="G238" s="102">
        <f t="shared" ca="1" si="7"/>
        <v>4.1189990499781781E-2</v>
      </c>
    </row>
    <row r="239" spans="6:7" x14ac:dyDescent="0.35">
      <c r="F239">
        <v>234</v>
      </c>
      <c r="G239" s="102">
        <f t="shared" ca="1" si="7"/>
        <v>5.4582533742556644E-2</v>
      </c>
    </row>
    <row r="240" spans="6:7" x14ac:dyDescent="0.35">
      <c r="F240">
        <v>235</v>
      </c>
      <c r="G240" s="102">
        <f t="shared" ca="1" si="7"/>
        <v>-0.13073419738669823</v>
      </c>
    </row>
    <row r="241" spans="6:7" x14ac:dyDescent="0.35">
      <c r="F241">
        <v>236</v>
      </c>
      <c r="G241" s="102">
        <f t="shared" ca="1" si="7"/>
        <v>1.9887876680528712E-2</v>
      </c>
    </row>
    <row r="242" spans="6:7" x14ac:dyDescent="0.35">
      <c r="F242">
        <v>237</v>
      </c>
      <c r="G242" s="102">
        <f t="shared" ca="1" si="7"/>
        <v>-1.3642884577784547E-2</v>
      </c>
    </row>
    <row r="243" spans="6:7" x14ac:dyDescent="0.35">
      <c r="F243">
        <v>238</v>
      </c>
      <c r="G243" s="102">
        <f t="shared" ca="1" si="7"/>
        <v>2.4514429451969067E-2</v>
      </c>
    </row>
    <row r="244" spans="6:7" x14ac:dyDescent="0.35">
      <c r="F244">
        <v>239</v>
      </c>
      <c r="G244" s="102">
        <f t="shared" ca="1" si="7"/>
        <v>0.11145326999307284</v>
      </c>
    </row>
    <row r="245" spans="6:7" x14ac:dyDescent="0.35">
      <c r="F245">
        <v>240</v>
      </c>
      <c r="G245" s="102">
        <f t="shared" ca="1" si="7"/>
        <v>3.4981706207566785E-2</v>
      </c>
    </row>
    <row r="246" spans="6:7" x14ac:dyDescent="0.35">
      <c r="F246">
        <v>241</v>
      </c>
      <c r="G246" s="102">
        <f t="shared" ca="1" si="7"/>
        <v>3.09587091202429E-3</v>
      </c>
    </row>
    <row r="247" spans="6:7" x14ac:dyDescent="0.35">
      <c r="F247">
        <v>242</v>
      </c>
      <c r="G247" s="102">
        <f t="shared" ca="1" si="7"/>
        <v>1.2939900511509381E-2</v>
      </c>
    </row>
    <row r="248" spans="6:7" x14ac:dyDescent="0.35">
      <c r="F248">
        <v>243</v>
      </c>
      <c r="G248" s="102">
        <f t="shared" ca="1" si="7"/>
        <v>4.0634585138220519E-2</v>
      </c>
    </row>
    <row r="249" spans="6:7" x14ac:dyDescent="0.35">
      <c r="F249">
        <v>244</v>
      </c>
      <c r="G249" s="102">
        <f t="shared" ca="1" si="7"/>
        <v>-2.2127435332924134E-2</v>
      </c>
    </row>
    <row r="250" spans="6:7" x14ac:dyDescent="0.35">
      <c r="F250">
        <v>245</v>
      </c>
      <c r="G250" s="102">
        <f t="shared" ca="1" si="7"/>
        <v>3.5182631439035439E-2</v>
      </c>
    </row>
    <row r="251" spans="6:7" x14ac:dyDescent="0.35">
      <c r="F251">
        <v>246</v>
      </c>
      <c r="G251" s="102">
        <f t="shared" ca="1" si="7"/>
        <v>8.7715904465362898E-2</v>
      </c>
    </row>
    <row r="252" spans="6:7" x14ac:dyDescent="0.35">
      <c r="F252">
        <v>247</v>
      </c>
      <c r="G252" s="102">
        <f t="shared" ca="1" si="7"/>
        <v>8.5397524883066532E-3</v>
      </c>
    </row>
    <row r="253" spans="6:7" x14ac:dyDescent="0.35">
      <c r="F253">
        <v>248</v>
      </c>
      <c r="G253" s="102">
        <f t="shared" ca="1" si="7"/>
        <v>7.9931826228400921E-2</v>
      </c>
    </row>
    <row r="254" spans="6:7" x14ac:dyDescent="0.35">
      <c r="F254">
        <v>249</v>
      </c>
      <c r="G254" s="102">
        <f t="shared" ca="1" si="7"/>
        <v>5.7425544567993786E-2</v>
      </c>
    </row>
    <row r="255" spans="6:7" x14ac:dyDescent="0.35">
      <c r="F255">
        <v>250</v>
      </c>
      <c r="G255" s="102">
        <f t="shared" ca="1" si="7"/>
        <v>0.10941138290245024</v>
      </c>
    </row>
    <row r="256" spans="6:7" x14ac:dyDescent="0.35">
      <c r="F256">
        <v>251</v>
      </c>
      <c r="G256" s="102">
        <f t="shared" ca="1" si="7"/>
        <v>-4.5799784393418058E-2</v>
      </c>
    </row>
    <row r="257" spans="6:7" x14ac:dyDescent="0.35">
      <c r="F257">
        <v>252</v>
      </c>
      <c r="G257" s="102">
        <f t="shared" ca="1" si="7"/>
        <v>2.2848868387183863E-2</v>
      </c>
    </row>
    <row r="258" spans="6:7" x14ac:dyDescent="0.35">
      <c r="F258">
        <v>253</v>
      </c>
      <c r="G258" s="102">
        <f t="shared" ca="1" si="7"/>
        <v>-1.1178072825739856E-2</v>
      </c>
    </row>
    <row r="259" spans="6:7" x14ac:dyDescent="0.35">
      <c r="F259">
        <v>254</v>
      </c>
      <c r="G259" s="102">
        <f t="shared" ca="1" si="7"/>
        <v>1.1725863173811614E-2</v>
      </c>
    </row>
    <row r="260" spans="6:7" x14ac:dyDescent="0.35">
      <c r="F260">
        <v>255</v>
      </c>
      <c r="G260" s="102">
        <f t="shared" ca="1" si="7"/>
        <v>4.7677198127532405E-2</v>
      </c>
    </row>
    <row r="261" spans="6:7" x14ac:dyDescent="0.35">
      <c r="F261">
        <v>256</v>
      </c>
      <c r="G261" s="102">
        <f t="shared" ca="1" si="7"/>
        <v>2.6902510748884941E-2</v>
      </c>
    </row>
    <row r="262" spans="6:7" x14ac:dyDescent="0.35">
      <c r="F262">
        <v>257</v>
      </c>
      <c r="G262" s="102">
        <f t="shared" ca="1" si="7"/>
        <v>1.8591651197031232E-2</v>
      </c>
    </row>
    <row r="263" spans="6:7" x14ac:dyDescent="0.35">
      <c r="F263">
        <v>258</v>
      </c>
      <c r="G263" s="102">
        <f t="shared" ref="G263:G326" ca="1" si="8">_xlfn.NORM.INV(RAND(),M$9,M$10)</f>
        <v>-8.8336728896957865E-4</v>
      </c>
    </row>
    <row r="264" spans="6:7" x14ac:dyDescent="0.35">
      <c r="F264">
        <v>259</v>
      </c>
      <c r="G264" s="102">
        <f t="shared" ca="1" si="8"/>
        <v>-8.1612736754004725E-2</v>
      </c>
    </row>
    <row r="265" spans="6:7" x14ac:dyDescent="0.35">
      <c r="F265">
        <v>260</v>
      </c>
      <c r="G265" s="102">
        <f t="shared" ca="1" si="8"/>
        <v>-2.3225278275787593E-2</v>
      </c>
    </row>
    <row r="266" spans="6:7" x14ac:dyDescent="0.35">
      <c r="F266">
        <v>261</v>
      </c>
      <c r="G266" s="102">
        <f t="shared" ca="1" si="8"/>
        <v>0.11428492184142373</v>
      </c>
    </row>
    <row r="267" spans="6:7" x14ac:dyDescent="0.35">
      <c r="F267">
        <v>262</v>
      </c>
      <c r="G267" s="102">
        <f t="shared" ca="1" si="8"/>
        <v>5.9488237806289188E-2</v>
      </c>
    </row>
    <row r="268" spans="6:7" x14ac:dyDescent="0.35">
      <c r="F268">
        <v>263</v>
      </c>
      <c r="G268" s="102">
        <f t="shared" ca="1" si="8"/>
        <v>1.1955795959806344E-2</v>
      </c>
    </row>
    <row r="269" spans="6:7" x14ac:dyDescent="0.35">
      <c r="F269">
        <v>264</v>
      </c>
      <c r="G269" s="102">
        <f t="shared" ca="1" si="8"/>
        <v>4.9373290493214109E-2</v>
      </c>
    </row>
    <row r="270" spans="6:7" x14ac:dyDescent="0.35">
      <c r="F270">
        <v>265</v>
      </c>
      <c r="G270" s="102">
        <f t="shared" ca="1" si="8"/>
        <v>1.0898241861726405E-2</v>
      </c>
    </row>
    <row r="271" spans="6:7" x14ac:dyDescent="0.35">
      <c r="F271">
        <v>266</v>
      </c>
      <c r="G271" s="102">
        <f t="shared" ca="1" si="8"/>
        <v>7.1493630600561034E-2</v>
      </c>
    </row>
    <row r="272" spans="6:7" x14ac:dyDescent="0.35">
      <c r="F272">
        <v>267</v>
      </c>
      <c r="G272" s="102">
        <f t="shared" ca="1" si="8"/>
        <v>-7.3075994735184113E-2</v>
      </c>
    </row>
    <row r="273" spans="6:7" x14ac:dyDescent="0.35">
      <c r="F273">
        <v>268</v>
      </c>
      <c r="G273" s="102">
        <f t="shared" ca="1" si="8"/>
        <v>-4.8454272979586085E-2</v>
      </c>
    </row>
    <row r="274" spans="6:7" x14ac:dyDescent="0.35">
      <c r="F274">
        <v>269</v>
      </c>
      <c r="G274" s="102">
        <f t="shared" ca="1" si="8"/>
        <v>-2.1899165277554689E-2</v>
      </c>
    </row>
    <row r="275" spans="6:7" x14ac:dyDescent="0.35">
      <c r="F275">
        <v>270</v>
      </c>
      <c r="G275" s="102">
        <f t="shared" ca="1" si="8"/>
        <v>-2.0081626211688589E-2</v>
      </c>
    </row>
    <row r="276" spans="6:7" x14ac:dyDescent="0.35">
      <c r="F276">
        <v>271</v>
      </c>
      <c r="G276" s="102">
        <f t="shared" ca="1" si="8"/>
        <v>-2.2784963506073737E-2</v>
      </c>
    </row>
    <row r="277" spans="6:7" x14ac:dyDescent="0.35">
      <c r="F277">
        <v>272</v>
      </c>
      <c r="G277" s="102">
        <f t="shared" ca="1" si="8"/>
        <v>-5.5907693413638493E-2</v>
      </c>
    </row>
    <row r="278" spans="6:7" x14ac:dyDescent="0.35">
      <c r="F278">
        <v>273</v>
      </c>
      <c r="G278" s="102">
        <f t="shared" ca="1" si="8"/>
        <v>6.6528349687073204E-2</v>
      </c>
    </row>
    <row r="279" spans="6:7" x14ac:dyDescent="0.35">
      <c r="F279">
        <v>274</v>
      </c>
      <c r="G279" s="102">
        <f t="shared" ca="1" si="8"/>
        <v>-4.4292984841838731E-2</v>
      </c>
    </row>
    <row r="280" spans="6:7" x14ac:dyDescent="0.35">
      <c r="F280">
        <v>275</v>
      </c>
      <c r="G280" s="102">
        <f t="shared" ca="1" si="8"/>
        <v>5.9196131994309481E-2</v>
      </c>
    </row>
    <row r="281" spans="6:7" x14ac:dyDescent="0.35">
      <c r="F281">
        <v>276</v>
      </c>
      <c r="G281" s="102">
        <f t="shared" ca="1" si="8"/>
        <v>3.0690138534062491E-3</v>
      </c>
    </row>
    <row r="282" spans="6:7" x14ac:dyDescent="0.35">
      <c r="F282">
        <v>277</v>
      </c>
      <c r="G282" s="102">
        <f t="shared" ca="1" si="8"/>
        <v>-1.8899042701548428E-2</v>
      </c>
    </row>
    <row r="283" spans="6:7" x14ac:dyDescent="0.35">
      <c r="F283">
        <v>278</v>
      </c>
      <c r="G283" s="102">
        <f t="shared" ca="1" si="8"/>
        <v>-2.9355269535365691E-3</v>
      </c>
    </row>
    <row r="284" spans="6:7" x14ac:dyDescent="0.35">
      <c r="F284">
        <v>279</v>
      </c>
      <c r="G284" s="102">
        <f t="shared" ca="1" si="8"/>
        <v>4.9503648105512679E-2</v>
      </c>
    </row>
    <row r="285" spans="6:7" x14ac:dyDescent="0.35">
      <c r="F285">
        <v>280</v>
      </c>
      <c r="G285" s="102">
        <f t="shared" ca="1" si="8"/>
        <v>7.0355405433957838E-2</v>
      </c>
    </row>
    <row r="286" spans="6:7" x14ac:dyDescent="0.35">
      <c r="F286">
        <v>281</v>
      </c>
      <c r="G286" s="102">
        <f t="shared" ca="1" si="8"/>
        <v>0.12892799808428851</v>
      </c>
    </row>
    <row r="287" spans="6:7" x14ac:dyDescent="0.35">
      <c r="F287">
        <v>282</v>
      </c>
      <c r="G287" s="102">
        <f t="shared" ca="1" si="8"/>
        <v>-1.1539546454790934E-3</v>
      </c>
    </row>
    <row r="288" spans="6:7" x14ac:dyDescent="0.35">
      <c r="F288">
        <v>283</v>
      </c>
      <c r="G288" s="102">
        <f t="shared" ca="1" si="8"/>
        <v>-7.9750100478724772E-2</v>
      </c>
    </row>
    <row r="289" spans="6:7" x14ac:dyDescent="0.35">
      <c r="F289">
        <v>284</v>
      </c>
      <c r="G289" s="102">
        <f t="shared" ca="1" si="8"/>
        <v>3.7560056009177337E-3</v>
      </c>
    </row>
    <row r="290" spans="6:7" x14ac:dyDescent="0.35">
      <c r="F290">
        <v>285</v>
      </c>
      <c r="G290" s="102">
        <f t="shared" ca="1" si="8"/>
        <v>5.1956725439869685E-4</v>
      </c>
    </row>
    <row r="291" spans="6:7" x14ac:dyDescent="0.35">
      <c r="F291">
        <v>286</v>
      </c>
      <c r="G291" s="102">
        <f t="shared" ca="1" si="8"/>
        <v>-3.1918381300566026E-2</v>
      </c>
    </row>
    <row r="292" spans="6:7" x14ac:dyDescent="0.35">
      <c r="F292">
        <v>287</v>
      </c>
      <c r="G292" s="102">
        <f t="shared" ca="1" si="8"/>
        <v>-7.7612112912455802E-2</v>
      </c>
    </row>
    <row r="293" spans="6:7" x14ac:dyDescent="0.35">
      <c r="F293">
        <v>288</v>
      </c>
      <c r="G293" s="102">
        <f t="shared" ca="1" si="8"/>
        <v>-3.3888778522565263E-2</v>
      </c>
    </row>
    <row r="294" spans="6:7" x14ac:dyDescent="0.35">
      <c r="F294">
        <v>289</v>
      </c>
      <c r="G294" s="102">
        <f t="shared" ca="1" si="8"/>
        <v>6.3224295225101868E-2</v>
      </c>
    </row>
    <row r="295" spans="6:7" x14ac:dyDescent="0.35">
      <c r="F295">
        <v>290</v>
      </c>
      <c r="G295" s="102">
        <f t="shared" ca="1" si="8"/>
        <v>-0.1202157046527825</v>
      </c>
    </row>
    <row r="296" spans="6:7" x14ac:dyDescent="0.35">
      <c r="F296">
        <v>291</v>
      </c>
      <c r="G296" s="102">
        <f t="shared" ca="1" si="8"/>
        <v>0.13194800962004646</v>
      </c>
    </row>
    <row r="297" spans="6:7" x14ac:dyDescent="0.35">
      <c r="F297">
        <v>292</v>
      </c>
      <c r="G297" s="102">
        <f t="shared" ca="1" si="8"/>
        <v>1.6082956489663836E-2</v>
      </c>
    </row>
    <row r="298" spans="6:7" x14ac:dyDescent="0.35">
      <c r="F298">
        <v>293</v>
      </c>
      <c r="G298" s="102">
        <f t="shared" ca="1" si="8"/>
        <v>-7.2429438740881907E-3</v>
      </c>
    </row>
    <row r="299" spans="6:7" x14ac:dyDescent="0.35">
      <c r="F299">
        <v>294</v>
      </c>
      <c r="G299" s="102">
        <f t="shared" ca="1" si="8"/>
        <v>5.0901905520178148E-2</v>
      </c>
    </row>
    <row r="300" spans="6:7" x14ac:dyDescent="0.35">
      <c r="F300">
        <v>295</v>
      </c>
      <c r="G300" s="102">
        <f t="shared" ca="1" si="8"/>
        <v>6.3054818495588291E-2</v>
      </c>
    </row>
    <row r="301" spans="6:7" x14ac:dyDescent="0.35">
      <c r="F301">
        <v>296</v>
      </c>
      <c r="G301" s="102">
        <f t="shared" ca="1" si="8"/>
        <v>6.579244034126271E-3</v>
      </c>
    </row>
    <row r="302" spans="6:7" x14ac:dyDescent="0.35">
      <c r="F302">
        <v>297</v>
      </c>
      <c r="G302" s="102">
        <f t="shared" ca="1" si="8"/>
        <v>-1.0384938761883233E-2</v>
      </c>
    </row>
    <row r="303" spans="6:7" x14ac:dyDescent="0.35">
      <c r="F303">
        <v>298</v>
      </c>
      <c r="G303" s="102">
        <f t="shared" ca="1" si="8"/>
        <v>-1.9874022063982567E-2</v>
      </c>
    </row>
    <row r="304" spans="6:7" x14ac:dyDescent="0.35">
      <c r="F304">
        <v>299</v>
      </c>
      <c r="G304" s="102">
        <f t="shared" ca="1" si="8"/>
        <v>-6.7818272362272281E-2</v>
      </c>
    </row>
    <row r="305" spans="6:7" x14ac:dyDescent="0.35">
      <c r="F305">
        <v>300</v>
      </c>
      <c r="G305" s="102">
        <f t="shared" ca="1" si="8"/>
        <v>-4.7345850903719122E-2</v>
      </c>
    </row>
    <row r="306" spans="6:7" x14ac:dyDescent="0.35">
      <c r="F306">
        <v>301</v>
      </c>
      <c r="G306" s="102">
        <f t="shared" ca="1" si="8"/>
        <v>-7.0901742245749536E-2</v>
      </c>
    </row>
    <row r="307" spans="6:7" x14ac:dyDescent="0.35">
      <c r="F307">
        <v>302</v>
      </c>
      <c r="G307" s="102">
        <f t="shared" ca="1" si="8"/>
        <v>1.8608538234364397E-2</v>
      </c>
    </row>
    <row r="308" spans="6:7" x14ac:dyDescent="0.35">
      <c r="F308">
        <v>303</v>
      </c>
      <c r="G308" s="102">
        <f t="shared" ca="1" si="8"/>
        <v>-8.2504225614063315E-3</v>
      </c>
    </row>
    <row r="309" spans="6:7" x14ac:dyDescent="0.35">
      <c r="F309">
        <v>304</v>
      </c>
      <c r="G309" s="102">
        <f t="shared" ca="1" si="8"/>
        <v>8.8081468204137259E-3</v>
      </c>
    </row>
    <row r="310" spans="6:7" x14ac:dyDescent="0.35">
      <c r="F310">
        <v>305</v>
      </c>
      <c r="G310" s="102">
        <f t="shared" ca="1" si="8"/>
        <v>-5.6014182425956516E-2</v>
      </c>
    </row>
    <row r="311" spans="6:7" x14ac:dyDescent="0.35">
      <c r="F311">
        <v>306</v>
      </c>
      <c r="G311" s="102">
        <f t="shared" ca="1" si="8"/>
        <v>1.747725591695443E-3</v>
      </c>
    </row>
    <row r="312" spans="6:7" x14ac:dyDescent="0.35">
      <c r="F312">
        <v>307</v>
      </c>
      <c r="G312" s="102">
        <f t="shared" ca="1" si="8"/>
        <v>8.7419914592181416E-2</v>
      </c>
    </row>
    <row r="313" spans="6:7" x14ac:dyDescent="0.35">
      <c r="F313">
        <v>308</v>
      </c>
      <c r="G313" s="102">
        <f t="shared" ca="1" si="8"/>
        <v>-0.12256251952511676</v>
      </c>
    </row>
    <row r="314" spans="6:7" x14ac:dyDescent="0.35">
      <c r="F314">
        <v>309</v>
      </c>
      <c r="G314" s="102">
        <f t="shared" ca="1" si="8"/>
        <v>-5.2058163845190696E-3</v>
      </c>
    </row>
    <row r="315" spans="6:7" x14ac:dyDescent="0.35">
      <c r="F315">
        <v>310</v>
      </c>
      <c r="G315" s="102">
        <f t="shared" ca="1" si="8"/>
        <v>6.1119729864874614E-2</v>
      </c>
    </row>
    <row r="316" spans="6:7" x14ac:dyDescent="0.35">
      <c r="F316">
        <v>311</v>
      </c>
      <c r="G316" s="102">
        <f t="shared" ca="1" si="8"/>
        <v>6.3551331779508766E-2</v>
      </c>
    </row>
    <row r="317" spans="6:7" x14ac:dyDescent="0.35">
      <c r="F317">
        <v>312</v>
      </c>
      <c r="G317" s="102">
        <f t="shared" ca="1" si="8"/>
        <v>5.4195162878770214E-2</v>
      </c>
    </row>
    <row r="318" spans="6:7" x14ac:dyDescent="0.35">
      <c r="F318">
        <v>313</v>
      </c>
      <c r="G318" s="102">
        <f t="shared" ca="1" si="8"/>
        <v>-9.9620744010616782E-2</v>
      </c>
    </row>
    <row r="319" spans="6:7" x14ac:dyDescent="0.35">
      <c r="F319">
        <v>314</v>
      </c>
      <c r="G319" s="102">
        <f t="shared" ca="1" si="8"/>
        <v>5.9181553157698574E-2</v>
      </c>
    </row>
    <row r="320" spans="6:7" x14ac:dyDescent="0.35">
      <c r="F320">
        <v>315</v>
      </c>
      <c r="G320" s="102">
        <f t="shared" ca="1" si="8"/>
        <v>-6.7981476334659285E-2</v>
      </c>
    </row>
    <row r="321" spans="6:7" x14ac:dyDescent="0.35">
      <c r="F321">
        <v>316</v>
      </c>
      <c r="G321" s="102">
        <f t="shared" ca="1" si="8"/>
        <v>-1.2141717006460127E-2</v>
      </c>
    </row>
    <row r="322" spans="6:7" x14ac:dyDescent="0.35">
      <c r="F322">
        <v>317</v>
      </c>
      <c r="G322" s="102">
        <f t="shared" ca="1" si="8"/>
        <v>-3.167096342071006E-2</v>
      </c>
    </row>
    <row r="323" spans="6:7" x14ac:dyDescent="0.35">
      <c r="F323">
        <v>318</v>
      </c>
      <c r="G323" s="102">
        <f t="shared" ca="1" si="8"/>
        <v>-5.7723136920766638E-2</v>
      </c>
    </row>
    <row r="324" spans="6:7" x14ac:dyDescent="0.35">
      <c r="F324">
        <v>319</v>
      </c>
      <c r="G324" s="102">
        <f t="shared" ca="1" si="8"/>
        <v>-5.563244259274179E-2</v>
      </c>
    </row>
    <row r="325" spans="6:7" x14ac:dyDescent="0.35">
      <c r="F325">
        <v>320</v>
      </c>
      <c r="G325" s="102">
        <f t="shared" ca="1" si="8"/>
        <v>-2.8651873339067654E-2</v>
      </c>
    </row>
    <row r="326" spans="6:7" x14ac:dyDescent="0.35">
      <c r="F326">
        <v>321</v>
      </c>
      <c r="G326" s="102">
        <f t="shared" ca="1" si="8"/>
        <v>-2.8901978346109882E-2</v>
      </c>
    </row>
    <row r="327" spans="6:7" x14ac:dyDescent="0.35">
      <c r="F327">
        <v>322</v>
      </c>
      <c r="G327" s="102">
        <f t="shared" ref="G327:G390" ca="1" si="9">_xlfn.NORM.INV(RAND(),M$9,M$10)</f>
        <v>8.7832328335594109E-2</v>
      </c>
    </row>
    <row r="328" spans="6:7" x14ac:dyDescent="0.35">
      <c r="F328">
        <v>323</v>
      </c>
      <c r="G328" s="102">
        <f t="shared" ca="1" si="9"/>
        <v>3.1392904619942194E-2</v>
      </c>
    </row>
    <row r="329" spans="6:7" x14ac:dyDescent="0.35">
      <c r="F329">
        <v>324</v>
      </c>
      <c r="G329" s="102">
        <f t="shared" ca="1" si="9"/>
        <v>0.10735986208991014</v>
      </c>
    </row>
    <row r="330" spans="6:7" x14ac:dyDescent="0.35">
      <c r="F330">
        <v>325</v>
      </c>
      <c r="G330" s="102">
        <f t="shared" ca="1" si="9"/>
        <v>1.4166609262220613E-2</v>
      </c>
    </row>
    <row r="331" spans="6:7" x14ac:dyDescent="0.35">
      <c r="F331">
        <v>326</v>
      </c>
      <c r="G331" s="102">
        <f t="shared" ca="1" si="9"/>
        <v>-9.8463632851908095E-2</v>
      </c>
    </row>
    <row r="332" spans="6:7" x14ac:dyDescent="0.35">
      <c r="F332">
        <v>327</v>
      </c>
      <c r="G332" s="102">
        <f t="shared" ca="1" si="9"/>
        <v>1.5470278144484872E-3</v>
      </c>
    </row>
    <row r="333" spans="6:7" x14ac:dyDescent="0.35">
      <c r="F333">
        <v>328</v>
      </c>
      <c r="G333" s="102">
        <f t="shared" ca="1" si="9"/>
        <v>-6.6082332457731971E-2</v>
      </c>
    </row>
    <row r="334" spans="6:7" x14ac:dyDescent="0.35">
      <c r="F334">
        <v>329</v>
      </c>
      <c r="G334" s="102">
        <f t="shared" ca="1" si="9"/>
        <v>-5.414692011674686E-3</v>
      </c>
    </row>
    <row r="335" spans="6:7" x14ac:dyDescent="0.35">
      <c r="F335">
        <v>330</v>
      </c>
      <c r="G335" s="102">
        <f t="shared" ca="1" si="9"/>
        <v>3.4087784117238562E-2</v>
      </c>
    </row>
    <row r="336" spans="6:7" x14ac:dyDescent="0.35">
      <c r="F336">
        <v>331</v>
      </c>
      <c r="G336" s="102">
        <f t="shared" ca="1" si="9"/>
        <v>2.8376763404721079E-2</v>
      </c>
    </row>
    <row r="337" spans="6:7" x14ac:dyDescent="0.35">
      <c r="F337">
        <v>332</v>
      </c>
      <c r="G337" s="102">
        <f t="shared" ca="1" si="9"/>
        <v>-1.6385577868736706E-2</v>
      </c>
    </row>
    <row r="338" spans="6:7" x14ac:dyDescent="0.35">
      <c r="F338">
        <v>333</v>
      </c>
      <c r="G338" s="102">
        <f t="shared" ca="1" si="9"/>
        <v>8.6071774523506367E-2</v>
      </c>
    </row>
    <row r="339" spans="6:7" x14ac:dyDescent="0.35">
      <c r="F339">
        <v>334</v>
      </c>
      <c r="G339" s="102">
        <f t="shared" ca="1" si="9"/>
        <v>2.5239519542057966E-2</v>
      </c>
    </row>
    <row r="340" spans="6:7" x14ac:dyDescent="0.35">
      <c r="F340">
        <v>335</v>
      </c>
      <c r="G340" s="102">
        <f t="shared" ca="1" si="9"/>
        <v>9.6456402334148872E-2</v>
      </c>
    </row>
    <row r="341" spans="6:7" x14ac:dyDescent="0.35">
      <c r="F341">
        <v>336</v>
      </c>
      <c r="G341" s="102">
        <f t="shared" ca="1" si="9"/>
        <v>-1.8257378857212264E-2</v>
      </c>
    </row>
    <row r="342" spans="6:7" x14ac:dyDescent="0.35">
      <c r="F342">
        <v>337</v>
      </c>
      <c r="G342" s="102">
        <f t="shared" ca="1" si="9"/>
        <v>6.3822675438624646E-2</v>
      </c>
    </row>
    <row r="343" spans="6:7" x14ac:dyDescent="0.35">
      <c r="F343">
        <v>338</v>
      </c>
      <c r="G343" s="102">
        <f t="shared" ca="1" si="9"/>
        <v>4.6157192517763096E-2</v>
      </c>
    </row>
    <row r="344" spans="6:7" x14ac:dyDescent="0.35">
      <c r="F344">
        <v>339</v>
      </c>
      <c r="G344" s="102">
        <f t="shared" ca="1" si="9"/>
        <v>-7.0073235635811429E-2</v>
      </c>
    </row>
    <row r="345" spans="6:7" x14ac:dyDescent="0.35">
      <c r="F345">
        <v>340</v>
      </c>
      <c r="G345" s="102">
        <f t="shared" ca="1" si="9"/>
        <v>-1.8137639316743125E-2</v>
      </c>
    </row>
    <row r="346" spans="6:7" x14ac:dyDescent="0.35">
      <c r="F346">
        <v>341</v>
      </c>
      <c r="G346" s="102">
        <f t="shared" ca="1" si="9"/>
        <v>-3.282697040438335E-2</v>
      </c>
    </row>
    <row r="347" spans="6:7" x14ac:dyDescent="0.35">
      <c r="F347">
        <v>342</v>
      </c>
      <c r="G347" s="102">
        <f t="shared" ca="1" si="9"/>
        <v>-9.8087886526108087E-2</v>
      </c>
    </row>
    <row r="348" spans="6:7" x14ac:dyDescent="0.35">
      <c r="F348">
        <v>343</v>
      </c>
      <c r="G348" s="102">
        <f t="shared" ca="1" si="9"/>
        <v>-4.1641198113375411E-2</v>
      </c>
    </row>
    <row r="349" spans="6:7" x14ac:dyDescent="0.35">
      <c r="F349">
        <v>344</v>
      </c>
      <c r="G349" s="102">
        <f t="shared" ca="1" si="9"/>
        <v>-7.6200897358829678E-2</v>
      </c>
    </row>
    <row r="350" spans="6:7" x14ac:dyDescent="0.35">
      <c r="F350">
        <v>345</v>
      </c>
      <c r="G350" s="102">
        <f t="shared" ca="1" si="9"/>
        <v>3.7658911172531603E-2</v>
      </c>
    </row>
    <row r="351" spans="6:7" x14ac:dyDescent="0.35">
      <c r="F351">
        <v>346</v>
      </c>
      <c r="G351" s="102">
        <f t="shared" ca="1" si="9"/>
        <v>-0.10610226108620012</v>
      </c>
    </row>
    <row r="352" spans="6:7" x14ac:dyDescent="0.35">
      <c r="F352">
        <v>347</v>
      </c>
      <c r="G352" s="102">
        <f t="shared" ca="1" si="9"/>
        <v>-3.8118769787901033E-2</v>
      </c>
    </row>
    <row r="353" spans="6:7" x14ac:dyDescent="0.35">
      <c r="F353">
        <v>348</v>
      </c>
      <c r="G353" s="102">
        <f t="shared" ca="1" si="9"/>
        <v>-5.2603065580305738E-2</v>
      </c>
    </row>
    <row r="354" spans="6:7" x14ac:dyDescent="0.35">
      <c r="F354">
        <v>349</v>
      </c>
      <c r="G354" s="102">
        <f t="shared" ca="1" si="9"/>
        <v>-2.1379038672902514E-2</v>
      </c>
    </row>
    <row r="355" spans="6:7" x14ac:dyDescent="0.35">
      <c r="F355">
        <v>350</v>
      </c>
      <c r="G355" s="102">
        <f t="shared" ca="1" si="9"/>
        <v>3.3655477945362944E-2</v>
      </c>
    </row>
    <row r="356" spans="6:7" x14ac:dyDescent="0.35">
      <c r="F356">
        <v>351</v>
      </c>
      <c r="G356" s="102">
        <f t="shared" ca="1" si="9"/>
        <v>9.9572721185608074E-2</v>
      </c>
    </row>
    <row r="357" spans="6:7" x14ac:dyDescent="0.35">
      <c r="F357">
        <v>352</v>
      </c>
      <c r="G357" s="102">
        <f t="shared" ca="1" si="9"/>
        <v>3.5510437993962057E-3</v>
      </c>
    </row>
    <row r="358" spans="6:7" x14ac:dyDescent="0.35">
      <c r="F358">
        <v>353</v>
      </c>
      <c r="G358" s="102">
        <f t="shared" ca="1" si="9"/>
        <v>4.9559387829334986E-2</v>
      </c>
    </row>
    <row r="359" spans="6:7" x14ac:dyDescent="0.35">
      <c r="F359">
        <v>354</v>
      </c>
      <c r="G359" s="102">
        <f t="shared" ca="1" si="9"/>
        <v>-2.7450052229553809E-2</v>
      </c>
    </row>
    <row r="360" spans="6:7" x14ac:dyDescent="0.35">
      <c r="F360">
        <v>355</v>
      </c>
      <c r="G360" s="102">
        <f t="shared" ca="1" si="9"/>
        <v>3.0823788025288037E-2</v>
      </c>
    </row>
    <row r="361" spans="6:7" x14ac:dyDescent="0.35">
      <c r="F361">
        <v>356</v>
      </c>
      <c r="G361" s="102">
        <f t="shared" ca="1" si="9"/>
        <v>-8.0303600910622899E-2</v>
      </c>
    </row>
    <row r="362" spans="6:7" x14ac:dyDescent="0.35">
      <c r="F362">
        <v>357</v>
      </c>
      <c r="G362" s="102">
        <f t="shared" ca="1" si="9"/>
        <v>-3.6173628956568407E-2</v>
      </c>
    </row>
    <row r="363" spans="6:7" x14ac:dyDescent="0.35">
      <c r="F363">
        <v>358</v>
      </c>
      <c r="G363" s="102">
        <f t="shared" ca="1" si="9"/>
        <v>2.6539289864673649E-2</v>
      </c>
    </row>
    <row r="364" spans="6:7" x14ac:dyDescent="0.35">
      <c r="F364">
        <v>359</v>
      </c>
      <c r="G364" s="102">
        <f t="shared" ca="1" si="9"/>
        <v>-6.9119700501479045E-2</v>
      </c>
    </row>
    <row r="365" spans="6:7" x14ac:dyDescent="0.35">
      <c r="F365">
        <v>360</v>
      </c>
      <c r="G365" s="102">
        <f t="shared" ca="1" si="9"/>
        <v>-6.1121995025238129E-2</v>
      </c>
    </row>
    <row r="366" spans="6:7" x14ac:dyDescent="0.35">
      <c r="F366">
        <v>361</v>
      </c>
      <c r="G366" s="102">
        <f t="shared" ca="1" si="9"/>
        <v>1.7690295506093291E-2</v>
      </c>
    </row>
    <row r="367" spans="6:7" x14ac:dyDescent="0.35">
      <c r="F367">
        <v>362</v>
      </c>
      <c r="G367" s="102">
        <f t="shared" ca="1" si="9"/>
        <v>-3.8812188846854209E-2</v>
      </c>
    </row>
    <row r="368" spans="6:7" x14ac:dyDescent="0.35">
      <c r="F368">
        <v>363</v>
      </c>
      <c r="G368" s="102">
        <f t="shared" ca="1" si="9"/>
        <v>-1.9788380057203514E-2</v>
      </c>
    </row>
    <row r="369" spans="6:7" x14ac:dyDescent="0.35">
      <c r="F369">
        <v>364</v>
      </c>
      <c r="G369" s="102">
        <f t="shared" ca="1" si="9"/>
        <v>-9.5818838549005775E-2</v>
      </c>
    </row>
    <row r="370" spans="6:7" x14ac:dyDescent="0.35">
      <c r="F370">
        <v>365</v>
      </c>
      <c r="G370" s="102">
        <f t="shared" ca="1" si="9"/>
        <v>6.5123227964976691E-3</v>
      </c>
    </row>
    <row r="371" spans="6:7" x14ac:dyDescent="0.35">
      <c r="F371">
        <v>366</v>
      </c>
      <c r="G371" s="102">
        <f t="shared" ca="1" si="9"/>
        <v>-4.6103595145027376E-2</v>
      </c>
    </row>
    <row r="372" spans="6:7" x14ac:dyDescent="0.35">
      <c r="F372">
        <v>367</v>
      </c>
      <c r="G372" s="102">
        <f t="shared" ca="1" si="9"/>
        <v>-4.2859954272983425E-3</v>
      </c>
    </row>
    <row r="373" spans="6:7" x14ac:dyDescent="0.35">
      <c r="F373">
        <v>368</v>
      </c>
      <c r="G373" s="102">
        <f t="shared" ca="1" si="9"/>
        <v>-5.1076272378909091E-2</v>
      </c>
    </row>
    <row r="374" spans="6:7" x14ac:dyDescent="0.35">
      <c r="F374">
        <v>369</v>
      </c>
      <c r="G374" s="102">
        <f t="shared" ca="1" si="9"/>
        <v>-4.9598429453963866E-2</v>
      </c>
    </row>
    <row r="375" spans="6:7" x14ac:dyDescent="0.35">
      <c r="F375">
        <v>370</v>
      </c>
      <c r="G375" s="102">
        <f t="shared" ca="1" si="9"/>
        <v>-2.4691538216613958E-2</v>
      </c>
    </row>
    <row r="376" spans="6:7" x14ac:dyDescent="0.35">
      <c r="F376">
        <v>371</v>
      </c>
      <c r="G376" s="102">
        <f t="shared" ca="1" si="9"/>
        <v>9.7037664682536745E-3</v>
      </c>
    </row>
    <row r="377" spans="6:7" x14ac:dyDescent="0.35">
      <c r="F377">
        <v>372</v>
      </c>
      <c r="G377" s="102">
        <f t="shared" ca="1" si="9"/>
        <v>-3.2791348493422293E-3</v>
      </c>
    </row>
    <row r="378" spans="6:7" x14ac:dyDescent="0.35">
      <c r="F378">
        <v>373</v>
      </c>
      <c r="G378" s="102">
        <f t="shared" ca="1" si="9"/>
        <v>0.10180696290575784</v>
      </c>
    </row>
    <row r="379" spans="6:7" x14ac:dyDescent="0.35">
      <c r="F379">
        <v>374</v>
      </c>
      <c r="G379" s="102">
        <f t="shared" ca="1" si="9"/>
        <v>-7.5583256088308529E-2</v>
      </c>
    </row>
    <row r="380" spans="6:7" x14ac:dyDescent="0.35">
      <c r="F380">
        <v>375</v>
      </c>
      <c r="G380" s="102">
        <f t="shared" ca="1" si="9"/>
        <v>4.6661827167858619E-2</v>
      </c>
    </row>
    <row r="381" spans="6:7" x14ac:dyDescent="0.35">
      <c r="F381">
        <v>376</v>
      </c>
      <c r="G381" s="102">
        <f t="shared" ca="1" si="9"/>
        <v>2.2780630517198707E-2</v>
      </c>
    </row>
    <row r="382" spans="6:7" x14ac:dyDescent="0.35">
      <c r="F382">
        <v>377</v>
      </c>
      <c r="G382" s="102">
        <f t="shared" ca="1" si="9"/>
        <v>4.7218549142854546E-2</v>
      </c>
    </row>
    <row r="383" spans="6:7" x14ac:dyDescent="0.35">
      <c r="F383">
        <v>378</v>
      </c>
      <c r="G383" s="102">
        <f t="shared" ca="1" si="9"/>
        <v>-5.9798522497283887E-2</v>
      </c>
    </row>
    <row r="384" spans="6:7" x14ac:dyDescent="0.35">
      <c r="F384">
        <v>379</v>
      </c>
      <c r="G384" s="102">
        <f t="shared" ca="1" si="9"/>
        <v>-0.14039116228673404</v>
      </c>
    </row>
    <row r="385" spans="6:7" x14ac:dyDescent="0.35">
      <c r="F385">
        <v>380</v>
      </c>
      <c r="G385" s="102">
        <f t="shared" ca="1" si="9"/>
        <v>-0.12151545479680669</v>
      </c>
    </row>
    <row r="386" spans="6:7" x14ac:dyDescent="0.35">
      <c r="F386">
        <v>381</v>
      </c>
      <c r="G386" s="102">
        <f t="shared" ca="1" si="9"/>
        <v>-1.084148844680051E-2</v>
      </c>
    </row>
    <row r="387" spans="6:7" x14ac:dyDescent="0.35">
      <c r="F387">
        <v>382</v>
      </c>
      <c r="G387" s="102">
        <f t="shared" ca="1" si="9"/>
        <v>8.9006184586841886E-3</v>
      </c>
    </row>
    <row r="388" spans="6:7" x14ac:dyDescent="0.35">
      <c r="F388">
        <v>383</v>
      </c>
      <c r="G388" s="102">
        <f t="shared" ca="1" si="9"/>
        <v>2.8879190854171306E-2</v>
      </c>
    </row>
    <row r="389" spans="6:7" x14ac:dyDescent="0.35">
      <c r="F389">
        <v>384</v>
      </c>
      <c r="G389" s="102">
        <f t="shared" ca="1" si="9"/>
        <v>-1.1875168262943527E-2</v>
      </c>
    </row>
    <row r="390" spans="6:7" x14ac:dyDescent="0.35">
      <c r="F390">
        <v>385</v>
      </c>
      <c r="G390" s="102">
        <f t="shared" ca="1" si="9"/>
        <v>-2.8481442480929722E-2</v>
      </c>
    </row>
    <row r="391" spans="6:7" x14ac:dyDescent="0.35">
      <c r="F391">
        <v>386</v>
      </c>
      <c r="G391" s="102">
        <f t="shared" ref="G391:G454" ca="1" si="10">_xlfn.NORM.INV(RAND(),M$9,M$10)</f>
        <v>6.3281923722891945E-2</v>
      </c>
    </row>
    <row r="392" spans="6:7" x14ac:dyDescent="0.35">
      <c r="F392">
        <v>387</v>
      </c>
      <c r="G392" s="102">
        <f t="shared" ca="1" si="10"/>
        <v>-2.9527078106492594E-2</v>
      </c>
    </row>
    <row r="393" spans="6:7" x14ac:dyDescent="0.35">
      <c r="F393">
        <v>388</v>
      </c>
      <c r="G393" s="102">
        <f t="shared" ca="1" si="10"/>
        <v>4.5565368122998995E-2</v>
      </c>
    </row>
    <row r="394" spans="6:7" x14ac:dyDescent="0.35">
      <c r="F394">
        <v>389</v>
      </c>
      <c r="G394" s="102">
        <f t="shared" ca="1" si="10"/>
        <v>3.1744657476072569E-3</v>
      </c>
    </row>
    <row r="395" spans="6:7" x14ac:dyDescent="0.35">
      <c r="F395">
        <v>390</v>
      </c>
      <c r="G395" s="102">
        <f t="shared" ca="1" si="10"/>
        <v>-4.831865400778329E-2</v>
      </c>
    </row>
    <row r="396" spans="6:7" x14ac:dyDescent="0.35">
      <c r="F396">
        <v>391</v>
      </c>
      <c r="G396" s="102">
        <f t="shared" ca="1" si="10"/>
        <v>7.499083231922643E-2</v>
      </c>
    </row>
    <row r="397" spans="6:7" x14ac:dyDescent="0.35">
      <c r="F397">
        <v>392</v>
      </c>
      <c r="G397" s="102">
        <f t="shared" ca="1" si="10"/>
        <v>-6.1486627011974965E-2</v>
      </c>
    </row>
    <row r="398" spans="6:7" x14ac:dyDescent="0.35">
      <c r="F398">
        <v>393</v>
      </c>
      <c r="G398" s="102">
        <f t="shared" ca="1" si="10"/>
        <v>-3.3278476613658438E-2</v>
      </c>
    </row>
    <row r="399" spans="6:7" x14ac:dyDescent="0.35">
      <c r="F399">
        <v>394</v>
      </c>
      <c r="G399" s="102">
        <f t="shared" ca="1" si="10"/>
        <v>1.9207328764436447E-2</v>
      </c>
    </row>
    <row r="400" spans="6:7" x14ac:dyDescent="0.35">
      <c r="F400">
        <v>395</v>
      </c>
      <c r="G400" s="102">
        <f t="shared" ca="1" si="10"/>
        <v>-4.6750227455092275E-2</v>
      </c>
    </row>
    <row r="401" spans="6:7" x14ac:dyDescent="0.35">
      <c r="F401">
        <v>396</v>
      </c>
      <c r="G401" s="102">
        <f t="shared" ca="1" si="10"/>
        <v>-2.3397916616374561E-3</v>
      </c>
    </row>
    <row r="402" spans="6:7" x14ac:dyDescent="0.35">
      <c r="F402">
        <v>397</v>
      </c>
      <c r="G402" s="102">
        <f t="shared" ca="1" si="10"/>
        <v>-3.8352597751306824E-3</v>
      </c>
    </row>
    <row r="403" spans="6:7" x14ac:dyDescent="0.35">
      <c r="F403">
        <v>398</v>
      </c>
      <c r="G403" s="102">
        <f t="shared" ca="1" si="10"/>
        <v>2.1638096503205705E-2</v>
      </c>
    </row>
    <row r="404" spans="6:7" x14ac:dyDescent="0.35">
      <c r="F404">
        <v>399</v>
      </c>
      <c r="G404" s="102">
        <f t="shared" ca="1" si="10"/>
        <v>5.0746766849056754E-2</v>
      </c>
    </row>
    <row r="405" spans="6:7" x14ac:dyDescent="0.35">
      <c r="F405">
        <v>400</v>
      </c>
      <c r="G405" s="102">
        <f t="shared" ca="1" si="10"/>
        <v>-0.16739346072179159</v>
      </c>
    </row>
    <row r="406" spans="6:7" x14ac:dyDescent="0.35">
      <c r="F406">
        <v>401</v>
      </c>
      <c r="G406" s="102">
        <f t="shared" ca="1" si="10"/>
        <v>2.0427007517880531E-2</v>
      </c>
    </row>
    <row r="407" spans="6:7" x14ac:dyDescent="0.35">
      <c r="F407">
        <v>402</v>
      </c>
      <c r="G407" s="102">
        <f t="shared" ca="1" si="10"/>
        <v>4.2734949859886753E-2</v>
      </c>
    </row>
    <row r="408" spans="6:7" x14ac:dyDescent="0.35">
      <c r="F408">
        <v>403</v>
      </c>
      <c r="G408" s="102">
        <f t="shared" ca="1" si="10"/>
        <v>-3.6730791026156076E-2</v>
      </c>
    </row>
    <row r="409" spans="6:7" x14ac:dyDescent="0.35">
      <c r="F409">
        <v>404</v>
      </c>
      <c r="G409" s="102">
        <f t="shared" ca="1" si="10"/>
        <v>-4.3448248094816566E-2</v>
      </c>
    </row>
    <row r="410" spans="6:7" x14ac:dyDescent="0.35">
      <c r="F410">
        <v>405</v>
      </c>
      <c r="G410" s="102">
        <f t="shared" ca="1" si="10"/>
        <v>3.5489029777899556E-2</v>
      </c>
    </row>
    <row r="411" spans="6:7" x14ac:dyDescent="0.35">
      <c r="F411">
        <v>406</v>
      </c>
      <c r="G411" s="102">
        <f t="shared" ca="1" si="10"/>
        <v>3.3208317693174741E-2</v>
      </c>
    </row>
    <row r="412" spans="6:7" x14ac:dyDescent="0.35">
      <c r="F412">
        <v>407</v>
      </c>
      <c r="G412" s="102">
        <f t="shared" ca="1" si="10"/>
        <v>-6.5540510013846059E-2</v>
      </c>
    </row>
    <row r="413" spans="6:7" x14ac:dyDescent="0.35">
      <c r="F413">
        <v>408</v>
      </c>
      <c r="G413" s="102">
        <f t="shared" ca="1" si="10"/>
        <v>-0.11275766166805128</v>
      </c>
    </row>
    <row r="414" spans="6:7" x14ac:dyDescent="0.35">
      <c r="F414">
        <v>409</v>
      </c>
      <c r="G414" s="102">
        <f t="shared" ca="1" si="10"/>
        <v>-3.3853296740680378E-3</v>
      </c>
    </row>
    <row r="415" spans="6:7" x14ac:dyDescent="0.35">
      <c r="F415">
        <v>410</v>
      </c>
      <c r="G415" s="102">
        <f t="shared" ca="1" si="10"/>
        <v>3.9731361384851102E-2</v>
      </c>
    </row>
    <row r="416" spans="6:7" x14ac:dyDescent="0.35">
      <c r="F416">
        <v>411</v>
      </c>
      <c r="G416" s="102">
        <f t="shared" ca="1" si="10"/>
        <v>-5.8940619673266935E-3</v>
      </c>
    </row>
    <row r="417" spans="6:7" x14ac:dyDescent="0.35">
      <c r="F417">
        <v>412</v>
      </c>
      <c r="G417" s="102">
        <f t="shared" ca="1" si="10"/>
        <v>-0.14579475760070232</v>
      </c>
    </row>
    <row r="418" spans="6:7" x14ac:dyDescent="0.35">
      <c r="F418">
        <v>413</v>
      </c>
      <c r="G418" s="102">
        <f t="shared" ca="1" si="10"/>
        <v>8.5031229409475127E-3</v>
      </c>
    </row>
    <row r="419" spans="6:7" x14ac:dyDescent="0.35">
      <c r="F419">
        <v>414</v>
      </c>
      <c r="G419" s="102">
        <f t="shared" ca="1" si="10"/>
        <v>4.8679662999475144E-3</v>
      </c>
    </row>
    <row r="420" spans="6:7" x14ac:dyDescent="0.35">
      <c r="F420">
        <v>415</v>
      </c>
      <c r="G420" s="102">
        <f t="shared" ca="1" si="10"/>
        <v>9.4179457634622557E-3</v>
      </c>
    </row>
    <row r="421" spans="6:7" x14ac:dyDescent="0.35">
      <c r="F421">
        <v>416</v>
      </c>
      <c r="G421" s="102">
        <f t="shared" ca="1" si="10"/>
        <v>-9.8578584294901472E-3</v>
      </c>
    </row>
    <row r="422" spans="6:7" x14ac:dyDescent="0.35">
      <c r="F422">
        <v>417</v>
      </c>
      <c r="G422" s="102">
        <f t="shared" ca="1" si="10"/>
        <v>-6.0772403921879478E-2</v>
      </c>
    </row>
    <row r="423" spans="6:7" x14ac:dyDescent="0.35">
      <c r="F423">
        <v>418</v>
      </c>
      <c r="G423" s="102">
        <f t="shared" ca="1" si="10"/>
        <v>-3.8001144266142359E-2</v>
      </c>
    </row>
    <row r="424" spans="6:7" x14ac:dyDescent="0.35">
      <c r="F424">
        <v>419</v>
      </c>
      <c r="G424" s="102">
        <f t="shared" ca="1" si="10"/>
        <v>-1.317428532355806E-3</v>
      </c>
    </row>
    <row r="425" spans="6:7" x14ac:dyDescent="0.35">
      <c r="F425">
        <v>420</v>
      </c>
      <c r="G425" s="102">
        <f t="shared" ca="1" si="10"/>
        <v>2.7318444424817245E-2</v>
      </c>
    </row>
    <row r="426" spans="6:7" x14ac:dyDescent="0.35">
      <c r="F426">
        <v>421</v>
      </c>
      <c r="G426" s="102">
        <f t="shared" ca="1" si="10"/>
        <v>9.8965406178018172E-3</v>
      </c>
    </row>
    <row r="427" spans="6:7" x14ac:dyDescent="0.35">
      <c r="F427">
        <v>422</v>
      </c>
      <c r="G427" s="102">
        <f t="shared" ca="1" si="10"/>
        <v>2.4836782444413074E-2</v>
      </c>
    </row>
    <row r="428" spans="6:7" x14ac:dyDescent="0.35">
      <c r="F428">
        <v>423</v>
      </c>
      <c r="G428" s="102">
        <f t="shared" ca="1" si="10"/>
        <v>-6.7486837860725665E-3</v>
      </c>
    </row>
    <row r="429" spans="6:7" x14ac:dyDescent="0.35">
      <c r="F429">
        <v>424</v>
      </c>
      <c r="G429" s="102">
        <f t="shared" ca="1" si="10"/>
        <v>-4.2430895905894273E-2</v>
      </c>
    </row>
    <row r="430" spans="6:7" x14ac:dyDescent="0.35">
      <c r="F430">
        <v>425</v>
      </c>
      <c r="G430" s="102">
        <f t="shared" ca="1" si="10"/>
        <v>2.9428489351346513E-2</v>
      </c>
    </row>
    <row r="431" spans="6:7" x14ac:dyDescent="0.35">
      <c r="F431">
        <v>426</v>
      </c>
      <c r="G431" s="102">
        <f t="shared" ca="1" si="10"/>
        <v>-8.3780921419363996E-2</v>
      </c>
    </row>
    <row r="432" spans="6:7" x14ac:dyDescent="0.35">
      <c r="F432">
        <v>427</v>
      </c>
      <c r="G432" s="102">
        <f t="shared" ca="1" si="10"/>
        <v>-1.312272625004738E-2</v>
      </c>
    </row>
    <row r="433" spans="6:7" x14ac:dyDescent="0.35">
      <c r="F433">
        <v>428</v>
      </c>
      <c r="G433" s="102">
        <f t="shared" ca="1" si="10"/>
        <v>8.8279607122507237E-2</v>
      </c>
    </row>
    <row r="434" spans="6:7" x14ac:dyDescent="0.35">
      <c r="F434">
        <v>429</v>
      </c>
      <c r="G434" s="102">
        <f t="shared" ca="1" si="10"/>
        <v>-9.0680317387727041E-2</v>
      </c>
    </row>
    <row r="435" spans="6:7" x14ac:dyDescent="0.35">
      <c r="F435">
        <v>430</v>
      </c>
      <c r="G435" s="102">
        <f t="shared" ca="1" si="10"/>
        <v>-3.2503351791371773E-2</v>
      </c>
    </row>
    <row r="436" spans="6:7" x14ac:dyDescent="0.35">
      <c r="F436">
        <v>431</v>
      </c>
      <c r="G436" s="102">
        <f t="shared" ca="1" si="10"/>
        <v>4.2548079407474557E-2</v>
      </c>
    </row>
    <row r="437" spans="6:7" x14ac:dyDescent="0.35">
      <c r="F437">
        <v>432</v>
      </c>
      <c r="G437" s="102">
        <f t="shared" ca="1" si="10"/>
        <v>-9.6903332587129284E-4</v>
      </c>
    </row>
    <row r="438" spans="6:7" x14ac:dyDescent="0.35">
      <c r="F438">
        <v>433</v>
      </c>
      <c r="G438" s="102">
        <f t="shared" ca="1" si="10"/>
        <v>-2.9615063998796227E-2</v>
      </c>
    </row>
    <row r="439" spans="6:7" x14ac:dyDescent="0.35">
      <c r="F439">
        <v>434</v>
      </c>
      <c r="G439" s="102">
        <f t="shared" ca="1" si="10"/>
        <v>4.2713322002527296E-2</v>
      </c>
    </row>
    <row r="440" spans="6:7" x14ac:dyDescent="0.35">
      <c r="F440">
        <v>435</v>
      </c>
      <c r="G440" s="102">
        <f t="shared" ca="1" si="10"/>
        <v>-1.3731093675366093E-2</v>
      </c>
    </row>
    <row r="441" spans="6:7" x14ac:dyDescent="0.35">
      <c r="F441">
        <v>436</v>
      </c>
      <c r="G441" s="102">
        <f t="shared" ca="1" si="10"/>
        <v>-3.693137363751077E-2</v>
      </c>
    </row>
    <row r="442" spans="6:7" x14ac:dyDescent="0.35">
      <c r="F442">
        <v>437</v>
      </c>
      <c r="G442" s="102">
        <f t="shared" ca="1" si="10"/>
        <v>2.6123971363773129E-2</v>
      </c>
    </row>
    <row r="443" spans="6:7" x14ac:dyDescent="0.35">
      <c r="F443">
        <v>438</v>
      </c>
      <c r="G443" s="102">
        <f t="shared" ca="1" si="10"/>
        <v>-1.3918654704656711E-2</v>
      </c>
    </row>
    <row r="444" spans="6:7" x14ac:dyDescent="0.35">
      <c r="F444">
        <v>439</v>
      </c>
      <c r="G444" s="102">
        <f t="shared" ca="1" si="10"/>
        <v>-5.9918166167947234E-2</v>
      </c>
    </row>
    <row r="445" spans="6:7" x14ac:dyDescent="0.35">
      <c r="F445">
        <v>440</v>
      </c>
      <c r="G445" s="102">
        <f t="shared" ca="1" si="10"/>
        <v>4.5017067632957444E-2</v>
      </c>
    </row>
    <row r="446" spans="6:7" x14ac:dyDescent="0.35">
      <c r="F446">
        <v>441</v>
      </c>
      <c r="G446" s="102">
        <f t="shared" ca="1" si="10"/>
        <v>-7.9374462210525756E-2</v>
      </c>
    </row>
    <row r="447" spans="6:7" x14ac:dyDescent="0.35">
      <c r="F447">
        <v>442</v>
      </c>
      <c r="G447" s="102">
        <f t="shared" ca="1" si="10"/>
        <v>7.9226328440584345E-2</v>
      </c>
    </row>
    <row r="448" spans="6:7" x14ac:dyDescent="0.35">
      <c r="F448">
        <v>443</v>
      </c>
      <c r="G448" s="102">
        <f t="shared" ca="1" si="10"/>
        <v>1.7606207646030131E-2</v>
      </c>
    </row>
    <row r="449" spans="6:7" x14ac:dyDescent="0.35">
      <c r="F449">
        <v>444</v>
      </c>
      <c r="G449" s="102">
        <f t="shared" ca="1" si="10"/>
        <v>-3.327716297952435E-2</v>
      </c>
    </row>
    <row r="450" spans="6:7" x14ac:dyDescent="0.35">
      <c r="F450">
        <v>445</v>
      </c>
      <c r="G450" s="102">
        <f t="shared" ca="1" si="10"/>
        <v>-2.8610066127911848E-2</v>
      </c>
    </row>
    <row r="451" spans="6:7" x14ac:dyDescent="0.35">
      <c r="F451">
        <v>446</v>
      </c>
      <c r="G451" s="102">
        <f t="shared" ca="1" si="10"/>
        <v>9.1873743301094744E-3</v>
      </c>
    </row>
    <row r="452" spans="6:7" x14ac:dyDescent="0.35">
      <c r="F452">
        <v>447</v>
      </c>
      <c r="G452" s="102">
        <f t="shared" ca="1" si="10"/>
        <v>-4.8275661581858698E-2</v>
      </c>
    </row>
    <row r="453" spans="6:7" x14ac:dyDescent="0.35">
      <c r="F453">
        <v>448</v>
      </c>
      <c r="G453" s="102">
        <f t="shared" ca="1" si="10"/>
        <v>8.1138018877396564E-2</v>
      </c>
    </row>
    <row r="454" spans="6:7" x14ac:dyDescent="0.35">
      <c r="F454">
        <v>449</v>
      </c>
      <c r="G454" s="102">
        <f t="shared" ca="1" si="10"/>
        <v>-1.9652127117227504E-2</v>
      </c>
    </row>
    <row r="455" spans="6:7" x14ac:dyDescent="0.35">
      <c r="F455">
        <v>450</v>
      </c>
      <c r="G455" s="102">
        <f t="shared" ref="G455:G518" ca="1" si="11">_xlfn.NORM.INV(RAND(),M$9,M$10)</f>
        <v>-7.981311378143971E-2</v>
      </c>
    </row>
    <row r="456" spans="6:7" x14ac:dyDescent="0.35">
      <c r="F456">
        <v>451</v>
      </c>
      <c r="G456" s="102">
        <f t="shared" ca="1" si="11"/>
        <v>0.15945816753238873</v>
      </c>
    </row>
    <row r="457" spans="6:7" x14ac:dyDescent="0.35">
      <c r="F457">
        <v>452</v>
      </c>
      <c r="G457" s="102">
        <f t="shared" ca="1" si="11"/>
        <v>-6.3816461984560729E-2</v>
      </c>
    </row>
    <row r="458" spans="6:7" x14ac:dyDescent="0.35">
      <c r="F458">
        <v>453</v>
      </c>
      <c r="G458" s="102">
        <f t="shared" ca="1" si="11"/>
        <v>1.7230469932600401E-2</v>
      </c>
    </row>
    <row r="459" spans="6:7" x14ac:dyDescent="0.35">
      <c r="F459">
        <v>454</v>
      </c>
      <c r="G459" s="102">
        <f t="shared" ca="1" si="11"/>
        <v>9.4435710586516196E-3</v>
      </c>
    </row>
    <row r="460" spans="6:7" x14ac:dyDescent="0.35">
      <c r="F460">
        <v>455</v>
      </c>
      <c r="G460" s="102">
        <f t="shared" ca="1" si="11"/>
        <v>-8.704621653018807E-2</v>
      </c>
    </row>
    <row r="461" spans="6:7" x14ac:dyDescent="0.35">
      <c r="F461">
        <v>456</v>
      </c>
      <c r="G461" s="102">
        <f t="shared" ca="1" si="11"/>
        <v>0.17724444900798789</v>
      </c>
    </row>
    <row r="462" spans="6:7" x14ac:dyDescent="0.35">
      <c r="F462">
        <v>457</v>
      </c>
      <c r="G462" s="102">
        <f t="shared" ca="1" si="11"/>
        <v>-0.15450702338518624</v>
      </c>
    </row>
    <row r="463" spans="6:7" x14ac:dyDescent="0.35">
      <c r="F463">
        <v>458</v>
      </c>
      <c r="G463" s="102">
        <f t="shared" ca="1" si="11"/>
        <v>-1.4830724239787338E-3</v>
      </c>
    </row>
    <row r="464" spans="6:7" x14ac:dyDescent="0.35">
      <c r="F464">
        <v>459</v>
      </c>
      <c r="G464" s="102">
        <f t="shared" ca="1" si="11"/>
        <v>-8.6689686881890354E-2</v>
      </c>
    </row>
    <row r="465" spans="6:7" x14ac:dyDescent="0.35">
      <c r="F465">
        <v>460</v>
      </c>
      <c r="G465" s="102">
        <f t="shared" ca="1" si="11"/>
        <v>-8.0901902292331893E-2</v>
      </c>
    </row>
    <row r="466" spans="6:7" x14ac:dyDescent="0.35">
      <c r="F466">
        <v>461</v>
      </c>
      <c r="G466" s="102">
        <f t="shared" ca="1" si="11"/>
        <v>-3.6575965785627482E-2</v>
      </c>
    </row>
    <row r="467" spans="6:7" x14ac:dyDescent="0.35">
      <c r="F467">
        <v>462</v>
      </c>
      <c r="G467" s="102">
        <f t="shared" ca="1" si="11"/>
        <v>1.6789379832866009E-2</v>
      </c>
    </row>
    <row r="468" spans="6:7" x14ac:dyDescent="0.35">
      <c r="F468">
        <v>463</v>
      </c>
      <c r="G468" s="102">
        <f t="shared" ca="1" si="11"/>
        <v>-4.0140751467980948E-2</v>
      </c>
    </row>
    <row r="469" spans="6:7" x14ac:dyDescent="0.35">
      <c r="F469">
        <v>464</v>
      </c>
      <c r="G469" s="102">
        <f t="shared" ca="1" si="11"/>
        <v>-4.7273047615800048E-2</v>
      </c>
    </row>
    <row r="470" spans="6:7" x14ac:dyDescent="0.35">
      <c r="F470">
        <v>465</v>
      </c>
      <c r="G470" s="102">
        <f t="shared" ca="1" si="11"/>
        <v>-4.7180417982819106E-2</v>
      </c>
    </row>
    <row r="471" spans="6:7" x14ac:dyDescent="0.35">
      <c r="F471">
        <v>466</v>
      </c>
      <c r="G471" s="102">
        <f t="shared" ca="1" si="11"/>
        <v>0.13836634214896823</v>
      </c>
    </row>
    <row r="472" spans="6:7" x14ac:dyDescent="0.35">
      <c r="F472">
        <v>467</v>
      </c>
      <c r="G472" s="102">
        <f t="shared" ca="1" si="11"/>
        <v>-8.5004169846818495E-2</v>
      </c>
    </row>
    <row r="473" spans="6:7" x14ac:dyDescent="0.35">
      <c r="F473">
        <v>468</v>
      </c>
      <c r="G473" s="102">
        <f t="shared" ca="1" si="11"/>
        <v>-2.9794205184532616E-2</v>
      </c>
    </row>
    <row r="474" spans="6:7" x14ac:dyDescent="0.35">
      <c r="F474">
        <v>469</v>
      </c>
      <c r="G474" s="102">
        <f t="shared" ca="1" si="11"/>
        <v>7.1716976068795887E-2</v>
      </c>
    </row>
    <row r="475" spans="6:7" x14ac:dyDescent="0.35">
      <c r="F475">
        <v>470</v>
      </c>
      <c r="G475" s="102">
        <f t="shared" ca="1" si="11"/>
        <v>4.5937605933101588E-2</v>
      </c>
    </row>
    <row r="476" spans="6:7" x14ac:dyDescent="0.35">
      <c r="F476">
        <v>471</v>
      </c>
      <c r="G476" s="102">
        <f t="shared" ca="1" si="11"/>
        <v>-3.4061313457445071E-2</v>
      </c>
    </row>
    <row r="477" spans="6:7" x14ac:dyDescent="0.35">
      <c r="F477">
        <v>472</v>
      </c>
      <c r="G477" s="102">
        <f t="shared" ca="1" si="11"/>
        <v>4.440147726199728E-2</v>
      </c>
    </row>
    <row r="478" spans="6:7" x14ac:dyDescent="0.35">
      <c r="F478">
        <v>473</v>
      </c>
      <c r="G478" s="102">
        <f t="shared" ca="1" si="11"/>
        <v>-0.12179141229384254</v>
      </c>
    </row>
    <row r="479" spans="6:7" x14ac:dyDescent="0.35">
      <c r="F479">
        <v>474</v>
      </c>
      <c r="G479" s="102">
        <f t="shared" ca="1" si="11"/>
        <v>-2.1128790319219328E-3</v>
      </c>
    </row>
    <row r="480" spans="6:7" x14ac:dyDescent="0.35">
      <c r="F480">
        <v>475</v>
      </c>
      <c r="G480" s="102">
        <f t="shared" ca="1" si="11"/>
        <v>-7.3350230635795457E-3</v>
      </c>
    </row>
    <row r="481" spans="6:7" x14ac:dyDescent="0.35">
      <c r="F481">
        <v>476</v>
      </c>
      <c r="G481" s="102">
        <f t="shared" ca="1" si="11"/>
        <v>-3.9807251284689413E-2</v>
      </c>
    </row>
    <row r="482" spans="6:7" x14ac:dyDescent="0.35">
      <c r="F482">
        <v>477</v>
      </c>
      <c r="G482" s="102">
        <f t="shared" ca="1" si="11"/>
        <v>-8.1635067616234354E-3</v>
      </c>
    </row>
    <row r="483" spans="6:7" x14ac:dyDescent="0.35">
      <c r="F483">
        <v>478</v>
      </c>
      <c r="G483" s="102">
        <f t="shared" ca="1" si="11"/>
        <v>-4.7746441342881923E-3</v>
      </c>
    </row>
    <row r="484" spans="6:7" x14ac:dyDescent="0.35">
      <c r="F484">
        <v>479</v>
      </c>
      <c r="G484" s="102">
        <f t="shared" ca="1" si="11"/>
        <v>1.279566057919723E-3</v>
      </c>
    </row>
    <row r="485" spans="6:7" x14ac:dyDescent="0.35">
      <c r="F485">
        <v>480</v>
      </c>
      <c r="G485" s="102">
        <f t="shared" ca="1" si="11"/>
        <v>-7.6803108256765645E-4</v>
      </c>
    </row>
    <row r="486" spans="6:7" x14ac:dyDescent="0.35">
      <c r="F486">
        <v>481</v>
      </c>
      <c r="G486" s="102">
        <f t="shared" ca="1" si="11"/>
        <v>0.13556544213271779</v>
      </c>
    </row>
    <row r="487" spans="6:7" x14ac:dyDescent="0.35">
      <c r="F487">
        <v>482</v>
      </c>
      <c r="G487" s="102">
        <f t="shared" ca="1" si="11"/>
        <v>-3.3568640937170519E-2</v>
      </c>
    </row>
    <row r="488" spans="6:7" x14ac:dyDescent="0.35">
      <c r="F488">
        <v>483</v>
      </c>
      <c r="G488" s="102">
        <f t="shared" ca="1" si="11"/>
        <v>6.8621989550171375E-2</v>
      </c>
    </row>
    <row r="489" spans="6:7" x14ac:dyDescent="0.35">
      <c r="F489">
        <v>484</v>
      </c>
      <c r="G489" s="102">
        <f t="shared" ca="1" si="11"/>
        <v>7.5119268814182627E-2</v>
      </c>
    </row>
    <row r="490" spans="6:7" x14ac:dyDescent="0.35">
      <c r="F490">
        <v>485</v>
      </c>
      <c r="G490" s="102">
        <f t="shared" ca="1" si="11"/>
        <v>2.7106166454667648E-2</v>
      </c>
    </row>
    <row r="491" spans="6:7" x14ac:dyDescent="0.35">
      <c r="F491">
        <v>486</v>
      </c>
      <c r="G491" s="102">
        <f t="shared" ca="1" si="11"/>
        <v>1.8503949753063246E-2</v>
      </c>
    </row>
    <row r="492" spans="6:7" x14ac:dyDescent="0.35">
      <c r="F492">
        <v>487</v>
      </c>
      <c r="G492" s="102">
        <f t="shared" ca="1" si="11"/>
        <v>-0.13790473628765682</v>
      </c>
    </row>
    <row r="493" spans="6:7" x14ac:dyDescent="0.35">
      <c r="F493">
        <v>488</v>
      </c>
      <c r="G493" s="102">
        <f t="shared" ca="1" si="11"/>
        <v>-1.7190610863750878E-2</v>
      </c>
    </row>
    <row r="494" spans="6:7" x14ac:dyDescent="0.35">
      <c r="F494">
        <v>489</v>
      </c>
      <c r="G494" s="102">
        <f t="shared" ca="1" si="11"/>
        <v>-4.6924411753224565E-2</v>
      </c>
    </row>
    <row r="495" spans="6:7" x14ac:dyDescent="0.35">
      <c r="F495">
        <v>490</v>
      </c>
      <c r="G495" s="102">
        <f t="shared" ca="1" si="11"/>
        <v>-4.1271696272698236E-2</v>
      </c>
    </row>
    <row r="496" spans="6:7" x14ac:dyDescent="0.35">
      <c r="F496">
        <v>491</v>
      </c>
      <c r="G496" s="102">
        <f t="shared" ca="1" si="11"/>
        <v>-2.7584745068802891E-2</v>
      </c>
    </row>
    <row r="497" spans="6:7" x14ac:dyDescent="0.35">
      <c r="F497">
        <v>492</v>
      </c>
      <c r="G497" s="102">
        <f t="shared" ca="1" si="11"/>
        <v>7.265330841529416E-2</v>
      </c>
    </row>
    <row r="498" spans="6:7" x14ac:dyDescent="0.35">
      <c r="F498">
        <v>493</v>
      </c>
      <c r="G498" s="102">
        <f t="shared" ca="1" si="11"/>
        <v>-4.2917270000957408E-2</v>
      </c>
    </row>
    <row r="499" spans="6:7" x14ac:dyDescent="0.35">
      <c r="F499">
        <v>494</v>
      </c>
      <c r="G499" s="102">
        <f t="shared" ca="1" si="11"/>
        <v>9.4676751203471049E-2</v>
      </c>
    </row>
    <row r="500" spans="6:7" x14ac:dyDescent="0.35">
      <c r="F500">
        <v>495</v>
      </c>
      <c r="G500" s="102">
        <f t="shared" ca="1" si="11"/>
        <v>7.2709335966005859E-2</v>
      </c>
    </row>
    <row r="501" spans="6:7" x14ac:dyDescent="0.35">
      <c r="F501">
        <v>496</v>
      </c>
      <c r="G501" s="102">
        <f t="shared" ca="1" si="11"/>
        <v>3.2644099992861456E-2</v>
      </c>
    </row>
    <row r="502" spans="6:7" x14ac:dyDescent="0.35">
      <c r="F502">
        <v>497</v>
      </c>
      <c r="G502" s="102">
        <f t="shared" ca="1" si="11"/>
        <v>-2.2703734708504279E-2</v>
      </c>
    </row>
    <row r="503" spans="6:7" x14ac:dyDescent="0.35">
      <c r="F503">
        <v>498</v>
      </c>
      <c r="G503" s="102">
        <f t="shared" ca="1" si="11"/>
        <v>-4.0645598077309192E-2</v>
      </c>
    </row>
    <row r="504" spans="6:7" x14ac:dyDescent="0.35">
      <c r="F504">
        <v>499</v>
      </c>
      <c r="G504" s="102">
        <f t="shared" ca="1" si="11"/>
        <v>8.5360054274682795E-2</v>
      </c>
    </row>
    <row r="505" spans="6:7" x14ac:dyDescent="0.35">
      <c r="F505">
        <v>500</v>
      </c>
      <c r="G505" s="102">
        <f t="shared" ca="1" si="11"/>
        <v>3.827586112136348E-3</v>
      </c>
    </row>
    <row r="506" spans="6:7" x14ac:dyDescent="0.35">
      <c r="F506">
        <v>501</v>
      </c>
      <c r="G506" s="102">
        <f t="shared" ca="1" si="11"/>
        <v>-5.8561494732770752E-2</v>
      </c>
    </row>
    <row r="507" spans="6:7" x14ac:dyDescent="0.35">
      <c r="F507">
        <v>502</v>
      </c>
      <c r="G507" s="102">
        <f t="shared" ca="1" si="11"/>
        <v>-2.3185598861613102E-2</v>
      </c>
    </row>
    <row r="508" spans="6:7" x14ac:dyDescent="0.35">
      <c r="F508">
        <v>503</v>
      </c>
      <c r="G508" s="102">
        <f t="shared" ca="1" si="11"/>
        <v>-0.15822636721472463</v>
      </c>
    </row>
    <row r="509" spans="6:7" x14ac:dyDescent="0.35">
      <c r="F509">
        <v>504</v>
      </c>
      <c r="G509" s="102">
        <f t="shared" ca="1" si="11"/>
        <v>-2.8490207294343414E-2</v>
      </c>
    </row>
    <row r="510" spans="6:7" x14ac:dyDescent="0.35">
      <c r="F510">
        <v>505</v>
      </c>
      <c r="G510" s="102">
        <f t="shared" ca="1" si="11"/>
        <v>9.1344711397124637E-3</v>
      </c>
    </row>
    <row r="511" spans="6:7" x14ac:dyDescent="0.35">
      <c r="F511">
        <v>506</v>
      </c>
      <c r="G511" s="102">
        <f t="shared" ca="1" si="11"/>
        <v>-3.0775976059565276E-2</v>
      </c>
    </row>
    <row r="512" spans="6:7" x14ac:dyDescent="0.35">
      <c r="F512">
        <v>507</v>
      </c>
      <c r="G512" s="102">
        <f t="shared" ca="1" si="11"/>
        <v>-2.7095211802949857E-2</v>
      </c>
    </row>
    <row r="513" spans="6:7" x14ac:dyDescent="0.35">
      <c r="F513">
        <v>508</v>
      </c>
      <c r="G513" s="102">
        <f t="shared" ca="1" si="11"/>
        <v>-0.10594808446233309</v>
      </c>
    </row>
    <row r="514" spans="6:7" x14ac:dyDescent="0.35">
      <c r="F514">
        <v>509</v>
      </c>
      <c r="G514" s="102">
        <f t="shared" ca="1" si="11"/>
        <v>-5.1448823320929704E-2</v>
      </c>
    </row>
    <row r="515" spans="6:7" x14ac:dyDescent="0.35">
      <c r="F515">
        <v>510</v>
      </c>
      <c r="G515" s="102">
        <f t="shared" ca="1" si="11"/>
        <v>2.2237539802452754E-2</v>
      </c>
    </row>
    <row r="516" spans="6:7" x14ac:dyDescent="0.35">
      <c r="F516">
        <v>511</v>
      </c>
      <c r="G516" s="102">
        <f t="shared" ca="1" si="11"/>
        <v>-7.0771524079313572E-2</v>
      </c>
    </row>
    <row r="517" spans="6:7" x14ac:dyDescent="0.35">
      <c r="F517">
        <v>512</v>
      </c>
      <c r="G517" s="102">
        <f t="shared" ca="1" si="11"/>
        <v>-0.10803371054616316</v>
      </c>
    </row>
    <row r="518" spans="6:7" x14ac:dyDescent="0.35">
      <c r="F518">
        <v>513</v>
      </c>
      <c r="G518" s="102">
        <f t="shared" ca="1" si="11"/>
        <v>-2.1944539791808194E-2</v>
      </c>
    </row>
    <row r="519" spans="6:7" x14ac:dyDescent="0.35">
      <c r="F519">
        <v>514</v>
      </c>
      <c r="G519" s="102">
        <f t="shared" ref="G519:G582" ca="1" si="12">_xlfn.NORM.INV(RAND(),M$9,M$10)</f>
        <v>7.9621352409733216E-3</v>
      </c>
    </row>
    <row r="520" spans="6:7" x14ac:dyDescent="0.35">
      <c r="F520">
        <v>515</v>
      </c>
      <c r="G520" s="102">
        <f t="shared" ca="1" si="12"/>
        <v>-2.8346539938374053E-2</v>
      </c>
    </row>
    <row r="521" spans="6:7" x14ac:dyDescent="0.35">
      <c r="F521">
        <v>516</v>
      </c>
      <c r="G521" s="102">
        <f t="shared" ca="1" si="12"/>
        <v>1.5741526346694141E-2</v>
      </c>
    </row>
    <row r="522" spans="6:7" x14ac:dyDescent="0.35">
      <c r="F522">
        <v>517</v>
      </c>
      <c r="G522" s="102">
        <f t="shared" ca="1" si="12"/>
        <v>-4.9541224882838089E-2</v>
      </c>
    </row>
    <row r="523" spans="6:7" x14ac:dyDescent="0.35">
      <c r="F523">
        <v>518</v>
      </c>
      <c r="G523" s="102">
        <f t="shared" ca="1" si="12"/>
        <v>7.0358491523217839E-2</v>
      </c>
    </row>
    <row r="524" spans="6:7" x14ac:dyDescent="0.35">
      <c r="F524">
        <v>519</v>
      </c>
      <c r="G524" s="102">
        <f t="shared" ca="1" si="12"/>
        <v>7.366732049393579E-2</v>
      </c>
    </row>
    <row r="525" spans="6:7" x14ac:dyDescent="0.35">
      <c r="F525">
        <v>520</v>
      </c>
      <c r="G525" s="102">
        <f t="shared" ca="1" si="12"/>
        <v>-7.1126127392591911E-3</v>
      </c>
    </row>
    <row r="526" spans="6:7" x14ac:dyDescent="0.35">
      <c r="F526">
        <v>521</v>
      </c>
      <c r="G526" s="102">
        <f t="shared" ca="1" si="12"/>
        <v>6.5592510140331947E-2</v>
      </c>
    </row>
    <row r="527" spans="6:7" x14ac:dyDescent="0.35">
      <c r="F527">
        <v>522</v>
      </c>
      <c r="G527" s="102">
        <f t="shared" ca="1" si="12"/>
        <v>4.4643793347394073E-2</v>
      </c>
    </row>
    <row r="528" spans="6:7" x14ac:dyDescent="0.35">
      <c r="F528">
        <v>523</v>
      </c>
      <c r="G528" s="102">
        <f t="shared" ca="1" si="12"/>
        <v>5.0799910686855215E-2</v>
      </c>
    </row>
    <row r="529" spans="6:7" x14ac:dyDescent="0.35">
      <c r="F529">
        <v>524</v>
      </c>
      <c r="G529" s="102">
        <f t="shared" ca="1" si="12"/>
        <v>0.14597507037727717</v>
      </c>
    </row>
    <row r="530" spans="6:7" x14ac:dyDescent="0.35">
      <c r="F530">
        <v>525</v>
      </c>
      <c r="G530" s="102">
        <f t="shared" ca="1" si="12"/>
        <v>5.8352394141094874E-2</v>
      </c>
    </row>
    <row r="531" spans="6:7" x14ac:dyDescent="0.35">
      <c r="F531">
        <v>526</v>
      </c>
      <c r="G531" s="102">
        <f t="shared" ca="1" si="12"/>
        <v>-1.0167104647385806E-3</v>
      </c>
    </row>
    <row r="532" spans="6:7" x14ac:dyDescent="0.35">
      <c r="F532">
        <v>527</v>
      </c>
      <c r="G532" s="102">
        <f t="shared" ca="1" si="12"/>
        <v>-9.8345785849761128E-2</v>
      </c>
    </row>
    <row r="533" spans="6:7" x14ac:dyDescent="0.35">
      <c r="F533">
        <v>528</v>
      </c>
      <c r="G533" s="102">
        <f t="shared" ca="1" si="12"/>
        <v>-5.1316933391650943E-2</v>
      </c>
    </row>
    <row r="534" spans="6:7" x14ac:dyDescent="0.35">
      <c r="F534">
        <v>529</v>
      </c>
      <c r="G534" s="102">
        <f t="shared" ca="1" si="12"/>
        <v>-7.7823097667926486E-2</v>
      </c>
    </row>
    <row r="535" spans="6:7" x14ac:dyDescent="0.35">
      <c r="F535">
        <v>530</v>
      </c>
      <c r="G535" s="102">
        <f t="shared" ca="1" si="12"/>
        <v>8.8376276646210825E-2</v>
      </c>
    </row>
    <row r="536" spans="6:7" x14ac:dyDescent="0.35">
      <c r="F536">
        <v>531</v>
      </c>
      <c r="G536" s="102">
        <f t="shared" ca="1" si="12"/>
        <v>-3.4443362000345638E-2</v>
      </c>
    </row>
    <row r="537" spans="6:7" x14ac:dyDescent="0.35">
      <c r="F537">
        <v>532</v>
      </c>
      <c r="G537" s="102">
        <f t="shared" ca="1" si="12"/>
        <v>-1.7763090183791179E-2</v>
      </c>
    </row>
    <row r="538" spans="6:7" x14ac:dyDescent="0.35">
      <c r="F538">
        <v>533</v>
      </c>
      <c r="G538" s="102">
        <f t="shared" ca="1" si="12"/>
        <v>0.14631679128442096</v>
      </c>
    </row>
    <row r="539" spans="6:7" x14ac:dyDescent="0.35">
      <c r="F539">
        <v>534</v>
      </c>
      <c r="G539" s="102">
        <f t="shared" ca="1" si="12"/>
        <v>-3.7223488092494858E-2</v>
      </c>
    </row>
    <row r="540" spans="6:7" x14ac:dyDescent="0.35">
      <c r="F540">
        <v>535</v>
      </c>
      <c r="G540" s="102">
        <f t="shared" ca="1" si="12"/>
        <v>4.9454810786538281E-2</v>
      </c>
    </row>
    <row r="541" spans="6:7" x14ac:dyDescent="0.35">
      <c r="F541">
        <v>536</v>
      </c>
      <c r="G541" s="102">
        <f t="shared" ca="1" si="12"/>
        <v>-1.9229969816084613E-2</v>
      </c>
    </row>
    <row r="542" spans="6:7" x14ac:dyDescent="0.35">
      <c r="F542">
        <v>537</v>
      </c>
      <c r="G542" s="102">
        <f t="shared" ca="1" si="12"/>
        <v>-4.802552756969708E-2</v>
      </c>
    </row>
    <row r="543" spans="6:7" x14ac:dyDescent="0.35">
      <c r="F543">
        <v>538</v>
      </c>
      <c r="G543" s="102">
        <f t="shared" ca="1" si="12"/>
        <v>-7.472128174196413E-2</v>
      </c>
    </row>
    <row r="544" spans="6:7" x14ac:dyDescent="0.35">
      <c r="F544">
        <v>539</v>
      </c>
      <c r="G544" s="102">
        <f t="shared" ca="1" si="12"/>
        <v>-4.4277344011468531E-2</v>
      </c>
    </row>
    <row r="545" spans="6:7" x14ac:dyDescent="0.35">
      <c r="F545">
        <v>540</v>
      </c>
      <c r="G545" s="102">
        <f t="shared" ca="1" si="12"/>
        <v>-3.8155110073518628E-2</v>
      </c>
    </row>
    <row r="546" spans="6:7" x14ac:dyDescent="0.35">
      <c r="F546">
        <v>541</v>
      </c>
      <c r="G546" s="102">
        <f t="shared" ca="1" si="12"/>
        <v>-3.2145426279013692E-2</v>
      </c>
    </row>
    <row r="547" spans="6:7" x14ac:dyDescent="0.35">
      <c r="F547">
        <v>542</v>
      </c>
      <c r="G547" s="102">
        <f t="shared" ca="1" si="12"/>
        <v>1.2070785220993085E-2</v>
      </c>
    </row>
    <row r="548" spans="6:7" x14ac:dyDescent="0.35">
      <c r="F548">
        <v>543</v>
      </c>
      <c r="G548" s="102">
        <f t="shared" ca="1" si="12"/>
        <v>-0.10540943164488982</v>
      </c>
    </row>
    <row r="549" spans="6:7" x14ac:dyDescent="0.35">
      <c r="F549">
        <v>544</v>
      </c>
      <c r="G549" s="102">
        <f t="shared" ca="1" si="12"/>
        <v>-6.9128747444573438E-2</v>
      </c>
    </row>
    <row r="550" spans="6:7" x14ac:dyDescent="0.35">
      <c r="F550">
        <v>545</v>
      </c>
      <c r="G550" s="102">
        <f t="shared" ca="1" si="12"/>
        <v>-3.9744964869867117E-2</v>
      </c>
    </row>
    <row r="551" spans="6:7" x14ac:dyDescent="0.35">
      <c r="F551">
        <v>546</v>
      </c>
      <c r="G551" s="102">
        <f t="shared" ca="1" si="12"/>
        <v>-4.3168489621707898E-2</v>
      </c>
    </row>
    <row r="552" spans="6:7" x14ac:dyDescent="0.35">
      <c r="F552">
        <v>547</v>
      </c>
      <c r="G552" s="102">
        <f t="shared" ca="1" si="12"/>
        <v>-9.6338240260474151E-3</v>
      </c>
    </row>
    <row r="553" spans="6:7" x14ac:dyDescent="0.35">
      <c r="F553">
        <v>548</v>
      </c>
      <c r="G553" s="102">
        <f t="shared" ca="1" si="12"/>
        <v>-4.8645858786047685E-2</v>
      </c>
    </row>
    <row r="554" spans="6:7" x14ac:dyDescent="0.35">
      <c r="F554">
        <v>549</v>
      </c>
      <c r="G554" s="102">
        <f t="shared" ca="1" si="12"/>
        <v>4.2385882342195119E-2</v>
      </c>
    </row>
    <row r="555" spans="6:7" x14ac:dyDescent="0.35">
      <c r="F555">
        <v>550</v>
      </c>
      <c r="G555" s="102">
        <f t="shared" ca="1" si="12"/>
        <v>-7.0510087690998674E-2</v>
      </c>
    </row>
    <row r="556" spans="6:7" x14ac:dyDescent="0.35">
      <c r="F556">
        <v>551</v>
      </c>
      <c r="G556" s="102">
        <f t="shared" ca="1" si="12"/>
        <v>-7.9360932009778146E-2</v>
      </c>
    </row>
    <row r="557" spans="6:7" x14ac:dyDescent="0.35">
      <c r="F557">
        <v>552</v>
      </c>
      <c r="G557" s="102">
        <f t="shared" ca="1" si="12"/>
        <v>4.375327072556745E-2</v>
      </c>
    </row>
    <row r="558" spans="6:7" x14ac:dyDescent="0.35">
      <c r="F558">
        <v>553</v>
      </c>
      <c r="G558" s="102">
        <f t="shared" ca="1" si="12"/>
        <v>-7.7638175905811952E-3</v>
      </c>
    </row>
    <row r="559" spans="6:7" x14ac:dyDescent="0.35">
      <c r="F559">
        <v>554</v>
      </c>
      <c r="G559" s="102">
        <f t="shared" ca="1" si="12"/>
        <v>-1.4448030578990641E-2</v>
      </c>
    </row>
    <row r="560" spans="6:7" x14ac:dyDescent="0.35">
      <c r="F560">
        <v>555</v>
      </c>
      <c r="G560" s="102">
        <f t="shared" ca="1" si="12"/>
        <v>-0.15805909760799525</v>
      </c>
    </row>
    <row r="561" spans="6:7" x14ac:dyDescent="0.35">
      <c r="F561">
        <v>556</v>
      </c>
      <c r="G561" s="102">
        <f t="shared" ca="1" si="12"/>
        <v>0.10665992710138339</v>
      </c>
    </row>
    <row r="562" spans="6:7" x14ac:dyDescent="0.35">
      <c r="F562">
        <v>557</v>
      </c>
      <c r="G562" s="102">
        <f t="shared" ca="1" si="12"/>
        <v>0.10459984545784279</v>
      </c>
    </row>
    <row r="563" spans="6:7" x14ac:dyDescent="0.35">
      <c r="F563">
        <v>558</v>
      </c>
      <c r="G563" s="102">
        <f t="shared" ca="1" si="12"/>
        <v>-1.3634230920888071E-2</v>
      </c>
    </row>
    <row r="564" spans="6:7" x14ac:dyDescent="0.35">
      <c r="F564">
        <v>559</v>
      </c>
      <c r="G564" s="102">
        <f t="shared" ca="1" si="12"/>
        <v>0.1441394076910133</v>
      </c>
    </row>
    <row r="565" spans="6:7" x14ac:dyDescent="0.35">
      <c r="F565">
        <v>560</v>
      </c>
      <c r="G565" s="102">
        <f t="shared" ca="1" si="12"/>
        <v>1.9461966703844698E-2</v>
      </c>
    </row>
    <row r="566" spans="6:7" x14ac:dyDescent="0.35">
      <c r="F566">
        <v>561</v>
      </c>
      <c r="G566" s="102">
        <f t="shared" ca="1" si="12"/>
        <v>-3.6933415215051085E-2</v>
      </c>
    </row>
    <row r="567" spans="6:7" x14ac:dyDescent="0.35">
      <c r="F567">
        <v>562</v>
      </c>
      <c r="G567" s="102">
        <f t="shared" ca="1" si="12"/>
        <v>-5.0999603960396947E-2</v>
      </c>
    </row>
    <row r="568" spans="6:7" x14ac:dyDescent="0.35">
      <c r="F568">
        <v>563</v>
      </c>
      <c r="G568" s="102">
        <f t="shared" ca="1" si="12"/>
        <v>9.3466653822913498E-2</v>
      </c>
    </row>
    <row r="569" spans="6:7" x14ac:dyDescent="0.35">
      <c r="F569">
        <v>564</v>
      </c>
      <c r="G569" s="102">
        <f t="shared" ca="1" si="12"/>
        <v>-0.11118653576468976</v>
      </c>
    </row>
    <row r="570" spans="6:7" x14ac:dyDescent="0.35">
      <c r="F570">
        <v>565</v>
      </c>
      <c r="G570" s="102">
        <f t="shared" ca="1" si="12"/>
        <v>0.10735255893142705</v>
      </c>
    </row>
    <row r="571" spans="6:7" x14ac:dyDescent="0.35">
      <c r="F571">
        <v>566</v>
      </c>
      <c r="G571" s="102">
        <f t="shared" ca="1" si="12"/>
        <v>-0.11514771081188638</v>
      </c>
    </row>
    <row r="572" spans="6:7" x14ac:dyDescent="0.35">
      <c r="F572">
        <v>567</v>
      </c>
      <c r="G572" s="102">
        <f t="shared" ca="1" si="12"/>
        <v>3.4060549124882739E-2</v>
      </c>
    </row>
    <row r="573" spans="6:7" x14ac:dyDescent="0.35">
      <c r="F573">
        <v>568</v>
      </c>
      <c r="G573" s="102">
        <f t="shared" ca="1" si="12"/>
        <v>-2.3381278791899617E-2</v>
      </c>
    </row>
    <row r="574" spans="6:7" x14ac:dyDescent="0.35">
      <c r="F574">
        <v>569</v>
      </c>
      <c r="G574" s="102">
        <f t="shared" ca="1" si="12"/>
        <v>-6.6660239270540475E-2</v>
      </c>
    </row>
    <row r="575" spans="6:7" x14ac:dyDescent="0.35">
      <c r="F575">
        <v>570</v>
      </c>
      <c r="G575" s="102">
        <f t="shared" ca="1" si="12"/>
        <v>4.2752881640659476E-2</v>
      </c>
    </row>
    <row r="576" spans="6:7" x14ac:dyDescent="0.35">
      <c r="F576">
        <v>571</v>
      </c>
      <c r="G576" s="102">
        <f t="shared" ca="1" si="12"/>
        <v>1.219892844569492E-2</v>
      </c>
    </row>
    <row r="577" spans="6:7" x14ac:dyDescent="0.35">
      <c r="F577">
        <v>572</v>
      </c>
      <c r="G577" s="102">
        <f t="shared" ca="1" si="12"/>
        <v>-1.5630924428233933E-3</v>
      </c>
    </row>
    <row r="578" spans="6:7" x14ac:dyDescent="0.35">
      <c r="F578">
        <v>573</v>
      </c>
      <c r="G578" s="102">
        <f t="shared" ca="1" si="12"/>
        <v>-4.1823351007317447E-2</v>
      </c>
    </row>
    <row r="579" spans="6:7" x14ac:dyDescent="0.35">
      <c r="F579">
        <v>574</v>
      </c>
      <c r="G579" s="102">
        <f t="shared" ca="1" si="12"/>
        <v>9.8483016570157806E-3</v>
      </c>
    </row>
    <row r="580" spans="6:7" x14ac:dyDescent="0.35">
      <c r="F580">
        <v>575</v>
      </c>
      <c r="G580" s="102">
        <f t="shared" ca="1" si="12"/>
        <v>1.8013289026924683E-2</v>
      </c>
    </row>
    <row r="581" spans="6:7" x14ac:dyDescent="0.35">
      <c r="F581">
        <v>576</v>
      </c>
      <c r="G581" s="102">
        <f t="shared" ca="1" si="12"/>
        <v>2.5264285694820355E-2</v>
      </c>
    </row>
    <row r="582" spans="6:7" x14ac:dyDescent="0.35">
      <c r="F582">
        <v>577</v>
      </c>
      <c r="G582" s="102">
        <f t="shared" ca="1" si="12"/>
        <v>1.3283501363095199E-2</v>
      </c>
    </row>
    <row r="583" spans="6:7" x14ac:dyDescent="0.35">
      <c r="F583">
        <v>578</v>
      </c>
      <c r="G583" s="102">
        <f t="shared" ref="G583:G646" ca="1" si="13">_xlfn.NORM.INV(RAND(),M$9,M$10)</f>
        <v>-1.1826432478988166E-2</v>
      </c>
    </row>
    <row r="584" spans="6:7" x14ac:dyDescent="0.35">
      <c r="F584">
        <v>579</v>
      </c>
      <c r="G584" s="102">
        <f t="shared" ca="1" si="13"/>
        <v>9.210365020383051E-5</v>
      </c>
    </row>
    <row r="585" spans="6:7" x14ac:dyDescent="0.35">
      <c r="F585">
        <v>580</v>
      </c>
      <c r="G585" s="102">
        <f t="shared" ca="1" si="13"/>
        <v>-7.1571971681356414E-2</v>
      </c>
    </row>
    <row r="586" spans="6:7" x14ac:dyDescent="0.35">
      <c r="F586">
        <v>581</v>
      </c>
      <c r="G586" s="102">
        <f t="shared" ca="1" si="13"/>
        <v>-1.7671976191694933E-2</v>
      </c>
    </row>
    <row r="587" spans="6:7" x14ac:dyDescent="0.35">
      <c r="F587">
        <v>582</v>
      </c>
      <c r="G587" s="102">
        <f t="shared" ca="1" si="13"/>
        <v>-0.14003724168227161</v>
      </c>
    </row>
    <row r="588" spans="6:7" x14ac:dyDescent="0.35">
      <c r="F588">
        <v>583</v>
      </c>
      <c r="G588" s="102">
        <f t="shared" ca="1" si="13"/>
        <v>0.1037648399560806</v>
      </c>
    </row>
    <row r="589" spans="6:7" x14ac:dyDescent="0.35">
      <c r="F589">
        <v>584</v>
      </c>
      <c r="G589" s="102">
        <f t="shared" ca="1" si="13"/>
        <v>7.3240379609019135E-2</v>
      </c>
    </row>
    <row r="590" spans="6:7" x14ac:dyDescent="0.35">
      <c r="F590">
        <v>585</v>
      </c>
      <c r="G590" s="102">
        <f t="shared" ca="1" si="13"/>
        <v>-4.2241065070588002E-2</v>
      </c>
    </row>
    <row r="591" spans="6:7" x14ac:dyDescent="0.35">
      <c r="F591">
        <v>586</v>
      </c>
      <c r="G591" s="102">
        <f t="shared" ca="1" si="13"/>
        <v>-7.9917604782204249E-2</v>
      </c>
    </row>
    <row r="592" spans="6:7" x14ac:dyDescent="0.35">
      <c r="F592">
        <v>587</v>
      </c>
      <c r="G592" s="102">
        <f t="shared" ca="1" si="13"/>
        <v>6.7703934254666934E-2</v>
      </c>
    </row>
    <row r="593" spans="6:7" x14ac:dyDescent="0.35">
      <c r="F593">
        <v>588</v>
      </c>
      <c r="G593" s="102">
        <f t="shared" ca="1" si="13"/>
        <v>-0.11253093192948385</v>
      </c>
    </row>
    <row r="594" spans="6:7" x14ac:dyDescent="0.35">
      <c r="F594">
        <v>589</v>
      </c>
      <c r="G594" s="102">
        <f t="shared" ca="1" si="13"/>
        <v>-9.9926758519257697E-2</v>
      </c>
    </row>
    <row r="595" spans="6:7" x14ac:dyDescent="0.35">
      <c r="F595">
        <v>590</v>
      </c>
      <c r="G595" s="102">
        <f t="shared" ca="1" si="13"/>
        <v>-7.2228525268103597E-2</v>
      </c>
    </row>
    <row r="596" spans="6:7" x14ac:dyDescent="0.35">
      <c r="F596">
        <v>591</v>
      </c>
      <c r="G596" s="102">
        <f t="shared" ca="1" si="13"/>
        <v>-2.7893189790397729E-2</v>
      </c>
    </row>
    <row r="597" spans="6:7" x14ac:dyDescent="0.35">
      <c r="F597">
        <v>592</v>
      </c>
      <c r="G597" s="102">
        <f t="shared" ca="1" si="13"/>
        <v>-3.0405440756864074E-2</v>
      </c>
    </row>
    <row r="598" spans="6:7" x14ac:dyDescent="0.35">
      <c r="F598">
        <v>593</v>
      </c>
      <c r="G598" s="102">
        <f t="shared" ca="1" si="13"/>
        <v>-4.5814338772050087E-2</v>
      </c>
    </row>
    <row r="599" spans="6:7" x14ac:dyDescent="0.35">
      <c r="F599">
        <v>594</v>
      </c>
      <c r="G599" s="102">
        <f t="shared" ca="1" si="13"/>
        <v>-2.7750107383830842E-2</v>
      </c>
    </row>
    <row r="600" spans="6:7" x14ac:dyDescent="0.35">
      <c r="F600">
        <v>595</v>
      </c>
      <c r="G600" s="102">
        <f t="shared" ca="1" si="13"/>
        <v>-6.3105688625785077E-3</v>
      </c>
    </row>
    <row r="601" spans="6:7" x14ac:dyDescent="0.35">
      <c r="F601">
        <v>596</v>
      </c>
      <c r="G601" s="102">
        <f t="shared" ca="1" si="13"/>
        <v>-9.3199901278408145E-2</v>
      </c>
    </row>
    <row r="602" spans="6:7" x14ac:dyDescent="0.35">
      <c r="F602">
        <v>597</v>
      </c>
      <c r="G602" s="102">
        <f t="shared" ca="1" si="13"/>
        <v>-0.17567498481946184</v>
      </c>
    </row>
    <row r="603" spans="6:7" x14ac:dyDescent="0.35">
      <c r="F603">
        <v>598</v>
      </c>
      <c r="G603" s="102">
        <f t="shared" ca="1" si="13"/>
        <v>0.13939197304586573</v>
      </c>
    </row>
    <row r="604" spans="6:7" x14ac:dyDescent="0.35">
      <c r="F604">
        <v>599</v>
      </c>
      <c r="G604" s="102">
        <f t="shared" ca="1" si="13"/>
        <v>-1.1936397281235949E-2</v>
      </c>
    </row>
    <row r="605" spans="6:7" x14ac:dyDescent="0.35">
      <c r="F605">
        <v>600</v>
      </c>
      <c r="G605" s="102">
        <f t="shared" ca="1" si="13"/>
        <v>-9.2627539035765039E-3</v>
      </c>
    </row>
    <row r="606" spans="6:7" x14ac:dyDescent="0.35">
      <c r="F606">
        <v>601</v>
      </c>
      <c r="G606" s="102">
        <f t="shared" ca="1" si="13"/>
        <v>-4.1862111555276572E-3</v>
      </c>
    </row>
    <row r="607" spans="6:7" x14ac:dyDescent="0.35">
      <c r="F607">
        <v>602</v>
      </c>
      <c r="G607" s="102">
        <f t="shared" ca="1" si="13"/>
        <v>0.10787704715622809</v>
      </c>
    </row>
    <row r="608" spans="6:7" x14ac:dyDescent="0.35">
      <c r="F608">
        <v>603</v>
      </c>
      <c r="G608" s="102">
        <f t="shared" ca="1" si="13"/>
        <v>1.9020150830835546E-2</v>
      </c>
    </row>
    <row r="609" spans="6:7" x14ac:dyDescent="0.35">
      <c r="F609">
        <v>604</v>
      </c>
      <c r="G609" s="102">
        <f t="shared" ca="1" si="13"/>
        <v>-2.7479194267567061E-2</v>
      </c>
    </row>
    <row r="610" spans="6:7" x14ac:dyDescent="0.35">
      <c r="F610">
        <v>605</v>
      </c>
      <c r="G610" s="102">
        <f t="shared" ca="1" si="13"/>
        <v>5.9769855086867746E-2</v>
      </c>
    </row>
    <row r="611" spans="6:7" x14ac:dyDescent="0.35">
      <c r="F611">
        <v>606</v>
      </c>
      <c r="G611" s="102">
        <f t="shared" ca="1" si="13"/>
        <v>-2.9564710548073324E-2</v>
      </c>
    </row>
    <row r="612" spans="6:7" x14ac:dyDescent="0.35">
      <c r="F612">
        <v>607</v>
      </c>
      <c r="G612" s="102">
        <f t="shared" ca="1" si="13"/>
        <v>5.7333720805990366E-3</v>
      </c>
    </row>
    <row r="613" spans="6:7" x14ac:dyDescent="0.35">
      <c r="F613">
        <v>608</v>
      </c>
      <c r="G613" s="102">
        <f t="shared" ca="1" si="13"/>
        <v>-9.492268299767806E-3</v>
      </c>
    </row>
    <row r="614" spans="6:7" x14ac:dyDescent="0.35">
      <c r="F614">
        <v>609</v>
      </c>
      <c r="G614" s="102">
        <f t="shared" ca="1" si="13"/>
        <v>-5.7817250026718954E-3</v>
      </c>
    </row>
    <row r="615" spans="6:7" x14ac:dyDescent="0.35">
      <c r="F615">
        <v>610</v>
      </c>
      <c r="G615" s="102">
        <f t="shared" ca="1" si="13"/>
        <v>7.4942256497319504E-2</v>
      </c>
    </row>
    <row r="616" spans="6:7" x14ac:dyDescent="0.35">
      <c r="F616">
        <v>611</v>
      </c>
      <c r="G616" s="102">
        <f t="shared" ca="1" si="13"/>
        <v>-4.0625178760334722E-3</v>
      </c>
    </row>
    <row r="617" spans="6:7" x14ac:dyDescent="0.35">
      <c r="F617">
        <v>612</v>
      </c>
      <c r="G617" s="102">
        <f t="shared" ca="1" si="13"/>
        <v>3.384059322852917E-2</v>
      </c>
    </row>
    <row r="618" spans="6:7" x14ac:dyDescent="0.35">
      <c r="F618">
        <v>613</v>
      </c>
      <c r="G618" s="102">
        <f t="shared" ca="1" si="13"/>
        <v>-3.4544829863497759E-2</v>
      </c>
    </row>
    <row r="619" spans="6:7" x14ac:dyDescent="0.35">
      <c r="F619">
        <v>614</v>
      </c>
      <c r="G619" s="102">
        <f t="shared" ca="1" si="13"/>
        <v>-2.436489657671664E-2</v>
      </c>
    </row>
    <row r="620" spans="6:7" x14ac:dyDescent="0.35">
      <c r="F620">
        <v>615</v>
      </c>
      <c r="G620" s="102">
        <f t="shared" ca="1" si="13"/>
        <v>-2.7632246072824732E-2</v>
      </c>
    </row>
    <row r="621" spans="6:7" x14ac:dyDescent="0.35">
      <c r="F621">
        <v>616</v>
      </c>
      <c r="G621" s="102">
        <f t="shared" ca="1" si="13"/>
        <v>-6.1392500699004697E-3</v>
      </c>
    </row>
    <row r="622" spans="6:7" x14ac:dyDescent="0.35">
      <c r="F622">
        <v>617</v>
      </c>
      <c r="G622" s="102">
        <f t="shared" ca="1" si="13"/>
        <v>3.4069625404819018E-2</v>
      </c>
    </row>
    <row r="623" spans="6:7" x14ac:dyDescent="0.35">
      <c r="F623">
        <v>618</v>
      </c>
      <c r="G623" s="102">
        <f t="shared" ca="1" si="13"/>
        <v>4.3476427561771155E-2</v>
      </c>
    </row>
    <row r="624" spans="6:7" x14ac:dyDescent="0.35">
      <c r="F624">
        <v>619</v>
      </c>
      <c r="G624" s="102">
        <f t="shared" ca="1" si="13"/>
        <v>-1.9687728528349123E-2</v>
      </c>
    </row>
    <row r="625" spans="6:7" x14ac:dyDescent="0.35">
      <c r="F625">
        <v>620</v>
      </c>
      <c r="G625" s="102">
        <f t="shared" ca="1" si="13"/>
        <v>-3.4019023810677895E-2</v>
      </c>
    </row>
    <row r="626" spans="6:7" x14ac:dyDescent="0.35">
      <c r="F626">
        <v>621</v>
      </c>
      <c r="G626" s="102">
        <f t="shared" ca="1" si="13"/>
        <v>-0.11044063384952059</v>
      </c>
    </row>
    <row r="627" spans="6:7" x14ac:dyDescent="0.35">
      <c r="F627">
        <v>622</v>
      </c>
      <c r="G627" s="102">
        <f t="shared" ca="1" si="13"/>
        <v>4.2889971459073334E-2</v>
      </c>
    </row>
    <row r="628" spans="6:7" x14ac:dyDescent="0.35">
      <c r="F628">
        <v>623</v>
      </c>
      <c r="G628" s="102">
        <f t="shared" ca="1" si="13"/>
        <v>8.7872215912476917E-2</v>
      </c>
    </row>
    <row r="629" spans="6:7" x14ac:dyDescent="0.35">
      <c r="F629">
        <v>624</v>
      </c>
      <c r="G629" s="102">
        <f t="shared" ca="1" si="13"/>
        <v>-4.4691187383944966E-2</v>
      </c>
    </row>
    <row r="630" spans="6:7" x14ac:dyDescent="0.35">
      <c r="F630">
        <v>625</v>
      </c>
      <c r="G630" s="102">
        <f t="shared" ca="1" si="13"/>
        <v>-6.2235396284970781E-2</v>
      </c>
    </row>
    <row r="631" spans="6:7" x14ac:dyDescent="0.35">
      <c r="F631">
        <v>626</v>
      </c>
      <c r="G631" s="102">
        <f t="shared" ca="1" si="13"/>
        <v>4.1647605273366042E-2</v>
      </c>
    </row>
    <row r="632" spans="6:7" x14ac:dyDescent="0.35">
      <c r="F632">
        <v>627</v>
      </c>
      <c r="G632" s="102">
        <f t="shared" ca="1" si="13"/>
        <v>-2.9848709612994143E-2</v>
      </c>
    </row>
    <row r="633" spans="6:7" x14ac:dyDescent="0.35">
      <c r="F633">
        <v>628</v>
      </c>
      <c r="G633" s="102">
        <f t="shared" ca="1" si="13"/>
        <v>-3.4609272291812959E-2</v>
      </c>
    </row>
    <row r="634" spans="6:7" x14ac:dyDescent="0.35">
      <c r="F634">
        <v>629</v>
      </c>
      <c r="G634" s="102">
        <f t="shared" ca="1" si="13"/>
        <v>-7.4164127297927346E-2</v>
      </c>
    </row>
    <row r="635" spans="6:7" x14ac:dyDescent="0.35">
      <c r="F635">
        <v>630</v>
      </c>
      <c r="G635" s="102">
        <f t="shared" ca="1" si="13"/>
        <v>0.14247791499801205</v>
      </c>
    </row>
    <row r="636" spans="6:7" x14ac:dyDescent="0.35">
      <c r="F636">
        <v>631</v>
      </c>
      <c r="G636" s="102">
        <f t="shared" ca="1" si="13"/>
        <v>-5.8643718637254871E-2</v>
      </c>
    </row>
    <row r="637" spans="6:7" x14ac:dyDescent="0.35">
      <c r="F637">
        <v>632</v>
      </c>
      <c r="G637" s="102">
        <f t="shared" ca="1" si="13"/>
        <v>-5.8279756795897707E-4</v>
      </c>
    </row>
    <row r="638" spans="6:7" x14ac:dyDescent="0.35">
      <c r="F638">
        <v>633</v>
      </c>
      <c r="G638" s="102">
        <f t="shared" ca="1" si="13"/>
        <v>1.3802822720099184E-2</v>
      </c>
    </row>
    <row r="639" spans="6:7" x14ac:dyDescent="0.35">
      <c r="F639">
        <v>634</v>
      </c>
      <c r="G639" s="102">
        <f t="shared" ca="1" si="13"/>
        <v>-6.4000190251662439E-2</v>
      </c>
    </row>
    <row r="640" spans="6:7" x14ac:dyDescent="0.35">
      <c r="F640">
        <v>635</v>
      </c>
      <c r="G640" s="102">
        <f t="shared" ca="1" si="13"/>
        <v>8.9756190536247227E-2</v>
      </c>
    </row>
    <row r="641" spans="6:7" x14ac:dyDescent="0.35">
      <c r="F641">
        <v>636</v>
      </c>
      <c r="G641" s="102">
        <f t="shared" ca="1" si="13"/>
        <v>-8.338598594841376E-2</v>
      </c>
    </row>
    <row r="642" spans="6:7" x14ac:dyDescent="0.35">
      <c r="F642">
        <v>637</v>
      </c>
      <c r="G642" s="102">
        <f t="shared" ca="1" si="13"/>
        <v>0.13119103051304509</v>
      </c>
    </row>
    <row r="643" spans="6:7" x14ac:dyDescent="0.35">
      <c r="F643">
        <v>638</v>
      </c>
      <c r="G643" s="102">
        <f t="shared" ca="1" si="13"/>
        <v>-4.6979720026461572E-2</v>
      </c>
    </row>
    <row r="644" spans="6:7" x14ac:dyDescent="0.35">
      <c r="F644">
        <v>639</v>
      </c>
      <c r="G644" s="102">
        <f t="shared" ca="1" si="13"/>
        <v>7.3715525897376941E-2</v>
      </c>
    </row>
    <row r="645" spans="6:7" x14ac:dyDescent="0.35">
      <c r="F645">
        <v>640</v>
      </c>
      <c r="G645" s="102">
        <f t="shared" ca="1" si="13"/>
        <v>-3.2085479189455292E-2</v>
      </c>
    </row>
    <row r="646" spans="6:7" x14ac:dyDescent="0.35">
      <c r="F646">
        <v>641</v>
      </c>
      <c r="G646" s="102">
        <f t="shared" ca="1" si="13"/>
        <v>0.11484583304044829</v>
      </c>
    </row>
    <row r="647" spans="6:7" x14ac:dyDescent="0.35">
      <c r="F647">
        <v>642</v>
      </c>
      <c r="G647" s="102">
        <f t="shared" ref="G647:G710" ca="1" si="14">_xlfn.NORM.INV(RAND(),M$9,M$10)</f>
        <v>1.0941806524066712E-2</v>
      </c>
    </row>
    <row r="648" spans="6:7" x14ac:dyDescent="0.35">
      <c r="F648">
        <v>643</v>
      </c>
      <c r="G648" s="102">
        <f t="shared" ca="1" si="14"/>
        <v>5.3009621641229951E-2</v>
      </c>
    </row>
    <row r="649" spans="6:7" x14ac:dyDescent="0.35">
      <c r="F649">
        <v>644</v>
      </c>
      <c r="G649" s="102">
        <f t="shared" ca="1" si="14"/>
        <v>5.1858740889224847E-2</v>
      </c>
    </row>
    <row r="650" spans="6:7" x14ac:dyDescent="0.35">
      <c r="F650">
        <v>645</v>
      </c>
      <c r="G650" s="102">
        <f t="shared" ca="1" si="14"/>
        <v>-0.12444327048468404</v>
      </c>
    </row>
    <row r="651" spans="6:7" x14ac:dyDescent="0.35">
      <c r="F651">
        <v>646</v>
      </c>
      <c r="G651" s="102">
        <f t="shared" ca="1" si="14"/>
        <v>-5.2791587547270629E-3</v>
      </c>
    </row>
    <row r="652" spans="6:7" x14ac:dyDescent="0.35">
      <c r="F652">
        <v>647</v>
      </c>
      <c r="G652" s="102">
        <f t="shared" ca="1" si="14"/>
        <v>-1.0812670489271125E-2</v>
      </c>
    </row>
    <row r="653" spans="6:7" x14ac:dyDescent="0.35">
      <c r="F653">
        <v>648</v>
      </c>
      <c r="G653" s="102">
        <f t="shared" ca="1" si="14"/>
        <v>-4.8391564743386864E-2</v>
      </c>
    </row>
    <row r="654" spans="6:7" x14ac:dyDescent="0.35">
      <c r="F654">
        <v>649</v>
      </c>
      <c r="G654" s="102">
        <f t="shared" ca="1" si="14"/>
        <v>2.9759525815504183E-2</v>
      </c>
    </row>
    <row r="655" spans="6:7" x14ac:dyDescent="0.35">
      <c r="F655">
        <v>650</v>
      </c>
      <c r="G655" s="102">
        <f t="shared" ca="1" si="14"/>
        <v>-0.11749645247271209</v>
      </c>
    </row>
    <row r="656" spans="6:7" x14ac:dyDescent="0.35">
      <c r="F656">
        <v>651</v>
      </c>
      <c r="G656" s="102">
        <f t="shared" ca="1" si="14"/>
        <v>-4.0812931757803012E-2</v>
      </c>
    </row>
    <row r="657" spans="6:7" x14ac:dyDescent="0.35">
      <c r="F657">
        <v>652</v>
      </c>
      <c r="G657" s="102">
        <f t="shared" ca="1" si="14"/>
        <v>-5.5293168438157278E-2</v>
      </c>
    </row>
    <row r="658" spans="6:7" x14ac:dyDescent="0.35">
      <c r="F658">
        <v>653</v>
      </c>
      <c r="G658" s="102">
        <f t="shared" ca="1" si="14"/>
        <v>4.2776598852772602E-2</v>
      </c>
    </row>
    <row r="659" spans="6:7" x14ac:dyDescent="0.35">
      <c r="F659">
        <v>654</v>
      </c>
      <c r="G659" s="102">
        <f t="shared" ca="1" si="14"/>
        <v>-6.4679148324143315E-2</v>
      </c>
    </row>
    <row r="660" spans="6:7" x14ac:dyDescent="0.35">
      <c r="F660">
        <v>655</v>
      </c>
      <c r="G660" s="102">
        <f t="shared" ca="1" si="14"/>
        <v>-5.5691510951944509E-2</v>
      </c>
    </row>
    <row r="661" spans="6:7" x14ac:dyDescent="0.35">
      <c r="F661">
        <v>656</v>
      </c>
      <c r="G661" s="102">
        <f t="shared" ca="1" si="14"/>
        <v>-4.4550047046503713E-3</v>
      </c>
    </row>
    <row r="662" spans="6:7" x14ac:dyDescent="0.35">
      <c r="F662">
        <v>657</v>
      </c>
      <c r="G662" s="102">
        <f t="shared" ca="1" si="14"/>
        <v>2.4109245255440153E-2</v>
      </c>
    </row>
    <row r="663" spans="6:7" x14ac:dyDescent="0.35">
      <c r="F663">
        <v>658</v>
      </c>
      <c r="G663" s="102">
        <f t="shared" ca="1" si="14"/>
        <v>3.1776252902745855E-2</v>
      </c>
    </row>
    <row r="664" spans="6:7" x14ac:dyDescent="0.35">
      <c r="F664">
        <v>659</v>
      </c>
      <c r="G664" s="102">
        <f t="shared" ca="1" si="14"/>
        <v>4.4379715157085511E-2</v>
      </c>
    </row>
    <row r="665" spans="6:7" x14ac:dyDescent="0.35">
      <c r="F665">
        <v>660</v>
      </c>
      <c r="G665" s="102">
        <f t="shared" ca="1" si="14"/>
        <v>-3.1497615082138344E-2</v>
      </c>
    </row>
    <row r="666" spans="6:7" x14ac:dyDescent="0.35">
      <c r="F666">
        <v>661</v>
      </c>
      <c r="G666" s="102">
        <f t="shared" ca="1" si="14"/>
        <v>6.4579823565173635E-3</v>
      </c>
    </row>
    <row r="667" spans="6:7" x14ac:dyDescent="0.35">
      <c r="F667">
        <v>662</v>
      </c>
      <c r="G667" s="102">
        <f t="shared" ca="1" si="14"/>
        <v>-4.3073401044662729E-2</v>
      </c>
    </row>
    <row r="668" spans="6:7" x14ac:dyDescent="0.35">
      <c r="F668">
        <v>663</v>
      </c>
      <c r="G668" s="102">
        <f t="shared" ca="1" si="14"/>
        <v>5.9666257078032178E-2</v>
      </c>
    </row>
    <row r="669" spans="6:7" x14ac:dyDescent="0.35">
      <c r="F669">
        <v>664</v>
      </c>
      <c r="G669" s="102">
        <f t="shared" ca="1" si="14"/>
        <v>0.10942926344587206</v>
      </c>
    </row>
    <row r="670" spans="6:7" x14ac:dyDescent="0.35">
      <c r="F670">
        <v>665</v>
      </c>
      <c r="G670" s="102">
        <f t="shared" ca="1" si="14"/>
        <v>-1.1762447906198605E-2</v>
      </c>
    </row>
    <row r="671" spans="6:7" x14ac:dyDescent="0.35">
      <c r="F671">
        <v>666</v>
      </c>
      <c r="G671" s="102">
        <f t="shared" ca="1" si="14"/>
        <v>-7.969198105969294E-2</v>
      </c>
    </row>
    <row r="672" spans="6:7" x14ac:dyDescent="0.35">
      <c r="F672">
        <v>667</v>
      </c>
      <c r="G672" s="102">
        <f t="shared" ca="1" si="14"/>
        <v>-3.5330721171565713E-3</v>
      </c>
    </row>
    <row r="673" spans="6:7" x14ac:dyDescent="0.35">
      <c r="F673">
        <v>668</v>
      </c>
      <c r="G673" s="102">
        <f t="shared" ca="1" si="14"/>
        <v>-4.736787212224587E-3</v>
      </c>
    </row>
    <row r="674" spans="6:7" x14ac:dyDescent="0.35">
      <c r="F674">
        <v>669</v>
      </c>
      <c r="G674" s="102">
        <f t="shared" ca="1" si="14"/>
        <v>-3.4568347427626128E-2</v>
      </c>
    </row>
    <row r="675" spans="6:7" x14ac:dyDescent="0.35">
      <c r="F675">
        <v>670</v>
      </c>
      <c r="G675" s="102">
        <f t="shared" ca="1" si="14"/>
        <v>-7.3306630371011317E-2</v>
      </c>
    </row>
    <row r="676" spans="6:7" x14ac:dyDescent="0.35">
      <c r="F676">
        <v>671</v>
      </c>
      <c r="G676" s="102">
        <f t="shared" ca="1" si="14"/>
        <v>-2.2961846200606172E-2</v>
      </c>
    </row>
    <row r="677" spans="6:7" x14ac:dyDescent="0.35">
      <c r="F677">
        <v>672</v>
      </c>
      <c r="G677" s="102">
        <f t="shared" ca="1" si="14"/>
        <v>3.3643790088077663E-2</v>
      </c>
    </row>
    <row r="678" spans="6:7" x14ac:dyDescent="0.35">
      <c r="F678">
        <v>673</v>
      </c>
      <c r="G678" s="102">
        <f t="shared" ca="1" si="14"/>
        <v>1.928693247890791E-2</v>
      </c>
    </row>
    <row r="679" spans="6:7" x14ac:dyDescent="0.35">
      <c r="F679">
        <v>674</v>
      </c>
      <c r="G679" s="102">
        <f t="shared" ca="1" si="14"/>
        <v>3.9566469193984072E-2</v>
      </c>
    </row>
    <row r="680" spans="6:7" x14ac:dyDescent="0.35">
      <c r="F680">
        <v>675</v>
      </c>
      <c r="G680" s="102">
        <f t="shared" ca="1" si="14"/>
        <v>-1.1890621230155237E-2</v>
      </c>
    </row>
    <row r="681" spans="6:7" x14ac:dyDescent="0.35">
      <c r="F681">
        <v>676</v>
      </c>
      <c r="G681" s="102">
        <f t="shared" ca="1" si="14"/>
        <v>5.2901444803017065E-3</v>
      </c>
    </row>
    <row r="682" spans="6:7" x14ac:dyDescent="0.35">
      <c r="F682">
        <v>677</v>
      </c>
      <c r="G682" s="102">
        <f t="shared" ca="1" si="14"/>
        <v>0.10594165877243318</v>
      </c>
    </row>
    <row r="683" spans="6:7" x14ac:dyDescent="0.35">
      <c r="F683">
        <v>678</v>
      </c>
      <c r="G683" s="102">
        <f t="shared" ca="1" si="14"/>
        <v>-6.3408712226426953E-2</v>
      </c>
    </row>
    <row r="684" spans="6:7" x14ac:dyDescent="0.35">
      <c r="F684">
        <v>679</v>
      </c>
      <c r="G684" s="102">
        <f t="shared" ca="1" si="14"/>
        <v>1.7829265723561465E-2</v>
      </c>
    </row>
    <row r="685" spans="6:7" x14ac:dyDescent="0.35">
      <c r="F685">
        <v>680</v>
      </c>
      <c r="G685" s="102">
        <f t="shared" ca="1" si="14"/>
        <v>-1.0392837204781978E-2</v>
      </c>
    </row>
    <row r="686" spans="6:7" x14ac:dyDescent="0.35">
      <c r="F686">
        <v>681</v>
      </c>
      <c r="G686" s="102">
        <f t="shared" ca="1" si="14"/>
        <v>-0.12337877837880563</v>
      </c>
    </row>
    <row r="687" spans="6:7" x14ac:dyDescent="0.35">
      <c r="F687">
        <v>682</v>
      </c>
      <c r="G687" s="102">
        <f t="shared" ca="1" si="14"/>
        <v>-7.2682893593692842E-3</v>
      </c>
    </row>
    <row r="688" spans="6:7" x14ac:dyDescent="0.35">
      <c r="F688">
        <v>683</v>
      </c>
      <c r="G688" s="102">
        <f t="shared" ca="1" si="14"/>
        <v>-5.9171663650253274E-3</v>
      </c>
    </row>
    <row r="689" spans="6:7" x14ac:dyDescent="0.35">
      <c r="F689">
        <v>684</v>
      </c>
      <c r="G689" s="102">
        <f t="shared" ca="1" si="14"/>
        <v>-2.3022143439644739E-2</v>
      </c>
    </row>
    <row r="690" spans="6:7" x14ac:dyDescent="0.35">
      <c r="F690">
        <v>685</v>
      </c>
      <c r="G690" s="102">
        <f t="shared" ca="1" si="14"/>
        <v>3.4747973674661495E-2</v>
      </c>
    </row>
    <row r="691" spans="6:7" x14ac:dyDescent="0.35">
      <c r="F691">
        <v>686</v>
      </c>
      <c r="G691" s="102">
        <f t="shared" ca="1" si="14"/>
        <v>-7.6310315441857263E-2</v>
      </c>
    </row>
    <row r="692" spans="6:7" x14ac:dyDescent="0.35">
      <c r="F692">
        <v>687</v>
      </c>
      <c r="G692" s="102">
        <f t="shared" ca="1" si="14"/>
        <v>-0.10955059165287948</v>
      </c>
    </row>
    <row r="693" spans="6:7" x14ac:dyDescent="0.35">
      <c r="F693">
        <v>688</v>
      </c>
      <c r="G693" s="102">
        <f t="shared" ca="1" si="14"/>
        <v>-8.5304059969292093E-2</v>
      </c>
    </row>
    <row r="694" spans="6:7" x14ac:dyDescent="0.35">
      <c r="F694">
        <v>689</v>
      </c>
      <c r="G694" s="102">
        <f t="shared" ca="1" si="14"/>
        <v>-3.0074657709956865E-2</v>
      </c>
    </row>
    <row r="695" spans="6:7" x14ac:dyDescent="0.35">
      <c r="F695">
        <v>690</v>
      </c>
      <c r="G695" s="102">
        <f t="shared" ca="1" si="14"/>
        <v>-3.668594536139308E-2</v>
      </c>
    </row>
    <row r="696" spans="6:7" x14ac:dyDescent="0.35">
      <c r="F696">
        <v>691</v>
      </c>
      <c r="G696" s="102">
        <f t="shared" ca="1" si="14"/>
        <v>6.3015974621401571E-2</v>
      </c>
    </row>
    <row r="697" spans="6:7" x14ac:dyDescent="0.35">
      <c r="F697">
        <v>692</v>
      </c>
      <c r="G697" s="102">
        <f t="shared" ca="1" si="14"/>
        <v>8.9580493687315355E-2</v>
      </c>
    </row>
    <row r="698" spans="6:7" x14ac:dyDescent="0.35">
      <c r="F698">
        <v>693</v>
      </c>
      <c r="G698" s="102">
        <f t="shared" ca="1" si="14"/>
        <v>7.1570847369227045E-3</v>
      </c>
    </row>
    <row r="699" spans="6:7" x14ac:dyDescent="0.35">
      <c r="F699">
        <v>694</v>
      </c>
      <c r="G699" s="102">
        <f t="shared" ca="1" si="14"/>
        <v>5.927474091123236E-2</v>
      </c>
    </row>
    <row r="700" spans="6:7" x14ac:dyDescent="0.35">
      <c r="F700">
        <v>695</v>
      </c>
      <c r="G700" s="102">
        <f t="shared" ca="1" si="14"/>
        <v>2.42654619917099E-2</v>
      </c>
    </row>
    <row r="701" spans="6:7" x14ac:dyDescent="0.35">
      <c r="F701">
        <v>696</v>
      </c>
      <c r="G701" s="102">
        <f t="shared" ca="1" si="14"/>
        <v>-2.3541313012863167E-2</v>
      </c>
    </row>
    <row r="702" spans="6:7" x14ac:dyDescent="0.35">
      <c r="F702">
        <v>697</v>
      </c>
      <c r="G702" s="102">
        <f t="shared" ca="1" si="14"/>
        <v>-6.7394611198616547E-2</v>
      </c>
    </row>
    <row r="703" spans="6:7" x14ac:dyDescent="0.35">
      <c r="F703">
        <v>698</v>
      </c>
      <c r="G703" s="102">
        <f t="shared" ca="1" si="14"/>
        <v>4.139971365294641E-2</v>
      </c>
    </row>
    <row r="704" spans="6:7" x14ac:dyDescent="0.35">
      <c r="F704">
        <v>699</v>
      </c>
      <c r="G704" s="102">
        <f t="shared" ca="1" si="14"/>
        <v>-5.2622273778794082E-2</v>
      </c>
    </row>
    <row r="705" spans="6:7" x14ac:dyDescent="0.35">
      <c r="F705">
        <v>700</v>
      </c>
      <c r="G705" s="102">
        <f t="shared" ca="1" si="14"/>
        <v>-3.1188324620837378E-2</v>
      </c>
    </row>
    <row r="706" spans="6:7" x14ac:dyDescent="0.35">
      <c r="F706">
        <v>701</v>
      </c>
      <c r="G706" s="102">
        <f t="shared" ca="1" si="14"/>
        <v>3.4277570572242289E-2</v>
      </c>
    </row>
    <row r="707" spans="6:7" x14ac:dyDescent="0.35">
      <c r="F707">
        <v>702</v>
      </c>
      <c r="G707" s="102">
        <f t="shared" ca="1" si="14"/>
        <v>-1.6945638892921933E-2</v>
      </c>
    </row>
    <row r="708" spans="6:7" x14ac:dyDescent="0.35">
      <c r="F708">
        <v>703</v>
      </c>
      <c r="G708" s="102">
        <f t="shared" ca="1" si="14"/>
        <v>-6.5957437626140468E-3</v>
      </c>
    </row>
    <row r="709" spans="6:7" x14ac:dyDescent="0.35">
      <c r="F709">
        <v>704</v>
      </c>
      <c r="G709" s="102">
        <f t="shared" ca="1" si="14"/>
        <v>-8.3589230400976836E-2</v>
      </c>
    </row>
    <row r="710" spans="6:7" x14ac:dyDescent="0.35">
      <c r="F710">
        <v>705</v>
      </c>
      <c r="G710" s="102">
        <f t="shared" ca="1" si="14"/>
        <v>4.0029729889467847E-2</v>
      </c>
    </row>
    <row r="711" spans="6:7" x14ac:dyDescent="0.35">
      <c r="F711">
        <v>706</v>
      </c>
      <c r="G711" s="102">
        <f t="shared" ref="G711:G774" ca="1" si="15">_xlfn.NORM.INV(RAND(),M$9,M$10)</f>
        <v>-2.5017782735008962E-2</v>
      </c>
    </row>
    <row r="712" spans="6:7" x14ac:dyDescent="0.35">
      <c r="F712">
        <v>707</v>
      </c>
      <c r="G712" s="102">
        <f t="shared" ca="1" si="15"/>
        <v>-3.3125298622369397E-2</v>
      </c>
    </row>
    <row r="713" spans="6:7" x14ac:dyDescent="0.35">
      <c r="F713">
        <v>708</v>
      </c>
      <c r="G713" s="102">
        <f t="shared" ca="1" si="15"/>
        <v>-2.1211483135002186E-2</v>
      </c>
    </row>
    <row r="714" spans="6:7" x14ac:dyDescent="0.35">
      <c r="F714">
        <v>709</v>
      </c>
      <c r="G714" s="102">
        <f t="shared" ca="1" si="15"/>
        <v>1.4685067089598394E-2</v>
      </c>
    </row>
    <row r="715" spans="6:7" x14ac:dyDescent="0.35">
      <c r="F715">
        <v>710</v>
      </c>
      <c r="G715" s="102">
        <f t="shared" ca="1" si="15"/>
        <v>0.12879043828559975</v>
      </c>
    </row>
    <row r="716" spans="6:7" x14ac:dyDescent="0.35">
      <c r="F716">
        <v>711</v>
      </c>
      <c r="G716" s="102">
        <f t="shared" ca="1" si="15"/>
        <v>0.11930979869643149</v>
      </c>
    </row>
    <row r="717" spans="6:7" x14ac:dyDescent="0.35">
      <c r="F717">
        <v>712</v>
      </c>
      <c r="G717" s="102">
        <f t="shared" ca="1" si="15"/>
        <v>1.0591488418093039E-2</v>
      </c>
    </row>
    <row r="718" spans="6:7" x14ac:dyDescent="0.35">
      <c r="F718">
        <v>713</v>
      </c>
      <c r="G718" s="102">
        <f t="shared" ca="1" si="15"/>
        <v>-4.1843479482861531E-2</v>
      </c>
    </row>
    <row r="719" spans="6:7" x14ac:dyDescent="0.35">
      <c r="F719">
        <v>714</v>
      </c>
      <c r="G719" s="102">
        <f t="shared" ca="1" si="15"/>
        <v>-4.2330018555396054E-3</v>
      </c>
    </row>
    <row r="720" spans="6:7" x14ac:dyDescent="0.35">
      <c r="F720">
        <v>715</v>
      </c>
      <c r="G720" s="102">
        <f t="shared" ca="1" si="15"/>
        <v>0.11772430329146573</v>
      </c>
    </row>
    <row r="721" spans="6:7" x14ac:dyDescent="0.35">
      <c r="F721">
        <v>716</v>
      </c>
      <c r="G721" s="102">
        <f t="shared" ca="1" si="15"/>
        <v>5.0306442017648625E-2</v>
      </c>
    </row>
    <row r="722" spans="6:7" x14ac:dyDescent="0.35">
      <c r="F722">
        <v>717</v>
      </c>
      <c r="G722" s="102">
        <f t="shared" ca="1" si="15"/>
        <v>2.9592321228101365E-2</v>
      </c>
    </row>
    <row r="723" spans="6:7" x14ac:dyDescent="0.35">
      <c r="F723">
        <v>718</v>
      </c>
      <c r="G723" s="102">
        <f t="shared" ca="1" si="15"/>
        <v>-4.2851753392416786E-2</v>
      </c>
    </row>
    <row r="724" spans="6:7" x14ac:dyDescent="0.35">
      <c r="F724">
        <v>719</v>
      </c>
      <c r="G724" s="102">
        <f t="shared" ca="1" si="15"/>
        <v>8.4801943848018507E-2</v>
      </c>
    </row>
    <row r="725" spans="6:7" x14ac:dyDescent="0.35">
      <c r="F725">
        <v>720</v>
      </c>
      <c r="G725" s="102">
        <f t="shared" ca="1" si="15"/>
        <v>5.2150367296367947E-2</v>
      </c>
    </row>
    <row r="726" spans="6:7" x14ac:dyDescent="0.35">
      <c r="F726">
        <v>721</v>
      </c>
      <c r="G726" s="102">
        <f t="shared" ca="1" si="15"/>
        <v>-4.8638788761927371E-2</v>
      </c>
    </row>
    <row r="727" spans="6:7" x14ac:dyDescent="0.35">
      <c r="F727">
        <v>722</v>
      </c>
      <c r="G727" s="102">
        <f t="shared" ca="1" si="15"/>
        <v>5.7089966720992924E-2</v>
      </c>
    </row>
    <row r="728" spans="6:7" x14ac:dyDescent="0.35">
      <c r="F728">
        <v>723</v>
      </c>
      <c r="G728" s="102">
        <f t="shared" ca="1" si="15"/>
        <v>-7.1305648024458129E-2</v>
      </c>
    </row>
    <row r="729" spans="6:7" x14ac:dyDescent="0.35">
      <c r="F729">
        <v>724</v>
      </c>
      <c r="G729" s="102">
        <f t="shared" ca="1" si="15"/>
        <v>1.6025880301436202E-2</v>
      </c>
    </row>
    <row r="730" spans="6:7" x14ac:dyDescent="0.35">
      <c r="F730">
        <v>725</v>
      </c>
      <c r="G730" s="102">
        <f t="shared" ca="1" si="15"/>
        <v>-2.4254688613099266E-2</v>
      </c>
    </row>
    <row r="731" spans="6:7" x14ac:dyDescent="0.35">
      <c r="F731">
        <v>726</v>
      </c>
      <c r="G731" s="102">
        <f t="shared" ca="1" si="15"/>
        <v>-3.4368614582049012E-2</v>
      </c>
    </row>
    <row r="732" spans="6:7" x14ac:dyDescent="0.35">
      <c r="F732">
        <v>727</v>
      </c>
      <c r="G732" s="102">
        <f t="shared" ca="1" si="15"/>
        <v>3.5784358433744862E-2</v>
      </c>
    </row>
    <row r="733" spans="6:7" x14ac:dyDescent="0.35">
      <c r="F733">
        <v>728</v>
      </c>
      <c r="G733" s="102">
        <f t="shared" ca="1" si="15"/>
        <v>-2.9267138082776426E-2</v>
      </c>
    </row>
    <row r="734" spans="6:7" x14ac:dyDescent="0.35">
      <c r="F734">
        <v>729</v>
      </c>
      <c r="G734" s="102">
        <f t="shared" ca="1" si="15"/>
        <v>0.11967285829816883</v>
      </c>
    </row>
    <row r="735" spans="6:7" x14ac:dyDescent="0.35">
      <c r="F735">
        <v>730</v>
      </c>
      <c r="G735" s="102">
        <f t="shared" ca="1" si="15"/>
        <v>-7.6483898065661554E-2</v>
      </c>
    </row>
    <row r="736" spans="6:7" x14ac:dyDescent="0.35">
      <c r="F736">
        <v>731</v>
      </c>
      <c r="G736" s="102">
        <f t="shared" ca="1" si="15"/>
        <v>-1.9660206898950476E-2</v>
      </c>
    </row>
    <row r="737" spans="6:7" x14ac:dyDescent="0.35">
      <c r="F737">
        <v>732</v>
      </c>
      <c r="G737" s="102">
        <f t="shared" ca="1" si="15"/>
        <v>-3.4468042728558551E-2</v>
      </c>
    </row>
    <row r="738" spans="6:7" x14ac:dyDescent="0.35">
      <c r="F738">
        <v>733</v>
      </c>
      <c r="G738" s="102">
        <f t="shared" ca="1" si="15"/>
        <v>-5.31688211152547E-2</v>
      </c>
    </row>
    <row r="739" spans="6:7" x14ac:dyDescent="0.35">
      <c r="F739">
        <v>734</v>
      </c>
      <c r="G739" s="102">
        <f t="shared" ca="1" si="15"/>
        <v>-2.445547673815255E-2</v>
      </c>
    </row>
    <row r="740" spans="6:7" x14ac:dyDescent="0.35">
      <c r="F740">
        <v>735</v>
      </c>
      <c r="G740" s="102">
        <f t="shared" ca="1" si="15"/>
        <v>-9.259903381781244E-2</v>
      </c>
    </row>
    <row r="741" spans="6:7" x14ac:dyDescent="0.35">
      <c r="F741">
        <v>736</v>
      </c>
      <c r="G741" s="102">
        <f t="shared" ca="1" si="15"/>
        <v>0.13198329467637848</v>
      </c>
    </row>
    <row r="742" spans="6:7" x14ac:dyDescent="0.35">
      <c r="F742">
        <v>737</v>
      </c>
      <c r="G742" s="102">
        <f t="shared" ca="1" si="15"/>
        <v>3.5581272262081035E-2</v>
      </c>
    </row>
    <row r="743" spans="6:7" x14ac:dyDescent="0.35">
      <c r="F743">
        <v>738</v>
      </c>
      <c r="G743" s="102">
        <f t="shared" ca="1" si="15"/>
        <v>7.6178161457012658E-2</v>
      </c>
    </row>
    <row r="744" spans="6:7" x14ac:dyDescent="0.35">
      <c r="F744">
        <v>739</v>
      </c>
      <c r="G744" s="102">
        <f t="shared" ca="1" si="15"/>
        <v>-6.8965505354209242E-2</v>
      </c>
    </row>
    <row r="745" spans="6:7" x14ac:dyDescent="0.35">
      <c r="F745">
        <v>740</v>
      </c>
      <c r="G745" s="102">
        <f t="shared" ca="1" si="15"/>
        <v>3.727202057075292E-2</v>
      </c>
    </row>
    <row r="746" spans="6:7" x14ac:dyDescent="0.35">
      <c r="F746">
        <v>741</v>
      </c>
      <c r="G746" s="102">
        <f t="shared" ca="1" si="15"/>
        <v>5.105957545745006E-3</v>
      </c>
    </row>
    <row r="747" spans="6:7" x14ac:dyDescent="0.35">
      <c r="F747">
        <v>742</v>
      </c>
      <c r="G747" s="102">
        <f t="shared" ca="1" si="15"/>
        <v>-4.884319635730465E-2</v>
      </c>
    </row>
    <row r="748" spans="6:7" x14ac:dyDescent="0.35">
      <c r="F748">
        <v>743</v>
      </c>
      <c r="G748" s="102">
        <f t="shared" ca="1" si="15"/>
        <v>-5.6321148426119627E-2</v>
      </c>
    </row>
    <row r="749" spans="6:7" x14ac:dyDescent="0.35">
      <c r="F749">
        <v>744</v>
      </c>
      <c r="G749" s="102">
        <f t="shared" ca="1" si="15"/>
        <v>4.0081301358151758E-2</v>
      </c>
    </row>
    <row r="750" spans="6:7" x14ac:dyDescent="0.35">
      <c r="F750">
        <v>745</v>
      </c>
      <c r="G750" s="102">
        <f t="shared" ca="1" si="15"/>
        <v>-2.4022872602775129E-2</v>
      </c>
    </row>
    <row r="751" spans="6:7" x14ac:dyDescent="0.35">
      <c r="F751">
        <v>746</v>
      </c>
      <c r="G751" s="102">
        <f t="shared" ca="1" si="15"/>
        <v>7.5538984437483296E-3</v>
      </c>
    </row>
    <row r="752" spans="6:7" x14ac:dyDescent="0.35">
      <c r="F752">
        <v>747</v>
      </c>
      <c r="G752" s="102">
        <f t="shared" ca="1" si="15"/>
        <v>1.7210693204993369E-2</v>
      </c>
    </row>
    <row r="753" spans="6:7" x14ac:dyDescent="0.35">
      <c r="F753">
        <v>748</v>
      </c>
      <c r="G753" s="102">
        <f t="shared" ca="1" si="15"/>
        <v>-0.14050707967171955</v>
      </c>
    </row>
    <row r="754" spans="6:7" x14ac:dyDescent="0.35">
      <c r="F754">
        <v>749</v>
      </c>
      <c r="G754" s="102">
        <f t="shared" ca="1" si="15"/>
        <v>-3.2043738895692342E-3</v>
      </c>
    </row>
    <row r="755" spans="6:7" x14ac:dyDescent="0.35">
      <c r="F755">
        <v>750</v>
      </c>
      <c r="G755" s="102">
        <f t="shared" ca="1" si="15"/>
        <v>2.2877470202313881E-2</v>
      </c>
    </row>
    <row r="756" spans="6:7" x14ac:dyDescent="0.35">
      <c r="F756">
        <v>751</v>
      </c>
      <c r="G756" s="102">
        <f t="shared" ca="1" si="15"/>
        <v>-1.7563124334788023E-2</v>
      </c>
    </row>
    <row r="757" spans="6:7" x14ac:dyDescent="0.35">
      <c r="F757">
        <v>752</v>
      </c>
      <c r="G757" s="102">
        <f t="shared" ca="1" si="15"/>
        <v>0.10151308928333623</v>
      </c>
    </row>
    <row r="758" spans="6:7" x14ac:dyDescent="0.35">
      <c r="F758">
        <v>753</v>
      </c>
      <c r="G758" s="102">
        <f t="shared" ca="1" si="15"/>
        <v>-9.8523377955240743E-2</v>
      </c>
    </row>
    <row r="759" spans="6:7" x14ac:dyDescent="0.35">
      <c r="F759">
        <v>754</v>
      </c>
      <c r="G759" s="102">
        <f t="shared" ca="1" si="15"/>
        <v>3.8064505017516334E-2</v>
      </c>
    </row>
    <row r="760" spans="6:7" x14ac:dyDescent="0.35">
      <c r="F760">
        <v>755</v>
      </c>
      <c r="G760" s="102">
        <f t="shared" ca="1" si="15"/>
        <v>-1.6741681966705203E-2</v>
      </c>
    </row>
    <row r="761" spans="6:7" x14ac:dyDescent="0.35">
      <c r="F761">
        <v>756</v>
      </c>
      <c r="G761" s="102">
        <f t="shared" ca="1" si="15"/>
        <v>6.5854780693501661E-2</v>
      </c>
    </row>
    <row r="762" spans="6:7" x14ac:dyDescent="0.35">
      <c r="F762">
        <v>757</v>
      </c>
      <c r="G762" s="102">
        <f t="shared" ca="1" si="15"/>
        <v>-7.333923739471776E-2</v>
      </c>
    </row>
    <row r="763" spans="6:7" x14ac:dyDescent="0.35">
      <c r="F763">
        <v>758</v>
      </c>
      <c r="G763" s="102">
        <f t="shared" ca="1" si="15"/>
        <v>-6.3973849025400251E-2</v>
      </c>
    </row>
    <row r="764" spans="6:7" x14ac:dyDescent="0.35">
      <c r="F764">
        <v>759</v>
      </c>
      <c r="G764" s="102">
        <f t="shared" ca="1" si="15"/>
        <v>9.5434426039843808E-3</v>
      </c>
    </row>
    <row r="765" spans="6:7" x14ac:dyDescent="0.35">
      <c r="F765">
        <v>760</v>
      </c>
      <c r="G765" s="102">
        <f t="shared" ca="1" si="15"/>
        <v>8.9398900844239709E-2</v>
      </c>
    </row>
    <row r="766" spans="6:7" x14ac:dyDescent="0.35">
      <c r="F766">
        <v>761</v>
      </c>
      <c r="G766" s="102">
        <f t="shared" ca="1" si="15"/>
        <v>3.9944611498480692E-2</v>
      </c>
    </row>
    <row r="767" spans="6:7" x14ac:dyDescent="0.35">
      <c r="F767">
        <v>762</v>
      </c>
      <c r="G767" s="102">
        <f t="shared" ca="1" si="15"/>
        <v>6.7072940431137415E-2</v>
      </c>
    </row>
    <row r="768" spans="6:7" x14ac:dyDescent="0.35">
      <c r="F768">
        <v>763</v>
      </c>
      <c r="G768" s="102">
        <f t="shared" ca="1" si="15"/>
        <v>-4.2750872092482559E-2</v>
      </c>
    </row>
    <row r="769" spans="6:7" x14ac:dyDescent="0.35">
      <c r="F769">
        <v>764</v>
      </c>
      <c r="G769" s="102">
        <f t="shared" ca="1" si="15"/>
        <v>3.5343189079813597E-2</v>
      </c>
    </row>
    <row r="770" spans="6:7" x14ac:dyDescent="0.35">
      <c r="F770">
        <v>765</v>
      </c>
      <c r="G770" s="102">
        <f t="shared" ca="1" si="15"/>
        <v>-4.1571477692937703E-2</v>
      </c>
    </row>
    <row r="771" spans="6:7" x14ac:dyDescent="0.35">
      <c r="F771">
        <v>766</v>
      </c>
      <c r="G771" s="102">
        <f t="shared" ca="1" si="15"/>
        <v>4.4135691423807022E-2</v>
      </c>
    </row>
    <row r="772" spans="6:7" x14ac:dyDescent="0.35">
      <c r="F772">
        <v>767</v>
      </c>
      <c r="G772" s="102">
        <f t="shared" ca="1" si="15"/>
        <v>-6.0127477270895374E-2</v>
      </c>
    </row>
    <row r="773" spans="6:7" x14ac:dyDescent="0.35">
      <c r="F773">
        <v>768</v>
      </c>
      <c r="G773" s="102">
        <f t="shared" ca="1" si="15"/>
        <v>-0.13528541478377271</v>
      </c>
    </row>
    <row r="774" spans="6:7" x14ac:dyDescent="0.35">
      <c r="F774">
        <v>769</v>
      </c>
      <c r="G774" s="102">
        <f t="shared" ca="1" si="15"/>
        <v>-1.2493284408223185E-2</v>
      </c>
    </row>
    <row r="775" spans="6:7" x14ac:dyDescent="0.35">
      <c r="F775">
        <v>770</v>
      </c>
      <c r="G775" s="102">
        <f t="shared" ref="G775:G838" ca="1" si="16">_xlfn.NORM.INV(RAND(),M$9,M$10)</f>
        <v>-8.2972388997454724E-2</v>
      </c>
    </row>
    <row r="776" spans="6:7" x14ac:dyDescent="0.35">
      <c r="F776">
        <v>771</v>
      </c>
      <c r="G776" s="102">
        <f t="shared" ca="1" si="16"/>
        <v>-3.7679990377726569E-2</v>
      </c>
    </row>
    <row r="777" spans="6:7" x14ac:dyDescent="0.35">
      <c r="F777">
        <v>772</v>
      </c>
      <c r="G777" s="102">
        <f t="shared" ca="1" si="16"/>
        <v>2.1848160513150142E-2</v>
      </c>
    </row>
    <row r="778" spans="6:7" x14ac:dyDescent="0.35">
      <c r="F778">
        <v>773</v>
      </c>
      <c r="G778" s="102">
        <f t="shared" ca="1" si="16"/>
        <v>8.5377093973437651E-2</v>
      </c>
    </row>
    <row r="779" spans="6:7" x14ac:dyDescent="0.35">
      <c r="F779">
        <v>774</v>
      </c>
      <c r="G779" s="102">
        <f t="shared" ca="1" si="16"/>
        <v>-0.15799731911133738</v>
      </c>
    </row>
    <row r="780" spans="6:7" x14ac:dyDescent="0.35">
      <c r="F780">
        <v>775</v>
      </c>
      <c r="G780" s="102">
        <f t="shared" ca="1" si="16"/>
        <v>-6.3967489514579715E-2</v>
      </c>
    </row>
    <row r="781" spans="6:7" x14ac:dyDescent="0.35">
      <c r="F781">
        <v>776</v>
      </c>
      <c r="G781" s="102">
        <f t="shared" ca="1" si="16"/>
        <v>-3.7518261974589823E-2</v>
      </c>
    </row>
    <row r="782" spans="6:7" x14ac:dyDescent="0.35">
      <c r="F782">
        <v>777</v>
      </c>
      <c r="G782" s="102">
        <f t="shared" ca="1" si="16"/>
        <v>-0.11207140959573957</v>
      </c>
    </row>
    <row r="783" spans="6:7" x14ac:dyDescent="0.35">
      <c r="F783">
        <v>778</v>
      </c>
      <c r="G783" s="102">
        <f t="shared" ca="1" si="16"/>
        <v>3.1470756347093398E-2</v>
      </c>
    </row>
    <row r="784" spans="6:7" x14ac:dyDescent="0.35">
      <c r="F784">
        <v>779</v>
      </c>
      <c r="G784" s="102">
        <f t="shared" ca="1" si="16"/>
        <v>8.789903602800557E-2</v>
      </c>
    </row>
    <row r="785" spans="6:7" x14ac:dyDescent="0.35">
      <c r="F785">
        <v>780</v>
      </c>
      <c r="G785" s="102">
        <f t="shared" ca="1" si="16"/>
        <v>-4.6536159478307373E-2</v>
      </c>
    </row>
    <row r="786" spans="6:7" x14ac:dyDescent="0.35">
      <c r="F786">
        <v>781</v>
      </c>
      <c r="G786" s="102">
        <f t="shared" ca="1" si="16"/>
        <v>6.1953508747136274E-2</v>
      </c>
    </row>
    <row r="787" spans="6:7" x14ac:dyDescent="0.35">
      <c r="F787">
        <v>782</v>
      </c>
      <c r="G787" s="102">
        <f t="shared" ca="1" si="16"/>
        <v>-0.13591363204244342</v>
      </c>
    </row>
    <row r="788" spans="6:7" x14ac:dyDescent="0.35">
      <c r="F788">
        <v>783</v>
      </c>
      <c r="G788" s="102">
        <f t="shared" ca="1" si="16"/>
        <v>3.8224386284324591E-2</v>
      </c>
    </row>
    <row r="789" spans="6:7" x14ac:dyDescent="0.35">
      <c r="F789">
        <v>784</v>
      </c>
      <c r="G789" s="102">
        <f t="shared" ca="1" si="16"/>
        <v>-9.8446728137323705E-2</v>
      </c>
    </row>
    <row r="790" spans="6:7" x14ac:dyDescent="0.35">
      <c r="F790">
        <v>785</v>
      </c>
      <c r="G790" s="102">
        <f t="shared" ca="1" si="16"/>
        <v>-0.12023673500523227</v>
      </c>
    </row>
    <row r="791" spans="6:7" x14ac:dyDescent="0.35">
      <c r="F791">
        <v>786</v>
      </c>
      <c r="G791" s="102">
        <f t="shared" ca="1" si="16"/>
        <v>1.9496615208583763E-2</v>
      </c>
    </row>
    <row r="792" spans="6:7" x14ac:dyDescent="0.35">
      <c r="F792">
        <v>787</v>
      </c>
      <c r="G792" s="102">
        <f t="shared" ca="1" si="16"/>
        <v>1.7877948384110255E-2</v>
      </c>
    </row>
    <row r="793" spans="6:7" x14ac:dyDescent="0.35">
      <c r="F793">
        <v>788</v>
      </c>
      <c r="G793" s="102">
        <f t="shared" ca="1" si="16"/>
        <v>3.6968858720185946E-2</v>
      </c>
    </row>
    <row r="794" spans="6:7" x14ac:dyDescent="0.35">
      <c r="F794">
        <v>789</v>
      </c>
      <c r="G794" s="102">
        <f t="shared" ca="1" si="16"/>
        <v>4.8370220372061637E-2</v>
      </c>
    </row>
    <row r="795" spans="6:7" x14ac:dyDescent="0.35">
      <c r="F795">
        <v>790</v>
      </c>
      <c r="G795" s="102">
        <f t="shared" ca="1" si="16"/>
        <v>0.20745461506168658</v>
      </c>
    </row>
    <row r="796" spans="6:7" x14ac:dyDescent="0.35">
      <c r="F796">
        <v>791</v>
      </c>
      <c r="G796" s="102">
        <f t="shared" ca="1" si="16"/>
        <v>4.7417412832489472E-2</v>
      </c>
    </row>
    <row r="797" spans="6:7" x14ac:dyDescent="0.35">
      <c r="F797">
        <v>792</v>
      </c>
      <c r="G797" s="102">
        <f t="shared" ca="1" si="16"/>
        <v>2.1387651521839482E-2</v>
      </c>
    </row>
    <row r="798" spans="6:7" x14ac:dyDescent="0.35">
      <c r="F798">
        <v>793</v>
      </c>
      <c r="G798" s="102">
        <f t="shared" ca="1" si="16"/>
        <v>-0.115035644886858</v>
      </c>
    </row>
    <row r="799" spans="6:7" x14ac:dyDescent="0.35">
      <c r="F799">
        <v>794</v>
      </c>
      <c r="G799" s="102">
        <f t="shared" ca="1" si="16"/>
        <v>-2.4616382147934591E-2</v>
      </c>
    </row>
    <row r="800" spans="6:7" x14ac:dyDescent="0.35">
      <c r="F800">
        <v>795</v>
      </c>
      <c r="G800" s="102">
        <f t="shared" ca="1" si="16"/>
        <v>-2.7771299046831784E-2</v>
      </c>
    </row>
    <row r="801" spans="6:7" x14ac:dyDescent="0.35">
      <c r="F801">
        <v>796</v>
      </c>
      <c r="G801" s="102">
        <f t="shared" ca="1" si="16"/>
        <v>-5.7842618175321825E-2</v>
      </c>
    </row>
    <row r="802" spans="6:7" x14ac:dyDescent="0.35">
      <c r="F802">
        <v>797</v>
      </c>
      <c r="G802" s="102">
        <f t="shared" ca="1" si="16"/>
        <v>3.2702623576919929E-2</v>
      </c>
    </row>
    <row r="803" spans="6:7" x14ac:dyDescent="0.35">
      <c r="F803">
        <v>798</v>
      </c>
      <c r="G803" s="102">
        <f t="shared" ca="1" si="16"/>
        <v>-8.6095713156472426E-4</v>
      </c>
    </row>
    <row r="804" spans="6:7" x14ac:dyDescent="0.35">
      <c r="F804">
        <v>799</v>
      </c>
      <c r="G804" s="102">
        <f t="shared" ca="1" si="16"/>
        <v>-1.5702239151502536E-2</v>
      </c>
    </row>
    <row r="805" spans="6:7" x14ac:dyDescent="0.35">
      <c r="F805">
        <v>800</v>
      </c>
      <c r="G805" s="102">
        <f t="shared" ca="1" si="16"/>
        <v>7.2909376625599487E-2</v>
      </c>
    </row>
    <row r="806" spans="6:7" x14ac:dyDescent="0.35">
      <c r="F806">
        <v>801</v>
      </c>
      <c r="G806" s="102">
        <f t="shared" ca="1" si="16"/>
        <v>-4.7856237590458123E-2</v>
      </c>
    </row>
    <row r="807" spans="6:7" x14ac:dyDescent="0.35">
      <c r="F807">
        <v>802</v>
      </c>
      <c r="G807" s="102">
        <f t="shared" ca="1" si="16"/>
        <v>0.10152971862389577</v>
      </c>
    </row>
    <row r="808" spans="6:7" x14ac:dyDescent="0.35">
      <c r="F808">
        <v>803</v>
      </c>
      <c r="G808" s="102">
        <f t="shared" ca="1" si="16"/>
        <v>-6.6817316345831818E-3</v>
      </c>
    </row>
    <row r="809" spans="6:7" x14ac:dyDescent="0.35">
      <c r="F809">
        <v>804</v>
      </c>
      <c r="G809" s="102">
        <f t="shared" ca="1" si="16"/>
        <v>6.6430195644767556E-2</v>
      </c>
    </row>
    <row r="810" spans="6:7" x14ac:dyDescent="0.35">
      <c r="F810">
        <v>805</v>
      </c>
      <c r="G810" s="102">
        <f t="shared" ca="1" si="16"/>
        <v>7.7065271782795264E-2</v>
      </c>
    </row>
    <row r="811" spans="6:7" x14ac:dyDescent="0.35">
      <c r="F811">
        <v>806</v>
      </c>
      <c r="G811" s="102">
        <f t="shared" ca="1" si="16"/>
        <v>-2.5874454920204803E-2</v>
      </c>
    </row>
    <row r="812" spans="6:7" x14ac:dyDescent="0.35">
      <c r="F812">
        <v>807</v>
      </c>
      <c r="G812" s="102">
        <f t="shared" ca="1" si="16"/>
        <v>-9.9976957625292524E-3</v>
      </c>
    </row>
    <row r="813" spans="6:7" x14ac:dyDescent="0.35">
      <c r="F813">
        <v>808</v>
      </c>
      <c r="G813" s="102">
        <f t="shared" ca="1" si="16"/>
        <v>-1.9611215519213805E-2</v>
      </c>
    </row>
    <row r="814" spans="6:7" x14ac:dyDescent="0.35">
      <c r="F814">
        <v>809</v>
      </c>
      <c r="G814" s="102">
        <f t="shared" ca="1" si="16"/>
        <v>1.9208193985469756E-2</v>
      </c>
    </row>
    <row r="815" spans="6:7" x14ac:dyDescent="0.35">
      <c r="F815">
        <v>810</v>
      </c>
      <c r="G815" s="102">
        <f t="shared" ca="1" si="16"/>
        <v>2.735270812443593E-4</v>
      </c>
    </row>
    <row r="816" spans="6:7" x14ac:dyDescent="0.35">
      <c r="F816">
        <v>811</v>
      </c>
      <c r="G816" s="102">
        <f t="shared" ca="1" si="16"/>
        <v>-7.3781047449168136E-2</v>
      </c>
    </row>
    <row r="817" spans="6:7" x14ac:dyDescent="0.35">
      <c r="F817">
        <v>812</v>
      </c>
      <c r="G817" s="102">
        <f t="shared" ca="1" si="16"/>
        <v>1.6566575437370907E-2</v>
      </c>
    </row>
    <row r="818" spans="6:7" x14ac:dyDescent="0.35">
      <c r="F818">
        <v>813</v>
      </c>
      <c r="G818" s="102">
        <f t="shared" ca="1" si="16"/>
        <v>-3.8355760181803034E-2</v>
      </c>
    </row>
    <row r="819" spans="6:7" x14ac:dyDescent="0.35">
      <c r="F819">
        <v>814</v>
      </c>
      <c r="G819" s="102">
        <f t="shared" ca="1" si="16"/>
        <v>-3.4140420406394935E-3</v>
      </c>
    </row>
    <row r="820" spans="6:7" x14ac:dyDescent="0.35">
      <c r="F820">
        <v>815</v>
      </c>
      <c r="G820" s="102">
        <f t="shared" ca="1" si="16"/>
        <v>-3.9826241644784183E-2</v>
      </c>
    </row>
    <row r="821" spans="6:7" x14ac:dyDescent="0.35">
      <c r="F821">
        <v>816</v>
      </c>
      <c r="G821" s="102">
        <f t="shared" ca="1" si="16"/>
        <v>2.2815710034293668E-2</v>
      </c>
    </row>
    <row r="822" spans="6:7" x14ac:dyDescent="0.35">
      <c r="F822">
        <v>817</v>
      </c>
      <c r="G822" s="102">
        <f t="shared" ca="1" si="16"/>
        <v>5.735291575097853E-4</v>
      </c>
    </row>
    <row r="823" spans="6:7" x14ac:dyDescent="0.35">
      <c r="F823">
        <v>818</v>
      </c>
      <c r="G823" s="102">
        <f t="shared" ca="1" si="16"/>
        <v>-5.2670368830932221E-2</v>
      </c>
    </row>
    <row r="824" spans="6:7" x14ac:dyDescent="0.35">
      <c r="F824">
        <v>819</v>
      </c>
      <c r="G824" s="102">
        <f t="shared" ca="1" si="16"/>
        <v>8.375248443019194E-2</v>
      </c>
    </row>
    <row r="825" spans="6:7" x14ac:dyDescent="0.35">
      <c r="F825">
        <v>820</v>
      </c>
      <c r="G825" s="102">
        <f t="shared" ca="1" si="16"/>
        <v>-9.2872855100187557E-3</v>
      </c>
    </row>
    <row r="826" spans="6:7" x14ac:dyDescent="0.35">
      <c r="F826">
        <v>821</v>
      </c>
      <c r="G826" s="102">
        <f t="shared" ca="1" si="16"/>
        <v>-6.378371718406961E-2</v>
      </c>
    </row>
    <row r="827" spans="6:7" x14ac:dyDescent="0.35">
      <c r="F827">
        <v>822</v>
      </c>
      <c r="G827" s="102">
        <f t="shared" ca="1" si="16"/>
        <v>-8.7507890284728565E-2</v>
      </c>
    </row>
    <row r="828" spans="6:7" x14ac:dyDescent="0.35">
      <c r="F828">
        <v>823</v>
      </c>
      <c r="G828" s="102">
        <f t="shared" ca="1" si="16"/>
        <v>-1.0230782192445921E-2</v>
      </c>
    </row>
    <row r="829" spans="6:7" x14ac:dyDescent="0.35">
      <c r="F829">
        <v>824</v>
      </c>
      <c r="G829" s="102">
        <f t="shared" ca="1" si="16"/>
        <v>-2.8162484219183572E-2</v>
      </c>
    </row>
    <row r="830" spans="6:7" x14ac:dyDescent="0.35">
      <c r="F830">
        <v>825</v>
      </c>
      <c r="G830" s="102">
        <f t="shared" ca="1" si="16"/>
        <v>2.9046102557653553E-3</v>
      </c>
    </row>
    <row r="831" spans="6:7" x14ac:dyDescent="0.35">
      <c r="F831">
        <v>826</v>
      </c>
      <c r="G831" s="102">
        <f t="shared" ca="1" si="16"/>
        <v>2.6030258428814169E-2</v>
      </c>
    </row>
    <row r="832" spans="6:7" x14ac:dyDescent="0.35">
      <c r="F832">
        <v>827</v>
      </c>
      <c r="G832" s="102">
        <f t="shared" ca="1" si="16"/>
        <v>-4.5208248430361864E-2</v>
      </c>
    </row>
    <row r="833" spans="6:7" x14ac:dyDescent="0.35">
      <c r="F833">
        <v>828</v>
      </c>
      <c r="G833" s="102">
        <f t="shared" ca="1" si="16"/>
        <v>-1.9397309492584159E-2</v>
      </c>
    </row>
    <row r="834" spans="6:7" x14ac:dyDescent="0.35">
      <c r="F834">
        <v>829</v>
      </c>
      <c r="G834" s="102">
        <f t="shared" ca="1" si="16"/>
        <v>-5.4638130523220738E-2</v>
      </c>
    </row>
    <row r="835" spans="6:7" x14ac:dyDescent="0.35">
      <c r="F835">
        <v>830</v>
      </c>
      <c r="G835" s="102">
        <f t="shared" ca="1" si="16"/>
        <v>-1.2096534800845032E-2</v>
      </c>
    </row>
    <row r="836" spans="6:7" x14ac:dyDescent="0.35">
      <c r="F836">
        <v>831</v>
      </c>
      <c r="G836" s="102">
        <f t="shared" ca="1" si="16"/>
        <v>-5.3174252919170398E-3</v>
      </c>
    </row>
    <row r="837" spans="6:7" x14ac:dyDescent="0.35">
      <c r="F837">
        <v>832</v>
      </c>
      <c r="G837" s="102">
        <f t="shared" ca="1" si="16"/>
        <v>-1.7145176713503567E-2</v>
      </c>
    </row>
    <row r="838" spans="6:7" x14ac:dyDescent="0.35">
      <c r="F838">
        <v>833</v>
      </c>
      <c r="G838" s="102">
        <f t="shared" ca="1" si="16"/>
        <v>8.9307861763528312E-2</v>
      </c>
    </row>
    <row r="839" spans="6:7" x14ac:dyDescent="0.35">
      <c r="F839">
        <v>834</v>
      </c>
      <c r="G839" s="102">
        <f t="shared" ref="G839:G902" ca="1" si="17">_xlfn.NORM.INV(RAND(),M$9,M$10)</f>
        <v>-9.8545593318278505E-3</v>
      </c>
    </row>
    <row r="840" spans="6:7" x14ac:dyDescent="0.35">
      <c r="F840">
        <v>835</v>
      </c>
      <c r="G840" s="102">
        <f t="shared" ca="1" si="17"/>
        <v>-5.5465184067308812E-2</v>
      </c>
    </row>
    <row r="841" spans="6:7" x14ac:dyDescent="0.35">
      <c r="F841">
        <v>836</v>
      </c>
      <c r="G841" s="102">
        <f t="shared" ca="1" si="17"/>
        <v>-0.14074573297352849</v>
      </c>
    </row>
    <row r="842" spans="6:7" x14ac:dyDescent="0.35">
      <c r="F842">
        <v>837</v>
      </c>
      <c r="G842" s="102">
        <f t="shared" ca="1" si="17"/>
        <v>9.3013872946288451E-3</v>
      </c>
    </row>
    <row r="843" spans="6:7" x14ac:dyDescent="0.35">
      <c r="F843">
        <v>838</v>
      </c>
      <c r="G843" s="102">
        <f t="shared" ca="1" si="17"/>
        <v>-3.1684698776629837E-3</v>
      </c>
    </row>
    <row r="844" spans="6:7" x14ac:dyDescent="0.35">
      <c r="F844">
        <v>839</v>
      </c>
      <c r="G844" s="102">
        <f t="shared" ca="1" si="17"/>
        <v>3.2523980169012506E-2</v>
      </c>
    </row>
    <row r="845" spans="6:7" x14ac:dyDescent="0.35">
      <c r="F845">
        <v>840</v>
      </c>
      <c r="G845" s="102">
        <f t="shared" ca="1" si="17"/>
        <v>1.7338160762862646E-5</v>
      </c>
    </row>
    <row r="846" spans="6:7" x14ac:dyDescent="0.35">
      <c r="F846">
        <v>841</v>
      </c>
      <c r="G846" s="102">
        <f t="shared" ca="1" si="17"/>
        <v>-8.1742885606814766E-2</v>
      </c>
    </row>
    <row r="847" spans="6:7" x14ac:dyDescent="0.35">
      <c r="F847">
        <v>842</v>
      </c>
      <c r="G847" s="102">
        <f t="shared" ca="1" si="17"/>
        <v>-6.3788355845306233E-2</v>
      </c>
    </row>
    <row r="848" spans="6:7" x14ac:dyDescent="0.35">
      <c r="F848">
        <v>843</v>
      </c>
      <c r="G848" s="102">
        <f t="shared" ca="1" si="17"/>
        <v>-0.14525089883714662</v>
      </c>
    </row>
    <row r="849" spans="6:7" x14ac:dyDescent="0.35">
      <c r="F849">
        <v>844</v>
      </c>
      <c r="G849" s="102">
        <f t="shared" ca="1" si="17"/>
        <v>5.6683508274946226E-2</v>
      </c>
    </row>
    <row r="850" spans="6:7" x14ac:dyDescent="0.35">
      <c r="F850">
        <v>845</v>
      </c>
      <c r="G850" s="102">
        <f t="shared" ca="1" si="17"/>
        <v>-6.1754841037866964E-2</v>
      </c>
    </row>
    <row r="851" spans="6:7" x14ac:dyDescent="0.35">
      <c r="F851">
        <v>846</v>
      </c>
      <c r="G851" s="102">
        <f t="shared" ca="1" si="17"/>
        <v>1.0039559166798539E-2</v>
      </c>
    </row>
    <row r="852" spans="6:7" x14ac:dyDescent="0.35">
      <c r="F852">
        <v>847</v>
      </c>
      <c r="G852" s="102">
        <f t="shared" ca="1" si="17"/>
        <v>-0.12821622862382487</v>
      </c>
    </row>
    <row r="853" spans="6:7" x14ac:dyDescent="0.35">
      <c r="F853">
        <v>848</v>
      </c>
      <c r="G853" s="102">
        <f t="shared" ca="1" si="17"/>
        <v>-5.0001866508518449E-3</v>
      </c>
    </row>
    <row r="854" spans="6:7" x14ac:dyDescent="0.35">
      <c r="F854">
        <v>849</v>
      </c>
      <c r="G854" s="102">
        <f t="shared" ca="1" si="17"/>
        <v>-5.5870197412566269E-2</v>
      </c>
    </row>
    <row r="855" spans="6:7" x14ac:dyDescent="0.35">
      <c r="F855">
        <v>850</v>
      </c>
      <c r="G855" s="102">
        <f t="shared" ca="1" si="17"/>
        <v>6.5096016800692547E-3</v>
      </c>
    </row>
    <row r="856" spans="6:7" x14ac:dyDescent="0.35">
      <c r="F856">
        <v>851</v>
      </c>
      <c r="G856" s="102">
        <f t="shared" ca="1" si="17"/>
        <v>-5.4876345483082112E-3</v>
      </c>
    </row>
    <row r="857" spans="6:7" x14ac:dyDescent="0.35">
      <c r="F857">
        <v>852</v>
      </c>
      <c r="G857" s="102">
        <f t="shared" ca="1" si="17"/>
        <v>-1.6590320872410021E-2</v>
      </c>
    </row>
    <row r="858" spans="6:7" x14ac:dyDescent="0.35">
      <c r="F858">
        <v>853</v>
      </c>
      <c r="G858" s="102">
        <f t="shared" ca="1" si="17"/>
        <v>-0.10300491284571024</v>
      </c>
    </row>
    <row r="859" spans="6:7" x14ac:dyDescent="0.35">
      <c r="F859">
        <v>854</v>
      </c>
      <c r="G859" s="102">
        <f t="shared" ca="1" si="17"/>
        <v>8.0749476914164578E-2</v>
      </c>
    </row>
    <row r="860" spans="6:7" x14ac:dyDescent="0.35">
      <c r="F860">
        <v>855</v>
      </c>
      <c r="G860" s="102">
        <f t="shared" ca="1" si="17"/>
        <v>-4.1440554309093561E-2</v>
      </c>
    </row>
    <row r="861" spans="6:7" x14ac:dyDescent="0.35">
      <c r="F861">
        <v>856</v>
      </c>
      <c r="G861" s="102">
        <f t="shared" ca="1" si="17"/>
        <v>4.2567955877607054E-3</v>
      </c>
    </row>
    <row r="862" spans="6:7" x14ac:dyDescent="0.35">
      <c r="F862">
        <v>857</v>
      </c>
      <c r="G862" s="102">
        <f t="shared" ca="1" si="17"/>
        <v>2.0959407551937453E-2</v>
      </c>
    </row>
    <row r="863" spans="6:7" x14ac:dyDescent="0.35">
      <c r="F863">
        <v>858</v>
      </c>
      <c r="G863" s="102">
        <f t="shared" ca="1" si="17"/>
        <v>1.621195557839928E-2</v>
      </c>
    </row>
    <row r="864" spans="6:7" x14ac:dyDescent="0.35">
      <c r="F864">
        <v>859</v>
      </c>
      <c r="G864" s="102">
        <f t="shared" ca="1" si="17"/>
        <v>-2.0355415420223004E-2</v>
      </c>
    </row>
    <row r="865" spans="6:7" x14ac:dyDescent="0.35">
      <c r="F865">
        <v>860</v>
      </c>
      <c r="G865" s="102">
        <f t="shared" ca="1" si="17"/>
        <v>8.912763425461806E-2</v>
      </c>
    </row>
    <row r="866" spans="6:7" x14ac:dyDescent="0.35">
      <c r="F866">
        <v>861</v>
      </c>
      <c r="G866" s="102">
        <f t="shared" ca="1" si="17"/>
        <v>-4.5587419069141266E-2</v>
      </c>
    </row>
    <row r="867" spans="6:7" x14ac:dyDescent="0.35">
      <c r="F867">
        <v>862</v>
      </c>
      <c r="G867" s="102">
        <f t="shared" ca="1" si="17"/>
        <v>-5.2460295905852536E-2</v>
      </c>
    </row>
    <row r="868" spans="6:7" x14ac:dyDescent="0.35">
      <c r="F868">
        <v>863</v>
      </c>
      <c r="G868" s="102">
        <f t="shared" ca="1" si="17"/>
        <v>0.12682265762114342</v>
      </c>
    </row>
    <row r="869" spans="6:7" x14ac:dyDescent="0.35">
      <c r="F869">
        <v>864</v>
      </c>
      <c r="G869" s="102">
        <f t="shared" ca="1" si="17"/>
        <v>-3.6705383160376387E-2</v>
      </c>
    </row>
    <row r="870" spans="6:7" x14ac:dyDescent="0.35">
      <c r="F870">
        <v>865</v>
      </c>
      <c r="G870" s="102">
        <f t="shared" ca="1" si="17"/>
        <v>-0.15278570364085531</v>
      </c>
    </row>
    <row r="871" spans="6:7" x14ac:dyDescent="0.35">
      <c r="F871">
        <v>866</v>
      </c>
      <c r="G871" s="102">
        <f t="shared" ca="1" si="17"/>
        <v>0.13900573009797684</v>
      </c>
    </row>
    <row r="872" spans="6:7" x14ac:dyDescent="0.35">
      <c r="F872">
        <v>867</v>
      </c>
      <c r="G872" s="102">
        <f t="shared" ca="1" si="17"/>
        <v>-1.7654657261514793E-2</v>
      </c>
    </row>
    <row r="873" spans="6:7" x14ac:dyDescent="0.35">
      <c r="F873">
        <v>868</v>
      </c>
      <c r="G873" s="102">
        <f t="shared" ca="1" si="17"/>
        <v>-2.3138284888850134E-2</v>
      </c>
    </row>
    <row r="874" spans="6:7" x14ac:dyDescent="0.35">
      <c r="F874">
        <v>869</v>
      </c>
      <c r="G874" s="102">
        <f t="shared" ca="1" si="17"/>
        <v>-9.3496897672215723E-2</v>
      </c>
    </row>
    <row r="875" spans="6:7" x14ac:dyDescent="0.35">
      <c r="F875">
        <v>870</v>
      </c>
      <c r="G875" s="102">
        <f t="shared" ca="1" si="17"/>
        <v>3.8451024175267176E-2</v>
      </c>
    </row>
    <row r="876" spans="6:7" x14ac:dyDescent="0.35">
      <c r="F876">
        <v>871</v>
      </c>
      <c r="G876" s="102">
        <f t="shared" ca="1" si="17"/>
        <v>-5.52992178713788E-2</v>
      </c>
    </row>
    <row r="877" spans="6:7" x14ac:dyDescent="0.35">
      <c r="F877">
        <v>872</v>
      </c>
      <c r="G877" s="102">
        <f t="shared" ca="1" si="17"/>
        <v>2.6907038034380062E-3</v>
      </c>
    </row>
    <row r="878" spans="6:7" x14ac:dyDescent="0.35">
      <c r="F878">
        <v>873</v>
      </c>
      <c r="G878" s="102">
        <f t="shared" ca="1" si="17"/>
        <v>-3.5759844447339741E-2</v>
      </c>
    </row>
    <row r="879" spans="6:7" x14ac:dyDescent="0.35">
      <c r="F879">
        <v>874</v>
      </c>
      <c r="G879" s="102">
        <f t="shared" ca="1" si="17"/>
        <v>6.1639396317573428E-3</v>
      </c>
    </row>
    <row r="880" spans="6:7" x14ac:dyDescent="0.35">
      <c r="F880">
        <v>875</v>
      </c>
      <c r="G880" s="102">
        <f t="shared" ca="1" si="17"/>
        <v>1.0594531380489084E-3</v>
      </c>
    </row>
    <row r="881" spans="6:7" x14ac:dyDescent="0.35">
      <c r="F881">
        <v>876</v>
      </c>
      <c r="G881" s="102">
        <f t="shared" ca="1" si="17"/>
        <v>-4.274471463443591E-2</v>
      </c>
    </row>
    <row r="882" spans="6:7" x14ac:dyDescent="0.35">
      <c r="F882">
        <v>877</v>
      </c>
      <c r="G882" s="102">
        <f t="shared" ca="1" si="17"/>
        <v>-6.2450053548044157E-2</v>
      </c>
    </row>
    <row r="883" spans="6:7" x14ac:dyDescent="0.35">
      <c r="F883">
        <v>878</v>
      </c>
      <c r="G883" s="102">
        <f t="shared" ca="1" si="17"/>
        <v>-6.4561609854812962E-2</v>
      </c>
    </row>
    <row r="884" spans="6:7" x14ac:dyDescent="0.35">
      <c r="F884">
        <v>879</v>
      </c>
      <c r="G884" s="102">
        <f t="shared" ca="1" si="17"/>
        <v>-0.14691571120909558</v>
      </c>
    </row>
    <row r="885" spans="6:7" x14ac:dyDescent="0.35">
      <c r="F885">
        <v>880</v>
      </c>
      <c r="G885" s="102">
        <f t="shared" ca="1" si="17"/>
        <v>-4.3989805902514056E-2</v>
      </c>
    </row>
    <row r="886" spans="6:7" x14ac:dyDescent="0.35">
      <c r="F886">
        <v>881</v>
      </c>
      <c r="G886" s="102">
        <f t="shared" ca="1" si="17"/>
        <v>-0.11423932997752893</v>
      </c>
    </row>
    <row r="887" spans="6:7" x14ac:dyDescent="0.35">
      <c r="F887">
        <v>882</v>
      </c>
      <c r="G887" s="102">
        <f t="shared" ca="1" si="17"/>
        <v>6.4572325999337488E-3</v>
      </c>
    </row>
    <row r="888" spans="6:7" x14ac:dyDescent="0.35">
      <c r="F888">
        <v>883</v>
      </c>
      <c r="G888" s="102">
        <f t="shared" ca="1" si="17"/>
        <v>5.2507169131182099E-2</v>
      </c>
    </row>
    <row r="889" spans="6:7" x14ac:dyDescent="0.35">
      <c r="F889">
        <v>884</v>
      </c>
      <c r="G889" s="102">
        <f t="shared" ca="1" si="17"/>
        <v>-6.8202198680978418E-2</v>
      </c>
    </row>
    <row r="890" spans="6:7" x14ac:dyDescent="0.35">
      <c r="F890">
        <v>885</v>
      </c>
      <c r="G890" s="102">
        <f t="shared" ca="1" si="17"/>
        <v>-1.3466384153112576E-2</v>
      </c>
    </row>
    <row r="891" spans="6:7" x14ac:dyDescent="0.35">
      <c r="F891">
        <v>886</v>
      </c>
      <c r="G891" s="102">
        <f t="shared" ca="1" si="17"/>
        <v>-0.14560674214346614</v>
      </c>
    </row>
    <row r="892" spans="6:7" x14ac:dyDescent="0.35">
      <c r="F892">
        <v>887</v>
      </c>
      <c r="G892" s="102">
        <f t="shared" ca="1" si="17"/>
        <v>-6.8172589880953816E-2</v>
      </c>
    </row>
    <row r="893" spans="6:7" x14ac:dyDescent="0.35">
      <c r="F893">
        <v>888</v>
      </c>
      <c r="G893" s="102">
        <f t="shared" ca="1" si="17"/>
        <v>2.3035823377008144E-2</v>
      </c>
    </row>
    <row r="894" spans="6:7" x14ac:dyDescent="0.35">
      <c r="F894">
        <v>889</v>
      </c>
      <c r="G894" s="102">
        <f t="shared" ca="1" si="17"/>
        <v>2.0532657758045015E-2</v>
      </c>
    </row>
    <row r="895" spans="6:7" x14ac:dyDescent="0.35">
      <c r="F895">
        <v>890</v>
      </c>
      <c r="G895" s="102">
        <f t="shared" ca="1" si="17"/>
        <v>-3.432256268046259E-2</v>
      </c>
    </row>
    <row r="896" spans="6:7" x14ac:dyDescent="0.35">
      <c r="F896">
        <v>891</v>
      </c>
      <c r="G896" s="102">
        <f t="shared" ca="1" si="17"/>
        <v>-1.1428712880034241E-2</v>
      </c>
    </row>
    <row r="897" spans="6:7" x14ac:dyDescent="0.35">
      <c r="F897">
        <v>892</v>
      </c>
      <c r="G897" s="102">
        <f t="shared" ca="1" si="17"/>
        <v>6.4168281184940335E-2</v>
      </c>
    </row>
    <row r="898" spans="6:7" x14ac:dyDescent="0.35">
      <c r="F898">
        <v>893</v>
      </c>
      <c r="G898" s="102">
        <f t="shared" ca="1" si="17"/>
        <v>0.10414226045689447</v>
      </c>
    </row>
    <row r="899" spans="6:7" x14ac:dyDescent="0.35">
      <c r="F899">
        <v>894</v>
      </c>
      <c r="G899" s="102">
        <f t="shared" ca="1" si="17"/>
        <v>-3.0232632556710746E-4</v>
      </c>
    </row>
    <row r="900" spans="6:7" x14ac:dyDescent="0.35">
      <c r="F900">
        <v>895</v>
      </c>
      <c r="G900" s="102">
        <f t="shared" ca="1" si="17"/>
        <v>1.6545772761606427E-2</v>
      </c>
    </row>
    <row r="901" spans="6:7" x14ac:dyDescent="0.35">
      <c r="F901">
        <v>896</v>
      </c>
      <c r="G901" s="102">
        <f t="shared" ca="1" si="17"/>
        <v>2.3039360641501232E-2</v>
      </c>
    </row>
    <row r="902" spans="6:7" x14ac:dyDescent="0.35">
      <c r="F902">
        <v>897</v>
      </c>
      <c r="G902" s="102">
        <f t="shared" ca="1" si="17"/>
        <v>3.9624106891324534E-2</v>
      </c>
    </row>
    <row r="903" spans="6:7" x14ac:dyDescent="0.35">
      <c r="F903">
        <v>898</v>
      </c>
      <c r="G903" s="102">
        <f t="shared" ref="G903:G966" ca="1" si="18">_xlfn.NORM.INV(RAND(),M$9,M$10)</f>
        <v>5.1073963499230601E-2</v>
      </c>
    </row>
    <row r="904" spans="6:7" x14ac:dyDescent="0.35">
      <c r="F904">
        <v>899</v>
      </c>
      <c r="G904" s="102">
        <f t="shared" ca="1" si="18"/>
        <v>-6.9242653649981667E-2</v>
      </c>
    </row>
    <row r="905" spans="6:7" x14ac:dyDescent="0.35">
      <c r="F905">
        <v>900</v>
      </c>
      <c r="G905" s="102">
        <f t="shared" ca="1" si="18"/>
        <v>-7.0384376404816595E-2</v>
      </c>
    </row>
    <row r="906" spans="6:7" x14ac:dyDescent="0.35">
      <c r="F906">
        <v>901</v>
      </c>
      <c r="G906" s="102">
        <f t="shared" ca="1" si="18"/>
        <v>1.2941926557062017E-2</v>
      </c>
    </row>
    <row r="907" spans="6:7" x14ac:dyDescent="0.35">
      <c r="F907">
        <v>902</v>
      </c>
      <c r="G907" s="102">
        <f t="shared" ca="1" si="18"/>
        <v>-8.690279432287791E-2</v>
      </c>
    </row>
    <row r="908" spans="6:7" x14ac:dyDescent="0.35">
      <c r="F908">
        <v>903</v>
      </c>
      <c r="G908" s="102">
        <f t="shared" ca="1" si="18"/>
        <v>1.5559363508874085E-2</v>
      </c>
    </row>
    <row r="909" spans="6:7" x14ac:dyDescent="0.35">
      <c r="F909">
        <v>904</v>
      </c>
      <c r="G909" s="102">
        <f t="shared" ca="1" si="18"/>
        <v>3.3135580611309029E-2</v>
      </c>
    </row>
    <row r="910" spans="6:7" x14ac:dyDescent="0.35">
      <c r="F910">
        <v>905</v>
      </c>
      <c r="G910" s="102">
        <f t="shared" ca="1" si="18"/>
        <v>3.3893593243998266E-2</v>
      </c>
    </row>
    <row r="911" spans="6:7" x14ac:dyDescent="0.35">
      <c r="F911">
        <v>906</v>
      </c>
      <c r="G911" s="102">
        <f t="shared" ca="1" si="18"/>
        <v>4.568243385535134E-2</v>
      </c>
    </row>
    <row r="912" spans="6:7" x14ac:dyDescent="0.35">
      <c r="F912">
        <v>907</v>
      </c>
      <c r="G912" s="102">
        <f t="shared" ca="1" si="18"/>
        <v>-7.7264338158137352E-2</v>
      </c>
    </row>
    <row r="913" spans="6:7" x14ac:dyDescent="0.35">
      <c r="F913">
        <v>908</v>
      </c>
      <c r="G913" s="102">
        <f t="shared" ca="1" si="18"/>
        <v>-3.7256401515347842E-2</v>
      </c>
    </row>
    <row r="914" spans="6:7" x14ac:dyDescent="0.35">
      <c r="F914">
        <v>909</v>
      </c>
      <c r="G914" s="102">
        <f t="shared" ca="1" si="18"/>
        <v>-8.8765498851886449E-2</v>
      </c>
    </row>
    <row r="915" spans="6:7" x14ac:dyDescent="0.35">
      <c r="F915">
        <v>910</v>
      </c>
      <c r="G915" s="102">
        <f t="shared" ca="1" si="18"/>
        <v>7.870336800869937E-2</v>
      </c>
    </row>
    <row r="916" spans="6:7" x14ac:dyDescent="0.35">
      <c r="F916">
        <v>911</v>
      </c>
      <c r="G916" s="102">
        <f t="shared" ca="1" si="18"/>
        <v>0.11703238115936247</v>
      </c>
    </row>
    <row r="917" spans="6:7" x14ac:dyDescent="0.35">
      <c r="F917">
        <v>912</v>
      </c>
      <c r="G917" s="102">
        <f t="shared" ca="1" si="18"/>
        <v>2.7467794051514189E-3</v>
      </c>
    </row>
    <row r="918" spans="6:7" x14ac:dyDescent="0.35">
      <c r="F918">
        <v>913</v>
      </c>
      <c r="G918" s="102">
        <f t="shared" ca="1" si="18"/>
        <v>1.3110896516577753E-2</v>
      </c>
    </row>
    <row r="919" spans="6:7" x14ac:dyDescent="0.35">
      <c r="F919">
        <v>914</v>
      </c>
      <c r="G919" s="102">
        <f t="shared" ca="1" si="18"/>
        <v>5.7807304112439936E-2</v>
      </c>
    </row>
    <row r="920" spans="6:7" x14ac:dyDescent="0.35">
      <c r="F920">
        <v>915</v>
      </c>
      <c r="G920" s="102">
        <f t="shared" ca="1" si="18"/>
        <v>-5.3447270626572632E-2</v>
      </c>
    </row>
    <row r="921" spans="6:7" x14ac:dyDescent="0.35">
      <c r="F921">
        <v>916</v>
      </c>
      <c r="G921" s="102">
        <f t="shared" ca="1" si="18"/>
        <v>-6.7043507548509906E-2</v>
      </c>
    </row>
    <row r="922" spans="6:7" x14ac:dyDescent="0.35">
      <c r="F922">
        <v>917</v>
      </c>
      <c r="G922" s="102">
        <f t="shared" ca="1" si="18"/>
        <v>-3.7601923879271304E-2</v>
      </c>
    </row>
    <row r="923" spans="6:7" x14ac:dyDescent="0.35">
      <c r="F923">
        <v>918</v>
      </c>
      <c r="G923" s="102">
        <f t="shared" ca="1" si="18"/>
        <v>4.4163059140991417E-2</v>
      </c>
    </row>
    <row r="924" spans="6:7" x14ac:dyDescent="0.35">
      <c r="F924">
        <v>919</v>
      </c>
      <c r="G924" s="102">
        <f t="shared" ca="1" si="18"/>
        <v>2.4149870917122351E-2</v>
      </c>
    </row>
    <row r="925" spans="6:7" x14ac:dyDescent="0.35">
      <c r="F925">
        <v>920</v>
      </c>
      <c r="G925" s="102">
        <f t="shared" ca="1" si="18"/>
        <v>-9.8792162911888227E-3</v>
      </c>
    </row>
    <row r="926" spans="6:7" x14ac:dyDescent="0.35">
      <c r="F926">
        <v>921</v>
      </c>
      <c r="G926" s="102">
        <f t="shared" ca="1" si="18"/>
        <v>-3.4008271123186579E-2</v>
      </c>
    </row>
    <row r="927" spans="6:7" x14ac:dyDescent="0.35">
      <c r="F927">
        <v>922</v>
      </c>
      <c r="G927" s="102">
        <f t="shared" ca="1" si="18"/>
        <v>-3.4377814536468508E-2</v>
      </c>
    </row>
    <row r="928" spans="6:7" x14ac:dyDescent="0.35">
      <c r="F928">
        <v>923</v>
      </c>
      <c r="G928" s="102">
        <f t="shared" ca="1" si="18"/>
        <v>1.783221152599462E-2</v>
      </c>
    </row>
    <row r="929" spans="6:7" x14ac:dyDescent="0.35">
      <c r="F929">
        <v>924</v>
      </c>
      <c r="G929" s="102">
        <f t="shared" ca="1" si="18"/>
        <v>-2.3118056897578041E-2</v>
      </c>
    </row>
    <row r="930" spans="6:7" x14ac:dyDescent="0.35">
      <c r="F930">
        <v>925</v>
      </c>
      <c r="G930" s="102">
        <f t="shared" ca="1" si="18"/>
        <v>-3.0345480457264359E-2</v>
      </c>
    </row>
    <row r="931" spans="6:7" x14ac:dyDescent="0.35">
      <c r="F931">
        <v>926</v>
      </c>
      <c r="G931" s="102">
        <f t="shared" ca="1" si="18"/>
        <v>-5.3505343728724314E-2</v>
      </c>
    </row>
    <row r="932" spans="6:7" x14ac:dyDescent="0.35">
      <c r="F932">
        <v>927</v>
      </c>
      <c r="G932" s="102">
        <f t="shared" ca="1" si="18"/>
        <v>0.11540200908567926</v>
      </c>
    </row>
    <row r="933" spans="6:7" x14ac:dyDescent="0.35">
      <c r="F933">
        <v>928</v>
      </c>
      <c r="G933" s="102">
        <f t="shared" ca="1" si="18"/>
        <v>-1.8765047455796671E-2</v>
      </c>
    </row>
    <row r="934" spans="6:7" x14ac:dyDescent="0.35">
      <c r="F934">
        <v>929</v>
      </c>
      <c r="G934" s="102">
        <f t="shared" ca="1" si="18"/>
        <v>-0.10528031984068052</v>
      </c>
    </row>
    <row r="935" spans="6:7" x14ac:dyDescent="0.35">
      <c r="F935">
        <v>930</v>
      </c>
      <c r="G935" s="102">
        <f t="shared" ca="1" si="18"/>
        <v>-1.1565843116027708E-2</v>
      </c>
    </row>
    <row r="936" spans="6:7" x14ac:dyDescent="0.35">
      <c r="F936">
        <v>931</v>
      </c>
      <c r="G936" s="102">
        <f t="shared" ca="1" si="18"/>
        <v>-2.6475801522401414E-2</v>
      </c>
    </row>
    <row r="937" spans="6:7" x14ac:dyDescent="0.35">
      <c r="F937">
        <v>932</v>
      </c>
      <c r="G937" s="102">
        <f t="shared" ca="1" si="18"/>
        <v>6.6566896533746284E-2</v>
      </c>
    </row>
    <row r="938" spans="6:7" x14ac:dyDescent="0.35">
      <c r="F938">
        <v>933</v>
      </c>
      <c r="G938" s="102">
        <f t="shared" ca="1" si="18"/>
        <v>1.4322552698009118E-2</v>
      </c>
    </row>
    <row r="939" spans="6:7" x14ac:dyDescent="0.35">
      <c r="F939">
        <v>934</v>
      </c>
      <c r="G939" s="102">
        <f t="shared" ca="1" si="18"/>
        <v>-8.5062695975743775E-4</v>
      </c>
    </row>
    <row r="940" spans="6:7" x14ac:dyDescent="0.35">
      <c r="F940">
        <v>935</v>
      </c>
      <c r="G940" s="102">
        <f t="shared" ca="1" si="18"/>
        <v>0.13494395805922446</v>
      </c>
    </row>
    <row r="941" spans="6:7" x14ac:dyDescent="0.35">
      <c r="F941">
        <v>936</v>
      </c>
      <c r="G941" s="102">
        <f t="shared" ca="1" si="18"/>
        <v>0.13381588345593737</v>
      </c>
    </row>
    <row r="942" spans="6:7" x14ac:dyDescent="0.35">
      <c r="F942">
        <v>937</v>
      </c>
      <c r="G942" s="102">
        <f t="shared" ca="1" si="18"/>
        <v>-5.2930173780143877E-2</v>
      </c>
    </row>
    <row r="943" spans="6:7" x14ac:dyDescent="0.35">
      <c r="F943">
        <v>938</v>
      </c>
      <c r="G943" s="102">
        <f t="shared" ca="1" si="18"/>
        <v>9.4154505912862396E-2</v>
      </c>
    </row>
    <row r="944" spans="6:7" x14ac:dyDescent="0.35">
      <c r="F944">
        <v>939</v>
      </c>
      <c r="G944" s="102">
        <f t="shared" ca="1" si="18"/>
        <v>4.3551110595147338E-2</v>
      </c>
    </row>
    <row r="945" spans="6:7" x14ac:dyDescent="0.35">
      <c r="F945">
        <v>940</v>
      </c>
      <c r="G945" s="102">
        <f t="shared" ca="1" si="18"/>
        <v>-0.14707956805297071</v>
      </c>
    </row>
    <row r="946" spans="6:7" x14ac:dyDescent="0.35">
      <c r="F946">
        <v>941</v>
      </c>
      <c r="G946" s="102">
        <f t="shared" ca="1" si="18"/>
        <v>6.1873765414410722E-4</v>
      </c>
    </row>
    <row r="947" spans="6:7" x14ac:dyDescent="0.35">
      <c r="F947">
        <v>942</v>
      </c>
      <c r="G947" s="102">
        <f t="shared" ca="1" si="18"/>
        <v>5.7060767086900346E-2</v>
      </c>
    </row>
    <row r="948" spans="6:7" x14ac:dyDescent="0.35">
      <c r="F948">
        <v>943</v>
      </c>
      <c r="G948" s="102">
        <f t="shared" ca="1" si="18"/>
        <v>-0.1118257024466924</v>
      </c>
    </row>
    <row r="949" spans="6:7" x14ac:dyDescent="0.35">
      <c r="F949">
        <v>944</v>
      </c>
      <c r="G949" s="102">
        <f t="shared" ca="1" si="18"/>
        <v>7.234574289550777E-2</v>
      </c>
    </row>
    <row r="950" spans="6:7" x14ac:dyDescent="0.35">
      <c r="F950">
        <v>945</v>
      </c>
      <c r="G950" s="102">
        <f t="shared" ca="1" si="18"/>
        <v>-0.11734162832987483</v>
      </c>
    </row>
    <row r="951" spans="6:7" x14ac:dyDescent="0.35">
      <c r="F951">
        <v>946</v>
      </c>
      <c r="G951" s="102">
        <f t="shared" ca="1" si="18"/>
        <v>8.0091342786679745E-2</v>
      </c>
    </row>
    <row r="952" spans="6:7" x14ac:dyDescent="0.35">
      <c r="F952">
        <v>947</v>
      </c>
      <c r="G952" s="102">
        <f t="shared" ca="1" si="18"/>
        <v>-1.4623649212142391E-2</v>
      </c>
    </row>
    <row r="953" spans="6:7" x14ac:dyDescent="0.35">
      <c r="F953">
        <v>948</v>
      </c>
      <c r="G953" s="102">
        <f t="shared" ca="1" si="18"/>
        <v>-4.7443175480756494E-2</v>
      </c>
    </row>
    <row r="954" spans="6:7" x14ac:dyDescent="0.35">
      <c r="F954">
        <v>949</v>
      </c>
      <c r="G954" s="102">
        <f t="shared" ca="1" si="18"/>
        <v>1.5598371542284571E-2</v>
      </c>
    </row>
    <row r="955" spans="6:7" x14ac:dyDescent="0.35">
      <c r="F955">
        <v>950</v>
      </c>
      <c r="G955" s="102">
        <f t="shared" ca="1" si="18"/>
        <v>-1.1606501187637784E-2</v>
      </c>
    </row>
    <row r="956" spans="6:7" x14ac:dyDescent="0.35">
      <c r="F956">
        <v>951</v>
      </c>
      <c r="G956" s="102">
        <f t="shared" ca="1" si="18"/>
        <v>1.5500671133304188E-2</v>
      </c>
    </row>
    <row r="957" spans="6:7" x14ac:dyDescent="0.35">
      <c r="F957">
        <v>952</v>
      </c>
      <c r="G957" s="102">
        <f t="shared" ca="1" si="18"/>
        <v>-5.0078671007655701E-2</v>
      </c>
    </row>
    <row r="958" spans="6:7" x14ac:dyDescent="0.35">
      <c r="F958">
        <v>953</v>
      </c>
      <c r="G958" s="102">
        <f t="shared" ca="1" si="18"/>
        <v>-0.13025948257841563</v>
      </c>
    </row>
    <row r="959" spans="6:7" x14ac:dyDescent="0.35">
      <c r="F959">
        <v>954</v>
      </c>
      <c r="G959" s="102">
        <f t="shared" ca="1" si="18"/>
        <v>-6.3454402684665331E-2</v>
      </c>
    </row>
    <row r="960" spans="6:7" x14ac:dyDescent="0.35">
      <c r="F960">
        <v>955</v>
      </c>
      <c r="G960" s="102">
        <f t="shared" ca="1" si="18"/>
        <v>8.0427148111445093E-2</v>
      </c>
    </row>
    <row r="961" spans="6:7" x14ac:dyDescent="0.35">
      <c r="F961">
        <v>956</v>
      </c>
      <c r="G961" s="102">
        <f t="shared" ca="1" si="18"/>
        <v>2.8477491948943317E-3</v>
      </c>
    </row>
    <row r="962" spans="6:7" x14ac:dyDescent="0.35">
      <c r="F962">
        <v>957</v>
      </c>
      <c r="G962" s="102">
        <f t="shared" ca="1" si="18"/>
        <v>2.3243503251281095E-2</v>
      </c>
    </row>
    <row r="963" spans="6:7" x14ac:dyDescent="0.35">
      <c r="F963">
        <v>958</v>
      </c>
      <c r="G963" s="102">
        <f t="shared" ca="1" si="18"/>
        <v>-3.3521914570900455E-3</v>
      </c>
    </row>
    <row r="964" spans="6:7" x14ac:dyDescent="0.35">
      <c r="F964">
        <v>959</v>
      </c>
      <c r="G964" s="102">
        <f t="shared" ca="1" si="18"/>
        <v>6.1665310905766168E-3</v>
      </c>
    </row>
    <row r="965" spans="6:7" x14ac:dyDescent="0.35">
      <c r="F965">
        <v>960</v>
      </c>
      <c r="G965" s="102">
        <f t="shared" ca="1" si="18"/>
        <v>-5.4627113570171956E-2</v>
      </c>
    </row>
    <row r="966" spans="6:7" x14ac:dyDescent="0.35">
      <c r="F966">
        <v>961</v>
      </c>
      <c r="G966" s="102">
        <f t="shared" ca="1" si="18"/>
        <v>-3.3329294951325743E-2</v>
      </c>
    </row>
    <row r="967" spans="6:7" x14ac:dyDescent="0.35">
      <c r="F967">
        <v>962</v>
      </c>
      <c r="G967" s="102">
        <f t="shared" ref="G967:G1030" ca="1" si="19">_xlfn.NORM.INV(RAND(),M$9,M$10)</f>
        <v>-9.4131794362243865E-2</v>
      </c>
    </row>
    <row r="968" spans="6:7" x14ac:dyDescent="0.35">
      <c r="F968">
        <v>963</v>
      </c>
      <c r="G968" s="102">
        <f t="shared" ca="1" si="19"/>
        <v>0.10634092261869693</v>
      </c>
    </row>
    <row r="969" spans="6:7" x14ac:dyDescent="0.35">
      <c r="F969">
        <v>964</v>
      </c>
      <c r="G969" s="102">
        <f t="shared" ca="1" si="19"/>
        <v>7.4307364372516921E-2</v>
      </c>
    </row>
    <row r="970" spans="6:7" x14ac:dyDescent="0.35">
      <c r="F970">
        <v>965</v>
      </c>
      <c r="G970" s="102">
        <f t="shared" ca="1" si="19"/>
        <v>4.8943228758701149E-2</v>
      </c>
    </row>
    <row r="971" spans="6:7" x14ac:dyDescent="0.35">
      <c r="F971">
        <v>966</v>
      </c>
      <c r="G971" s="102">
        <f t="shared" ca="1" si="19"/>
        <v>-5.5123596709526185E-2</v>
      </c>
    </row>
    <row r="972" spans="6:7" x14ac:dyDescent="0.35">
      <c r="F972">
        <v>967</v>
      </c>
      <c r="G972" s="102">
        <f t="shared" ca="1" si="19"/>
        <v>6.2529201521698649E-2</v>
      </c>
    </row>
    <row r="973" spans="6:7" x14ac:dyDescent="0.35">
      <c r="F973">
        <v>968</v>
      </c>
      <c r="G973" s="102">
        <f t="shared" ca="1" si="19"/>
        <v>0.1537728555467088</v>
      </c>
    </row>
    <row r="974" spans="6:7" x14ac:dyDescent="0.35">
      <c r="F974">
        <v>969</v>
      </c>
      <c r="G974" s="102">
        <f t="shared" ca="1" si="19"/>
        <v>-0.14043658133224543</v>
      </c>
    </row>
    <row r="975" spans="6:7" x14ac:dyDescent="0.35">
      <c r="F975">
        <v>970</v>
      </c>
      <c r="G975" s="102">
        <f t="shared" ca="1" si="19"/>
        <v>-3.7132940029606681E-2</v>
      </c>
    </row>
    <row r="976" spans="6:7" x14ac:dyDescent="0.35">
      <c r="F976">
        <v>971</v>
      </c>
      <c r="G976" s="102">
        <f t="shared" ca="1" si="19"/>
        <v>-1.7333135100165389E-2</v>
      </c>
    </row>
    <row r="977" spans="6:7" x14ac:dyDescent="0.35">
      <c r="F977">
        <v>972</v>
      </c>
      <c r="G977" s="102">
        <f t="shared" ca="1" si="19"/>
        <v>1.5589002979830169E-3</v>
      </c>
    </row>
    <row r="978" spans="6:7" x14ac:dyDescent="0.35">
      <c r="F978">
        <v>973</v>
      </c>
      <c r="G978" s="102">
        <f t="shared" ca="1" si="19"/>
        <v>2.0383468643594964E-2</v>
      </c>
    </row>
    <row r="979" spans="6:7" x14ac:dyDescent="0.35">
      <c r="F979">
        <v>974</v>
      </c>
      <c r="G979" s="102">
        <f t="shared" ca="1" si="19"/>
        <v>1.7249133317349633E-2</v>
      </c>
    </row>
    <row r="980" spans="6:7" x14ac:dyDescent="0.35">
      <c r="F980">
        <v>975</v>
      </c>
      <c r="G980" s="102">
        <f t="shared" ca="1" si="19"/>
        <v>-2.2095137079005997E-2</v>
      </c>
    </row>
    <row r="981" spans="6:7" x14ac:dyDescent="0.35">
      <c r="F981">
        <v>976</v>
      </c>
      <c r="G981" s="102">
        <f t="shared" ca="1" si="19"/>
        <v>-0.15086639996923334</v>
      </c>
    </row>
    <row r="982" spans="6:7" x14ac:dyDescent="0.35">
      <c r="F982">
        <v>977</v>
      </c>
      <c r="G982" s="102">
        <f t="shared" ca="1" si="19"/>
        <v>-5.1341188035522817E-2</v>
      </c>
    </row>
    <row r="983" spans="6:7" x14ac:dyDescent="0.35">
      <c r="F983">
        <v>978</v>
      </c>
      <c r="G983" s="102">
        <f t="shared" ca="1" si="19"/>
        <v>2.8410222573345269E-2</v>
      </c>
    </row>
    <row r="984" spans="6:7" x14ac:dyDescent="0.35">
      <c r="F984">
        <v>979</v>
      </c>
      <c r="G984" s="102">
        <f t="shared" ca="1" si="19"/>
        <v>-3.1215550874570216E-2</v>
      </c>
    </row>
    <row r="985" spans="6:7" x14ac:dyDescent="0.35">
      <c r="F985">
        <v>980</v>
      </c>
      <c r="G985" s="102">
        <f t="shared" ca="1" si="19"/>
        <v>-6.8936650643011882E-2</v>
      </c>
    </row>
    <row r="986" spans="6:7" x14ac:dyDescent="0.35">
      <c r="F986">
        <v>981</v>
      </c>
      <c r="G986" s="102">
        <f t="shared" ca="1" si="19"/>
        <v>-5.0726359845135405E-2</v>
      </c>
    </row>
    <row r="987" spans="6:7" x14ac:dyDescent="0.35">
      <c r="F987">
        <v>982</v>
      </c>
      <c r="G987" s="102">
        <f t="shared" ca="1" si="19"/>
        <v>5.6212024234668603E-2</v>
      </c>
    </row>
    <row r="988" spans="6:7" x14ac:dyDescent="0.35">
      <c r="F988">
        <v>983</v>
      </c>
      <c r="G988" s="102">
        <f t="shared" ca="1" si="19"/>
        <v>-1.0470184618682694E-2</v>
      </c>
    </row>
    <row r="989" spans="6:7" x14ac:dyDescent="0.35">
      <c r="F989">
        <v>984</v>
      </c>
      <c r="G989" s="102">
        <f t="shared" ca="1" si="19"/>
        <v>-2.5997251532260433E-2</v>
      </c>
    </row>
    <row r="990" spans="6:7" x14ac:dyDescent="0.35">
      <c r="F990">
        <v>985</v>
      </c>
      <c r="G990" s="102">
        <f t="shared" ca="1" si="19"/>
        <v>1.3752170099300468E-2</v>
      </c>
    </row>
    <row r="991" spans="6:7" x14ac:dyDescent="0.35">
      <c r="F991">
        <v>986</v>
      </c>
      <c r="G991" s="102">
        <f t="shared" ca="1" si="19"/>
        <v>-0.14852723742608545</v>
      </c>
    </row>
    <row r="992" spans="6:7" x14ac:dyDescent="0.35">
      <c r="F992">
        <v>987</v>
      </c>
      <c r="G992" s="102">
        <f t="shared" ca="1" si="19"/>
        <v>-9.6131172596384193E-2</v>
      </c>
    </row>
    <row r="993" spans="6:7" x14ac:dyDescent="0.35">
      <c r="F993">
        <v>988</v>
      </c>
      <c r="G993" s="102">
        <f t="shared" ca="1" si="19"/>
        <v>9.7924465084357371E-2</v>
      </c>
    </row>
    <row r="994" spans="6:7" x14ac:dyDescent="0.35">
      <c r="F994">
        <v>989</v>
      </c>
      <c r="G994" s="102">
        <f t="shared" ca="1" si="19"/>
        <v>-1.1490977546597794E-2</v>
      </c>
    </row>
    <row r="995" spans="6:7" x14ac:dyDescent="0.35">
      <c r="F995">
        <v>990</v>
      </c>
      <c r="G995" s="102">
        <f t="shared" ca="1" si="19"/>
        <v>-2.9405111194882268E-2</v>
      </c>
    </row>
    <row r="996" spans="6:7" x14ac:dyDescent="0.35">
      <c r="F996">
        <v>991</v>
      </c>
      <c r="G996" s="102">
        <f t="shared" ca="1" si="19"/>
        <v>2.9434023318362531E-2</v>
      </c>
    </row>
    <row r="997" spans="6:7" x14ac:dyDescent="0.35">
      <c r="F997">
        <v>992</v>
      </c>
      <c r="G997" s="102">
        <f t="shared" ca="1" si="19"/>
        <v>-5.2973727403117536E-3</v>
      </c>
    </row>
    <row r="998" spans="6:7" x14ac:dyDescent="0.35">
      <c r="F998">
        <v>993</v>
      </c>
      <c r="G998" s="102">
        <f t="shared" ca="1" si="19"/>
        <v>-7.0920678060631029E-2</v>
      </c>
    </row>
    <row r="999" spans="6:7" x14ac:dyDescent="0.35">
      <c r="F999">
        <v>994</v>
      </c>
      <c r="G999" s="102">
        <f t="shared" ca="1" si="19"/>
        <v>0.10433422725231153</v>
      </c>
    </row>
    <row r="1000" spans="6:7" x14ac:dyDescent="0.35">
      <c r="F1000">
        <v>995</v>
      </c>
      <c r="G1000" s="102">
        <f t="shared" ca="1" si="19"/>
        <v>-8.7799910030124925E-2</v>
      </c>
    </row>
    <row r="1001" spans="6:7" x14ac:dyDescent="0.35">
      <c r="F1001">
        <v>996</v>
      </c>
      <c r="G1001" s="102">
        <f t="shared" ca="1" si="19"/>
        <v>8.6125443613736502E-2</v>
      </c>
    </row>
    <row r="1002" spans="6:7" x14ac:dyDescent="0.35">
      <c r="F1002">
        <v>997</v>
      </c>
      <c r="G1002" s="102">
        <f t="shared" ca="1" si="19"/>
        <v>-1.5096758250461334E-2</v>
      </c>
    </row>
    <row r="1003" spans="6:7" x14ac:dyDescent="0.35">
      <c r="F1003">
        <v>998</v>
      </c>
      <c r="G1003" s="102">
        <f t="shared" ca="1" si="19"/>
        <v>-1.8576027149068045E-2</v>
      </c>
    </row>
    <row r="1004" spans="6:7" x14ac:dyDescent="0.35">
      <c r="F1004">
        <v>999</v>
      </c>
      <c r="G1004" s="102">
        <f t="shared" ca="1" si="19"/>
        <v>4.3525545829712686E-2</v>
      </c>
    </row>
    <row r="1005" spans="6:7" x14ac:dyDescent="0.35">
      <c r="F1005">
        <v>1000</v>
      </c>
      <c r="G1005" s="102">
        <f t="shared" ca="1" si="19"/>
        <v>-6.4212400332254393E-2</v>
      </c>
    </row>
    <row r="1006" spans="6:7" x14ac:dyDescent="0.35">
      <c r="F1006">
        <v>1001</v>
      </c>
      <c r="G1006" s="102">
        <f t="shared" ca="1" si="19"/>
        <v>8.4499857274832071E-2</v>
      </c>
    </row>
    <row r="1007" spans="6:7" x14ac:dyDescent="0.35">
      <c r="F1007">
        <v>1002</v>
      </c>
      <c r="G1007" s="102">
        <f t="shared" ca="1" si="19"/>
        <v>-1.2584252953603776E-2</v>
      </c>
    </row>
    <row r="1008" spans="6:7" x14ac:dyDescent="0.35">
      <c r="F1008">
        <v>1003</v>
      </c>
      <c r="G1008" s="102">
        <f t="shared" ca="1" si="19"/>
        <v>-2.4035404175191687E-2</v>
      </c>
    </row>
    <row r="1009" spans="6:7" x14ac:dyDescent="0.35">
      <c r="F1009">
        <v>1004</v>
      </c>
      <c r="G1009" s="102">
        <f t="shared" ca="1" si="19"/>
        <v>5.6796603251966504E-2</v>
      </c>
    </row>
    <row r="1010" spans="6:7" x14ac:dyDescent="0.35">
      <c r="F1010">
        <v>1005</v>
      </c>
      <c r="G1010" s="102">
        <f t="shared" ca="1" si="19"/>
        <v>-3.8307615027938155E-2</v>
      </c>
    </row>
    <row r="1011" spans="6:7" x14ac:dyDescent="0.35">
      <c r="F1011">
        <v>1006</v>
      </c>
      <c r="G1011" s="102">
        <f t="shared" ca="1" si="19"/>
        <v>0.15335600525084078</v>
      </c>
    </row>
    <row r="1012" spans="6:7" x14ac:dyDescent="0.35">
      <c r="F1012">
        <v>1007</v>
      </c>
      <c r="G1012" s="102">
        <f t="shared" ca="1" si="19"/>
        <v>-6.0604575283308121E-2</v>
      </c>
    </row>
    <row r="1013" spans="6:7" x14ac:dyDescent="0.35">
      <c r="F1013">
        <v>1008</v>
      </c>
      <c r="G1013" s="102">
        <f t="shared" ca="1" si="19"/>
        <v>4.8678992961899675E-2</v>
      </c>
    </row>
    <row r="1014" spans="6:7" x14ac:dyDescent="0.35">
      <c r="F1014">
        <v>1009</v>
      </c>
      <c r="G1014" s="102">
        <f t="shared" ca="1" si="19"/>
        <v>-1.3049847059622668E-2</v>
      </c>
    </row>
    <row r="1015" spans="6:7" x14ac:dyDescent="0.35">
      <c r="F1015">
        <v>1010</v>
      </c>
      <c r="G1015" s="102">
        <f t="shared" ca="1" si="19"/>
        <v>-2.4747079346823658E-2</v>
      </c>
    </row>
    <row r="1016" spans="6:7" x14ac:dyDescent="0.35">
      <c r="F1016">
        <v>1011</v>
      </c>
      <c r="G1016" s="102">
        <f t="shared" ca="1" si="19"/>
        <v>-9.9644042003100911E-3</v>
      </c>
    </row>
    <row r="1017" spans="6:7" x14ac:dyDescent="0.35">
      <c r="F1017">
        <v>1012</v>
      </c>
      <c r="G1017" s="102">
        <f t="shared" ca="1" si="19"/>
        <v>4.7505736195652945E-2</v>
      </c>
    </row>
    <row r="1018" spans="6:7" x14ac:dyDescent="0.35">
      <c r="F1018">
        <v>1013</v>
      </c>
      <c r="G1018" s="102">
        <f t="shared" ca="1" si="19"/>
        <v>1.8842491993729414E-2</v>
      </c>
    </row>
    <row r="1019" spans="6:7" x14ac:dyDescent="0.35">
      <c r="F1019">
        <v>1014</v>
      </c>
      <c r="G1019" s="102">
        <f t="shared" ca="1" si="19"/>
        <v>9.1101724994045147E-2</v>
      </c>
    </row>
    <row r="1020" spans="6:7" x14ac:dyDescent="0.35">
      <c r="F1020">
        <v>1015</v>
      </c>
      <c r="G1020" s="102">
        <f t="shared" ca="1" si="19"/>
        <v>5.2579743498877687E-2</v>
      </c>
    </row>
    <row r="1021" spans="6:7" x14ac:dyDescent="0.35">
      <c r="F1021">
        <v>1016</v>
      </c>
      <c r="G1021" s="102">
        <f t="shared" ca="1" si="19"/>
        <v>-4.3409817658547248E-2</v>
      </c>
    </row>
    <row r="1022" spans="6:7" x14ac:dyDescent="0.35">
      <c r="F1022">
        <v>1017</v>
      </c>
      <c r="G1022" s="102">
        <f t="shared" ca="1" si="19"/>
        <v>8.7738646121647487E-3</v>
      </c>
    </row>
    <row r="1023" spans="6:7" x14ac:dyDescent="0.35">
      <c r="F1023">
        <v>1018</v>
      </c>
      <c r="G1023" s="102">
        <f t="shared" ca="1" si="19"/>
        <v>-8.3713363984704199E-3</v>
      </c>
    </row>
    <row r="1024" spans="6:7" x14ac:dyDescent="0.35">
      <c r="F1024">
        <v>1019</v>
      </c>
      <c r="G1024" s="102">
        <f t="shared" ca="1" si="19"/>
        <v>3.9637042860956369E-3</v>
      </c>
    </row>
    <row r="1025" spans="6:7" x14ac:dyDescent="0.35">
      <c r="F1025">
        <v>1020</v>
      </c>
      <c r="G1025" s="102">
        <f t="shared" ca="1" si="19"/>
        <v>2.617927085942981E-3</v>
      </c>
    </row>
    <row r="1026" spans="6:7" x14ac:dyDescent="0.35">
      <c r="F1026">
        <v>1021</v>
      </c>
      <c r="G1026" s="102">
        <f t="shared" ca="1" si="19"/>
        <v>-9.9285965519793726E-2</v>
      </c>
    </row>
    <row r="1027" spans="6:7" x14ac:dyDescent="0.35">
      <c r="F1027">
        <v>1022</v>
      </c>
      <c r="G1027" s="102">
        <f t="shared" ca="1" si="19"/>
        <v>-8.7370147435279891E-2</v>
      </c>
    </row>
    <row r="1028" spans="6:7" x14ac:dyDescent="0.35">
      <c r="F1028">
        <v>1023</v>
      </c>
      <c r="G1028" s="102">
        <f t="shared" ca="1" si="19"/>
        <v>3.1473870587894456E-2</v>
      </c>
    </row>
    <row r="1029" spans="6:7" x14ac:dyDescent="0.35">
      <c r="F1029">
        <v>1024</v>
      </c>
      <c r="G1029" s="102">
        <f t="shared" ca="1" si="19"/>
        <v>-3.5821201494925611E-2</v>
      </c>
    </row>
    <row r="1030" spans="6:7" x14ac:dyDescent="0.35">
      <c r="F1030">
        <v>1025</v>
      </c>
      <c r="G1030" s="102">
        <f t="shared" ca="1" si="19"/>
        <v>9.0051861405662723E-2</v>
      </c>
    </row>
    <row r="1031" spans="6:7" x14ac:dyDescent="0.35">
      <c r="F1031">
        <v>1026</v>
      </c>
      <c r="G1031" s="102">
        <f t="shared" ref="G1031:G1094" ca="1" si="20">_xlfn.NORM.INV(RAND(),M$9,M$10)</f>
        <v>-7.3146927648913423E-3</v>
      </c>
    </row>
    <row r="1032" spans="6:7" x14ac:dyDescent="0.35">
      <c r="F1032">
        <v>1027</v>
      </c>
      <c r="G1032" s="102">
        <f t="shared" ca="1" si="20"/>
        <v>-5.4272910347378203E-2</v>
      </c>
    </row>
    <row r="1033" spans="6:7" x14ac:dyDescent="0.35">
      <c r="F1033">
        <v>1028</v>
      </c>
      <c r="G1033" s="102">
        <f t="shared" ca="1" si="20"/>
        <v>0.15147655564992393</v>
      </c>
    </row>
    <row r="1034" spans="6:7" x14ac:dyDescent="0.35">
      <c r="F1034">
        <v>1029</v>
      </c>
      <c r="G1034" s="102">
        <f t="shared" ca="1" si="20"/>
        <v>3.0019987892452384E-2</v>
      </c>
    </row>
    <row r="1035" spans="6:7" x14ac:dyDescent="0.35">
      <c r="F1035">
        <v>1030</v>
      </c>
      <c r="G1035" s="102">
        <f t="shared" ca="1" si="20"/>
        <v>-9.9581076334540691E-2</v>
      </c>
    </row>
    <row r="1036" spans="6:7" x14ac:dyDescent="0.35">
      <c r="F1036">
        <v>1031</v>
      </c>
      <c r="G1036" s="102">
        <f t="shared" ca="1" si="20"/>
        <v>-5.0062180795879832E-2</v>
      </c>
    </row>
    <row r="1037" spans="6:7" x14ac:dyDescent="0.35">
      <c r="F1037">
        <v>1032</v>
      </c>
      <c r="G1037" s="102">
        <f t="shared" ca="1" si="20"/>
        <v>4.3816313860179312E-2</v>
      </c>
    </row>
    <row r="1038" spans="6:7" x14ac:dyDescent="0.35">
      <c r="F1038">
        <v>1033</v>
      </c>
      <c r="G1038" s="102">
        <f t="shared" ca="1" si="20"/>
        <v>-5.8617000278107761E-2</v>
      </c>
    </row>
    <row r="1039" spans="6:7" x14ac:dyDescent="0.35">
      <c r="F1039">
        <v>1034</v>
      </c>
      <c r="G1039" s="102">
        <f t="shared" ca="1" si="20"/>
        <v>-7.0340142395262456E-2</v>
      </c>
    </row>
    <row r="1040" spans="6:7" x14ac:dyDescent="0.35">
      <c r="F1040">
        <v>1035</v>
      </c>
      <c r="G1040" s="102">
        <f t="shared" ca="1" si="20"/>
        <v>-4.9351986532732376E-3</v>
      </c>
    </row>
    <row r="1041" spans="6:7" x14ac:dyDescent="0.35">
      <c r="F1041">
        <v>1036</v>
      </c>
      <c r="G1041" s="102">
        <f t="shared" ca="1" si="20"/>
        <v>8.8785422138166897E-3</v>
      </c>
    </row>
    <row r="1042" spans="6:7" x14ac:dyDescent="0.35">
      <c r="F1042">
        <v>1037</v>
      </c>
      <c r="G1042" s="102">
        <f t="shared" ca="1" si="20"/>
        <v>-1.9909861404658891E-2</v>
      </c>
    </row>
    <row r="1043" spans="6:7" x14ac:dyDescent="0.35">
      <c r="F1043">
        <v>1038</v>
      </c>
      <c r="G1043" s="102">
        <f t="shared" ca="1" si="20"/>
        <v>-0.1132886541348502</v>
      </c>
    </row>
    <row r="1044" spans="6:7" x14ac:dyDescent="0.35">
      <c r="F1044">
        <v>1039</v>
      </c>
      <c r="G1044" s="102">
        <f t="shared" ca="1" si="20"/>
        <v>-5.4309014664292356E-3</v>
      </c>
    </row>
    <row r="1045" spans="6:7" x14ac:dyDescent="0.35">
      <c r="F1045">
        <v>1040</v>
      </c>
      <c r="G1045" s="102">
        <f t="shared" ca="1" si="20"/>
        <v>2.1745634194344974E-2</v>
      </c>
    </row>
    <row r="1046" spans="6:7" x14ac:dyDescent="0.35">
      <c r="F1046">
        <v>1041</v>
      </c>
      <c r="G1046" s="102">
        <f t="shared" ca="1" si="20"/>
        <v>6.7186043600056991E-2</v>
      </c>
    </row>
    <row r="1047" spans="6:7" x14ac:dyDescent="0.35">
      <c r="F1047">
        <v>1042</v>
      </c>
      <c r="G1047" s="102">
        <f t="shared" ca="1" si="20"/>
        <v>-7.5286798574014449E-2</v>
      </c>
    </row>
    <row r="1048" spans="6:7" x14ac:dyDescent="0.35">
      <c r="F1048">
        <v>1043</v>
      </c>
      <c r="G1048" s="102">
        <f t="shared" ca="1" si="20"/>
        <v>8.5174872762972392E-2</v>
      </c>
    </row>
    <row r="1049" spans="6:7" x14ac:dyDescent="0.35">
      <c r="F1049">
        <v>1044</v>
      </c>
      <c r="G1049" s="102">
        <f t="shared" ca="1" si="20"/>
        <v>-0.15369987566340546</v>
      </c>
    </row>
    <row r="1050" spans="6:7" x14ac:dyDescent="0.35">
      <c r="F1050">
        <v>1045</v>
      </c>
      <c r="G1050" s="102">
        <f t="shared" ca="1" si="20"/>
        <v>-5.3802226819956098E-2</v>
      </c>
    </row>
    <row r="1051" spans="6:7" x14ac:dyDescent="0.35">
      <c r="F1051">
        <v>1046</v>
      </c>
      <c r="G1051" s="102">
        <f t="shared" ca="1" si="20"/>
        <v>7.1246422852768686E-3</v>
      </c>
    </row>
    <row r="1052" spans="6:7" x14ac:dyDescent="0.35">
      <c r="F1052">
        <v>1047</v>
      </c>
      <c r="G1052" s="102">
        <f t="shared" ca="1" si="20"/>
        <v>-2.9280965528235555E-2</v>
      </c>
    </row>
    <row r="1053" spans="6:7" x14ac:dyDescent="0.35">
      <c r="F1053">
        <v>1048</v>
      </c>
      <c r="G1053" s="102">
        <f t="shared" ca="1" si="20"/>
        <v>-5.224772113076015E-2</v>
      </c>
    </row>
    <row r="1054" spans="6:7" x14ac:dyDescent="0.35">
      <c r="F1054">
        <v>1049</v>
      </c>
      <c r="G1054" s="102">
        <f t="shared" ca="1" si="20"/>
        <v>-4.2155446460086579E-2</v>
      </c>
    </row>
    <row r="1055" spans="6:7" x14ac:dyDescent="0.35">
      <c r="F1055">
        <v>1050</v>
      </c>
      <c r="G1055" s="102">
        <f t="shared" ca="1" si="20"/>
        <v>6.0762206934956389E-2</v>
      </c>
    </row>
    <row r="1056" spans="6:7" x14ac:dyDescent="0.35">
      <c r="F1056">
        <v>1051</v>
      </c>
      <c r="G1056" s="102">
        <f t="shared" ca="1" si="20"/>
        <v>0.11795057319124233</v>
      </c>
    </row>
    <row r="1057" spans="6:7" x14ac:dyDescent="0.35">
      <c r="F1057">
        <v>1052</v>
      </c>
      <c r="G1057" s="102">
        <f t="shared" ca="1" si="20"/>
        <v>-4.3810321351540366E-2</v>
      </c>
    </row>
    <row r="1058" spans="6:7" x14ac:dyDescent="0.35">
      <c r="F1058">
        <v>1053</v>
      </c>
      <c r="G1058" s="102">
        <f t="shared" ca="1" si="20"/>
        <v>7.5705049909268428E-4</v>
      </c>
    </row>
    <row r="1059" spans="6:7" x14ac:dyDescent="0.35">
      <c r="F1059">
        <v>1054</v>
      </c>
      <c r="G1059" s="102">
        <f t="shared" ca="1" si="20"/>
        <v>-7.7671683168143435E-2</v>
      </c>
    </row>
    <row r="1060" spans="6:7" x14ac:dyDescent="0.35">
      <c r="F1060">
        <v>1055</v>
      </c>
      <c r="G1060" s="102">
        <f t="shared" ca="1" si="20"/>
        <v>-7.0033975173905402E-2</v>
      </c>
    </row>
    <row r="1061" spans="6:7" x14ac:dyDescent="0.35">
      <c r="F1061">
        <v>1056</v>
      </c>
      <c r="G1061" s="102">
        <f t="shared" ca="1" si="20"/>
        <v>1.6088008991292709E-2</v>
      </c>
    </row>
    <row r="1062" spans="6:7" x14ac:dyDescent="0.35">
      <c r="F1062">
        <v>1057</v>
      </c>
      <c r="G1062" s="102">
        <f t="shared" ca="1" si="20"/>
        <v>-5.9483947458331798E-2</v>
      </c>
    </row>
    <row r="1063" spans="6:7" x14ac:dyDescent="0.35">
      <c r="F1063">
        <v>1058</v>
      </c>
      <c r="G1063" s="102">
        <f t="shared" ca="1" si="20"/>
        <v>-7.1424554564155848E-3</v>
      </c>
    </row>
    <row r="1064" spans="6:7" x14ac:dyDescent="0.35">
      <c r="F1064">
        <v>1059</v>
      </c>
      <c r="G1064" s="102">
        <f t="shared" ca="1" si="20"/>
        <v>2.2569779599816982E-2</v>
      </c>
    </row>
    <row r="1065" spans="6:7" x14ac:dyDescent="0.35">
      <c r="F1065">
        <v>1060</v>
      </c>
      <c r="G1065" s="102">
        <f t="shared" ca="1" si="20"/>
        <v>3.3485782988470603E-2</v>
      </c>
    </row>
    <row r="1066" spans="6:7" x14ac:dyDescent="0.35">
      <c r="F1066">
        <v>1061</v>
      </c>
      <c r="G1066" s="102">
        <f t="shared" ca="1" si="20"/>
        <v>3.4377693561936207E-2</v>
      </c>
    </row>
    <row r="1067" spans="6:7" x14ac:dyDescent="0.35">
      <c r="F1067">
        <v>1062</v>
      </c>
      <c r="G1067" s="102">
        <f t="shared" ca="1" si="20"/>
        <v>-6.7504724046630105E-2</v>
      </c>
    </row>
    <row r="1068" spans="6:7" x14ac:dyDescent="0.35">
      <c r="F1068">
        <v>1063</v>
      </c>
      <c r="G1068" s="102">
        <f t="shared" ca="1" si="20"/>
        <v>2.5201865732387679E-3</v>
      </c>
    </row>
    <row r="1069" spans="6:7" x14ac:dyDescent="0.35">
      <c r="F1069">
        <v>1064</v>
      </c>
      <c r="G1069" s="102">
        <f t="shared" ca="1" si="20"/>
        <v>9.2708337165625931E-3</v>
      </c>
    </row>
    <row r="1070" spans="6:7" x14ac:dyDescent="0.35">
      <c r="F1070">
        <v>1065</v>
      </c>
      <c r="G1070" s="102">
        <f t="shared" ca="1" si="20"/>
        <v>-7.2896241878363258E-2</v>
      </c>
    </row>
    <row r="1071" spans="6:7" x14ac:dyDescent="0.35">
      <c r="F1071">
        <v>1066</v>
      </c>
      <c r="G1071" s="102">
        <f t="shared" ca="1" si="20"/>
        <v>1.4751780866482635E-2</v>
      </c>
    </row>
    <row r="1072" spans="6:7" x14ac:dyDescent="0.35">
      <c r="F1072">
        <v>1067</v>
      </c>
      <c r="G1072" s="102">
        <f t="shared" ca="1" si="20"/>
        <v>-5.1166858288625203E-2</v>
      </c>
    </row>
    <row r="1073" spans="6:7" x14ac:dyDescent="0.35">
      <c r="F1073">
        <v>1068</v>
      </c>
      <c r="G1073" s="102">
        <f t="shared" ca="1" si="20"/>
        <v>-3.7144814315321531E-2</v>
      </c>
    </row>
    <row r="1074" spans="6:7" x14ac:dyDescent="0.35">
      <c r="F1074">
        <v>1069</v>
      </c>
      <c r="G1074" s="102">
        <f t="shared" ca="1" si="20"/>
        <v>9.3334548797855812E-2</v>
      </c>
    </row>
    <row r="1075" spans="6:7" x14ac:dyDescent="0.35">
      <c r="F1075">
        <v>1070</v>
      </c>
      <c r="G1075" s="102">
        <f t="shared" ca="1" si="20"/>
        <v>-0.11896002785217609</v>
      </c>
    </row>
    <row r="1076" spans="6:7" x14ac:dyDescent="0.35">
      <c r="F1076">
        <v>1071</v>
      </c>
      <c r="G1076" s="102">
        <f t="shared" ca="1" si="20"/>
        <v>1.7078524890999952E-2</v>
      </c>
    </row>
    <row r="1077" spans="6:7" x14ac:dyDescent="0.35">
      <c r="F1077">
        <v>1072</v>
      </c>
      <c r="G1077" s="102">
        <f t="shared" ca="1" si="20"/>
        <v>-1.0911842377930768E-2</v>
      </c>
    </row>
    <row r="1078" spans="6:7" x14ac:dyDescent="0.35">
      <c r="F1078">
        <v>1073</v>
      </c>
      <c r="G1078" s="102">
        <f t="shared" ca="1" si="20"/>
        <v>1.275409986557554E-2</v>
      </c>
    </row>
    <row r="1079" spans="6:7" x14ac:dyDescent="0.35">
      <c r="F1079">
        <v>1074</v>
      </c>
      <c r="G1079" s="102">
        <f t="shared" ca="1" si="20"/>
        <v>5.2694976880064484E-2</v>
      </c>
    </row>
    <row r="1080" spans="6:7" x14ac:dyDescent="0.35">
      <c r="F1080">
        <v>1075</v>
      </c>
      <c r="G1080" s="102">
        <f t="shared" ca="1" si="20"/>
        <v>2.6498940209129171E-3</v>
      </c>
    </row>
    <row r="1081" spans="6:7" x14ac:dyDescent="0.35">
      <c r="F1081">
        <v>1076</v>
      </c>
      <c r="G1081" s="102">
        <f t="shared" ca="1" si="20"/>
        <v>-3.5439780530511659E-2</v>
      </c>
    </row>
    <row r="1082" spans="6:7" x14ac:dyDescent="0.35">
      <c r="F1082">
        <v>1077</v>
      </c>
      <c r="G1082" s="102">
        <f t="shared" ca="1" si="20"/>
        <v>5.4262692522369094E-2</v>
      </c>
    </row>
    <row r="1083" spans="6:7" x14ac:dyDescent="0.35">
      <c r="F1083">
        <v>1078</v>
      </c>
      <c r="G1083" s="102">
        <f t="shared" ca="1" si="20"/>
        <v>2.3451755917612411E-2</v>
      </c>
    </row>
    <row r="1084" spans="6:7" x14ac:dyDescent="0.35">
      <c r="F1084">
        <v>1079</v>
      </c>
      <c r="G1084" s="102">
        <f t="shared" ca="1" si="20"/>
        <v>-1.2118377586696897E-2</v>
      </c>
    </row>
    <row r="1085" spans="6:7" x14ac:dyDescent="0.35">
      <c r="F1085">
        <v>1080</v>
      </c>
      <c r="G1085" s="102">
        <f t="shared" ca="1" si="20"/>
        <v>-2.1921413691075541E-2</v>
      </c>
    </row>
    <row r="1086" spans="6:7" x14ac:dyDescent="0.35">
      <c r="F1086">
        <v>1081</v>
      </c>
      <c r="G1086" s="102">
        <f t="shared" ca="1" si="20"/>
        <v>-7.7688030021640644E-3</v>
      </c>
    </row>
    <row r="1087" spans="6:7" x14ac:dyDescent="0.35">
      <c r="F1087">
        <v>1082</v>
      </c>
      <c r="G1087" s="102">
        <f t="shared" ca="1" si="20"/>
        <v>-9.1183401999652865E-3</v>
      </c>
    </row>
    <row r="1088" spans="6:7" x14ac:dyDescent="0.35">
      <c r="F1088">
        <v>1083</v>
      </c>
      <c r="G1088" s="102">
        <f t="shared" ca="1" si="20"/>
        <v>-4.1963600551061875E-3</v>
      </c>
    </row>
    <row r="1089" spans="6:7" x14ac:dyDescent="0.35">
      <c r="F1089">
        <v>1084</v>
      </c>
      <c r="G1089" s="102">
        <f t="shared" ca="1" si="20"/>
        <v>-4.5231845988278263E-3</v>
      </c>
    </row>
    <row r="1090" spans="6:7" x14ac:dyDescent="0.35">
      <c r="F1090">
        <v>1085</v>
      </c>
      <c r="G1090" s="102">
        <f t="shared" ca="1" si="20"/>
        <v>-4.7376055536753406E-2</v>
      </c>
    </row>
    <row r="1091" spans="6:7" x14ac:dyDescent="0.35">
      <c r="F1091">
        <v>1086</v>
      </c>
      <c r="G1091" s="102">
        <f t="shared" ca="1" si="20"/>
        <v>0.10867720973759611</v>
      </c>
    </row>
    <row r="1092" spans="6:7" x14ac:dyDescent="0.35">
      <c r="F1092">
        <v>1087</v>
      </c>
      <c r="G1092" s="102">
        <f t="shared" ca="1" si="20"/>
        <v>-4.2085416864873104E-2</v>
      </c>
    </row>
    <row r="1093" spans="6:7" x14ac:dyDescent="0.35">
      <c r="F1093">
        <v>1088</v>
      </c>
      <c r="G1093" s="102">
        <f t="shared" ca="1" si="20"/>
        <v>2.1319415754564837E-3</v>
      </c>
    </row>
    <row r="1094" spans="6:7" x14ac:dyDescent="0.35">
      <c r="F1094">
        <v>1089</v>
      </c>
      <c r="G1094" s="102">
        <f t="shared" ca="1" si="20"/>
        <v>-2.3545606704297523E-2</v>
      </c>
    </row>
    <row r="1095" spans="6:7" x14ac:dyDescent="0.35">
      <c r="F1095">
        <v>1090</v>
      </c>
      <c r="G1095" s="102">
        <f t="shared" ref="G1095:G1158" ca="1" si="21">_xlfn.NORM.INV(RAND(),M$9,M$10)</f>
        <v>-4.3016407284135791E-2</v>
      </c>
    </row>
    <row r="1096" spans="6:7" x14ac:dyDescent="0.35">
      <c r="F1096">
        <v>1091</v>
      </c>
      <c r="G1096" s="102">
        <f t="shared" ca="1" si="21"/>
        <v>6.6285530079702684E-2</v>
      </c>
    </row>
    <row r="1097" spans="6:7" x14ac:dyDescent="0.35">
      <c r="F1097">
        <v>1092</v>
      </c>
      <c r="G1097" s="102">
        <f t="shared" ca="1" si="21"/>
        <v>-6.4822367112744902E-2</v>
      </c>
    </row>
    <row r="1098" spans="6:7" x14ac:dyDescent="0.35">
      <c r="F1098">
        <v>1093</v>
      </c>
      <c r="G1098" s="102">
        <f t="shared" ca="1" si="21"/>
        <v>4.5388273037701946E-2</v>
      </c>
    </row>
    <row r="1099" spans="6:7" x14ac:dyDescent="0.35">
      <c r="F1099">
        <v>1094</v>
      </c>
      <c r="G1099" s="102">
        <f t="shared" ca="1" si="21"/>
        <v>-4.9612094364924586E-2</v>
      </c>
    </row>
    <row r="1100" spans="6:7" x14ac:dyDescent="0.35">
      <c r="F1100">
        <v>1095</v>
      </c>
      <c r="G1100" s="102">
        <f t="shared" ca="1" si="21"/>
        <v>-1.3010717111699727E-2</v>
      </c>
    </row>
    <row r="1101" spans="6:7" x14ac:dyDescent="0.35">
      <c r="F1101">
        <v>1096</v>
      </c>
      <c r="G1101" s="102">
        <f t="shared" ca="1" si="21"/>
        <v>5.1710682575365693E-2</v>
      </c>
    </row>
    <row r="1102" spans="6:7" x14ac:dyDescent="0.35">
      <c r="F1102">
        <v>1097</v>
      </c>
      <c r="G1102" s="102">
        <f t="shared" ca="1" si="21"/>
        <v>9.9347780650468315E-2</v>
      </c>
    </row>
    <row r="1103" spans="6:7" x14ac:dyDescent="0.35">
      <c r="F1103">
        <v>1098</v>
      </c>
      <c r="G1103" s="102">
        <f t="shared" ca="1" si="21"/>
        <v>-2.6861664561909559E-3</v>
      </c>
    </row>
    <row r="1104" spans="6:7" x14ac:dyDescent="0.35">
      <c r="F1104">
        <v>1099</v>
      </c>
      <c r="G1104" s="102">
        <f t="shared" ca="1" si="21"/>
        <v>1.2484348340929548E-2</v>
      </c>
    </row>
    <row r="1105" spans="6:7" x14ac:dyDescent="0.35">
      <c r="F1105">
        <v>1100</v>
      </c>
      <c r="G1105" s="102">
        <f t="shared" ca="1" si="21"/>
        <v>-0.12419273777099608</v>
      </c>
    </row>
    <row r="1106" spans="6:7" x14ac:dyDescent="0.35">
      <c r="F1106">
        <v>1101</v>
      </c>
      <c r="G1106" s="102">
        <f t="shared" ca="1" si="21"/>
        <v>4.9072823683780728E-2</v>
      </c>
    </row>
    <row r="1107" spans="6:7" x14ac:dyDescent="0.35">
      <c r="F1107">
        <v>1102</v>
      </c>
      <c r="G1107" s="102">
        <f t="shared" ca="1" si="21"/>
        <v>-3.2132718852440546E-2</v>
      </c>
    </row>
    <row r="1108" spans="6:7" x14ac:dyDescent="0.35">
      <c r="F1108">
        <v>1103</v>
      </c>
      <c r="G1108" s="102">
        <f t="shared" ca="1" si="21"/>
        <v>8.215720619392182E-2</v>
      </c>
    </row>
    <row r="1109" spans="6:7" x14ac:dyDescent="0.35">
      <c r="F1109">
        <v>1104</v>
      </c>
      <c r="G1109" s="102">
        <f t="shared" ca="1" si="21"/>
        <v>1.0711578291833872E-2</v>
      </c>
    </row>
    <row r="1110" spans="6:7" x14ac:dyDescent="0.35">
      <c r="F1110">
        <v>1105</v>
      </c>
      <c r="G1110" s="102">
        <f t="shared" ca="1" si="21"/>
        <v>7.4070597220624229E-2</v>
      </c>
    </row>
    <row r="1111" spans="6:7" x14ac:dyDescent="0.35">
      <c r="F1111">
        <v>1106</v>
      </c>
      <c r="G1111" s="102">
        <f t="shared" ca="1" si="21"/>
        <v>-1.9272653567281531E-2</v>
      </c>
    </row>
    <row r="1112" spans="6:7" x14ac:dyDescent="0.35">
      <c r="F1112">
        <v>1107</v>
      </c>
      <c r="G1112" s="102">
        <f t="shared" ca="1" si="21"/>
        <v>1.5916745639845027E-2</v>
      </c>
    </row>
    <row r="1113" spans="6:7" x14ac:dyDescent="0.35">
      <c r="F1113">
        <v>1108</v>
      </c>
      <c r="G1113" s="102">
        <f t="shared" ca="1" si="21"/>
        <v>0.1693287170268247</v>
      </c>
    </row>
    <row r="1114" spans="6:7" x14ac:dyDescent="0.35">
      <c r="F1114">
        <v>1109</v>
      </c>
      <c r="G1114" s="102">
        <f t="shared" ca="1" si="21"/>
        <v>-9.7948727292950052E-2</v>
      </c>
    </row>
    <row r="1115" spans="6:7" x14ac:dyDescent="0.35">
      <c r="F1115">
        <v>1110</v>
      </c>
      <c r="G1115" s="102">
        <f t="shared" ca="1" si="21"/>
        <v>-1.1152772025011025E-2</v>
      </c>
    </row>
    <row r="1116" spans="6:7" x14ac:dyDescent="0.35">
      <c r="F1116">
        <v>1111</v>
      </c>
      <c r="G1116" s="102">
        <f t="shared" ca="1" si="21"/>
        <v>3.0835138122070973E-2</v>
      </c>
    </row>
    <row r="1117" spans="6:7" x14ac:dyDescent="0.35">
      <c r="F1117">
        <v>1112</v>
      </c>
      <c r="G1117" s="102">
        <f t="shared" ca="1" si="21"/>
        <v>8.4112924580011711E-2</v>
      </c>
    </row>
    <row r="1118" spans="6:7" x14ac:dyDescent="0.35">
      <c r="F1118">
        <v>1113</v>
      </c>
      <c r="G1118" s="102">
        <f t="shared" ca="1" si="21"/>
        <v>-0.17746743225980827</v>
      </c>
    </row>
    <row r="1119" spans="6:7" x14ac:dyDescent="0.35">
      <c r="F1119">
        <v>1114</v>
      </c>
      <c r="G1119" s="102">
        <f t="shared" ca="1" si="21"/>
        <v>6.6102177945538756E-2</v>
      </c>
    </row>
    <row r="1120" spans="6:7" x14ac:dyDescent="0.35">
      <c r="F1120">
        <v>1115</v>
      </c>
      <c r="G1120" s="102">
        <f t="shared" ca="1" si="21"/>
        <v>-5.6684623078703519E-2</v>
      </c>
    </row>
    <row r="1121" spans="6:7" x14ac:dyDescent="0.35">
      <c r="F1121">
        <v>1116</v>
      </c>
      <c r="G1121" s="102">
        <f t="shared" ca="1" si="21"/>
        <v>9.7943787030482968E-2</v>
      </c>
    </row>
    <row r="1122" spans="6:7" x14ac:dyDescent="0.35">
      <c r="F1122">
        <v>1117</v>
      </c>
      <c r="G1122" s="102">
        <f t="shared" ca="1" si="21"/>
        <v>-4.0455153867653582E-2</v>
      </c>
    </row>
    <row r="1123" spans="6:7" x14ac:dyDescent="0.35">
      <c r="F1123">
        <v>1118</v>
      </c>
      <c r="G1123" s="102">
        <f t="shared" ca="1" si="21"/>
        <v>4.1678213713585866E-3</v>
      </c>
    </row>
    <row r="1124" spans="6:7" x14ac:dyDescent="0.35">
      <c r="F1124">
        <v>1119</v>
      </c>
      <c r="G1124" s="102">
        <f t="shared" ca="1" si="21"/>
        <v>-2.1181737488091446E-3</v>
      </c>
    </row>
    <row r="1125" spans="6:7" x14ac:dyDescent="0.35">
      <c r="F1125">
        <v>1120</v>
      </c>
      <c r="G1125" s="102">
        <f t="shared" ca="1" si="21"/>
        <v>7.1800891294399958E-3</v>
      </c>
    </row>
    <row r="1126" spans="6:7" x14ac:dyDescent="0.35">
      <c r="F1126">
        <v>1121</v>
      </c>
      <c r="G1126" s="102">
        <f t="shared" ca="1" si="21"/>
        <v>1.8176089540031248E-2</v>
      </c>
    </row>
    <row r="1127" spans="6:7" x14ac:dyDescent="0.35">
      <c r="F1127">
        <v>1122</v>
      </c>
      <c r="G1127" s="102">
        <f t="shared" ca="1" si="21"/>
        <v>-6.5819156830692047E-2</v>
      </c>
    </row>
    <row r="1128" spans="6:7" x14ac:dyDescent="0.35">
      <c r="F1128">
        <v>1123</v>
      </c>
      <c r="G1128" s="102">
        <f t="shared" ca="1" si="21"/>
        <v>-9.9829026402656479E-2</v>
      </c>
    </row>
    <row r="1129" spans="6:7" x14ac:dyDescent="0.35">
      <c r="F1129">
        <v>1124</v>
      </c>
      <c r="G1129" s="102">
        <f t="shared" ca="1" si="21"/>
        <v>-4.406023537448496E-2</v>
      </c>
    </row>
    <row r="1130" spans="6:7" x14ac:dyDescent="0.35">
      <c r="F1130">
        <v>1125</v>
      </c>
      <c r="G1130" s="102">
        <f t="shared" ca="1" si="21"/>
        <v>-2.4068471049484192E-2</v>
      </c>
    </row>
    <row r="1131" spans="6:7" x14ac:dyDescent="0.35">
      <c r="F1131">
        <v>1126</v>
      </c>
      <c r="G1131" s="102">
        <f t="shared" ca="1" si="21"/>
        <v>-0.11005200440764591</v>
      </c>
    </row>
    <row r="1132" spans="6:7" x14ac:dyDescent="0.35">
      <c r="F1132">
        <v>1127</v>
      </c>
      <c r="G1132" s="102">
        <f t="shared" ca="1" si="21"/>
        <v>-5.9413400699790356E-2</v>
      </c>
    </row>
    <row r="1133" spans="6:7" x14ac:dyDescent="0.35">
      <c r="F1133">
        <v>1128</v>
      </c>
      <c r="G1133" s="102">
        <f t="shared" ca="1" si="21"/>
        <v>-2.7745768149585584E-2</v>
      </c>
    </row>
    <row r="1134" spans="6:7" x14ac:dyDescent="0.35">
      <c r="F1134">
        <v>1129</v>
      </c>
      <c r="G1134" s="102">
        <f t="shared" ca="1" si="21"/>
        <v>7.4807240711006404E-2</v>
      </c>
    </row>
    <row r="1135" spans="6:7" x14ac:dyDescent="0.35">
      <c r="F1135">
        <v>1130</v>
      </c>
      <c r="G1135" s="102">
        <f t="shared" ca="1" si="21"/>
        <v>-2.4277181016970805E-2</v>
      </c>
    </row>
    <row r="1136" spans="6:7" x14ac:dyDescent="0.35">
      <c r="F1136">
        <v>1131</v>
      </c>
      <c r="G1136" s="102">
        <f t="shared" ca="1" si="21"/>
        <v>6.7658713919919455E-2</v>
      </c>
    </row>
    <row r="1137" spans="6:7" x14ac:dyDescent="0.35">
      <c r="F1137">
        <v>1132</v>
      </c>
      <c r="G1137" s="102">
        <f t="shared" ca="1" si="21"/>
        <v>4.5043715681235427E-2</v>
      </c>
    </row>
    <row r="1138" spans="6:7" x14ac:dyDescent="0.35">
      <c r="F1138">
        <v>1133</v>
      </c>
      <c r="G1138" s="102">
        <f t="shared" ca="1" si="21"/>
        <v>-2.4000987625658224E-3</v>
      </c>
    </row>
    <row r="1139" spans="6:7" x14ac:dyDescent="0.35">
      <c r="F1139">
        <v>1134</v>
      </c>
      <c r="G1139" s="102">
        <f t="shared" ca="1" si="21"/>
        <v>2.7578458370040828E-2</v>
      </c>
    </row>
    <row r="1140" spans="6:7" x14ac:dyDescent="0.35">
      <c r="F1140">
        <v>1135</v>
      </c>
      <c r="G1140" s="102">
        <f t="shared" ca="1" si="21"/>
        <v>4.0014411813453804E-2</v>
      </c>
    </row>
    <row r="1141" spans="6:7" x14ac:dyDescent="0.35">
      <c r="F1141">
        <v>1136</v>
      </c>
      <c r="G1141" s="102">
        <f t="shared" ca="1" si="21"/>
        <v>-6.3334592804603018E-2</v>
      </c>
    </row>
    <row r="1142" spans="6:7" x14ac:dyDescent="0.35">
      <c r="F1142">
        <v>1137</v>
      </c>
      <c r="G1142" s="102">
        <f t="shared" ca="1" si="21"/>
        <v>0.13461255993227605</v>
      </c>
    </row>
    <row r="1143" spans="6:7" x14ac:dyDescent="0.35">
      <c r="F1143">
        <v>1138</v>
      </c>
      <c r="G1143" s="102">
        <f t="shared" ca="1" si="21"/>
        <v>0.15110713062815223</v>
      </c>
    </row>
    <row r="1144" spans="6:7" x14ac:dyDescent="0.35">
      <c r="F1144">
        <v>1139</v>
      </c>
      <c r="G1144" s="102">
        <f t="shared" ca="1" si="21"/>
        <v>5.182358268353783E-2</v>
      </c>
    </row>
    <row r="1145" spans="6:7" x14ac:dyDescent="0.35">
      <c r="F1145">
        <v>1140</v>
      </c>
      <c r="G1145" s="102">
        <f t="shared" ca="1" si="21"/>
        <v>-2.0446398628059616E-2</v>
      </c>
    </row>
    <row r="1146" spans="6:7" x14ac:dyDescent="0.35">
      <c r="F1146">
        <v>1141</v>
      </c>
      <c r="G1146" s="102">
        <f t="shared" ca="1" si="21"/>
        <v>-1.4214060344966785E-2</v>
      </c>
    </row>
    <row r="1147" spans="6:7" x14ac:dyDescent="0.35">
      <c r="F1147">
        <v>1142</v>
      </c>
      <c r="G1147" s="102">
        <f t="shared" ca="1" si="21"/>
        <v>-8.4878238060200391E-3</v>
      </c>
    </row>
    <row r="1148" spans="6:7" x14ac:dyDescent="0.35">
      <c r="F1148">
        <v>1143</v>
      </c>
      <c r="G1148" s="102">
        <f t="shared" ca="1" si="21"/>
        <v>3.3537308552581094E-2</v>
      </c>
    </row>
    <row r="1149" spans="6:7" x14ac:dyDescent="0.35">
      <c r="F1149">
        <v>1144</v>
      </c>
      <c r="G1149" s="102">
        <f t="shared" ca="1" si="21"/>
        <v>3.0740362518696742E-2</v>
      </c>
    </row>
    <row r="1150" spans="6:7" x14ac:dyDescent="0.35">
      <c r="F1150">
        <v>1145</v>
      </c>
      <c r="G1150" s="102">
        <f t="shared" ca="1" si="21"/>
        <v>-6.6872605010564204E-2</v>
      </c>
    </row>
    <row r="1151" spans="6:7" x14ac:dyDescent="0.35">
      <c r="F1151">
        <v>1146</v>
      </c>
      <c r="G1151" s="102">
        <f t="shared" ca="1" si="21"/>
        <v>-6.9698581345513835E-2</v>
      </c>
    </row>
    <row r="1152" spans="6:7" x14ac:dyDescent="0.35">
      <c r="F1152">
        <v>1147</v>
      </c>
      <c r="G1152" s="102">
        <f t="shared" ca="1" si="21"/>
        <v>8.1102174853862771E-2</v>
      </c>
    </row>
    <row r="1153" spans="6:7" x14ac:dyDescent="0.35">
      <c r="F1153">
        <v>1148</v>
      </c>
      <c r="G1153" s="102">
        <f t="shared" ca="1" si="21"/>
        <v>6.6072558694200131E-2</v>
      </c>
    </row>
    <row r="1154" spans="6:7" x14ac:dyDescent="0.35">
      <c r="F1154">
        <v>1149</v>
      </c>
      <c r="G1154" s="102">
        <f t="shared" ca="1" si="21"/>
        <v>-2.8110882349522595E-2</v>
      </c>
    </row>
    <row r="1155" spans="6:7" x14ac:dyDescent="0.35">
      <c r="F1155">
        <v>1150</v>
      </c>
      <c r="G1155" s="102">
        <f t="shared" ca="1" si="21"/>
        <v>-2.0265980163085423E-2</v>
      </c>
    </row>
    <row r="1156" spans="6:7" x14ac:dyDescent="0.35">
      <c r="F1156">
        <v>1151</v>
      </c>
      <c r="G1156" s="102">
        <f t="shared" ca="1" si="21"/>
        <v>8.4726489313736622E-2</v>
      </c>
    </row>
    <row r="1157" spans="6:7" x14ac:dyDescent="0.35">
      <c r="F1157">
        <v>1152</v>
      </c>
      <c r="G1157" s="102">
        <f t="shared" ca="1" si="21"/>
        <v>-5.2372105451307965E-2</v>
      </c>
    </row>
    <row r="1158" spans="6:7" x14ac:dyDescent="0.35">
      <c r="F1158">
        <v>1153</v>
      </c>
      <c r="G1158" s="102">
        <f t="shared" ca="1" si="21"/>
        <v>2.8564708390383015E-2</v>
      </c>
    </row>
    <row r="1159" spans="6:7" x14ac:dyDescent="0.35">
      <c r="F1159">
        <v>1154</v>
      </c>
      <c r="G1159" s="102">
        <f t="shared" ref="G1159:G1222" ca="1" si="22">_xlfn.NORM.INV(RAND(),M$9,M$10)</f>
        <v>-1.9271339081977819E-3</v>
      </c>
    </row>
    <row r="1160" spans="6:7" x14ac:dyDescent="0.35">
      <c r="F1160">
        <v>1155</v>
      </c>
      <c r="G1160" s="102">
        <f t="shared" ca="1" si="22"/>
        <v>-4.3577741620625485E-2</v>
      </c>
    </row>
    <row r="1161" spans="6:7" x14ac:dyDescent="0.35">
      <c r="F1161">
        <v>1156</v>
      </c>
      <c r="G1161" s="102">
        <f t="shared" ca="1" si="22"/>
        <v>6.4756748255039062E-2</v>
      </c>
    </row>
    <row r="1162" spans="6:7" x14ac:dyDescent="0.35">
      <c r="F1162">
        <v>1157</v>
      </c>
      <c r="G1162" s="102">
        <f t="shared" ca="1" si="22"/>
        <v>0.10258425200291514</v>
      </c>
    </row>
    <row r="1163" spans="6:7" x14ac:dyDescent="0.35">
      <c r="F1163">
        <v>1158</v>
      </c>
      <c r="G1163" s="102">
        <f t="shared" ca="1" si="22"/>
        <v>6.5870944449177404E-2</v>
      </c>
    </row>
    <row r="1164" spans="6:7" x14ac:dyDescent="0.35">
      <c r="F1164">
        <v>1159</v>
      </c>
      <c r="G1164" s="102">
        <f t="shared" ca="1" si="22"/>
        <v>-1.0051362919820981E-2</v>
      </c>
    </row>
    <row r="1165" spans="6:7" x14ac:dyDescent="0.35">
      <c r="F1165">
        <v>1160</v>
      </c>
      <c r="G1165" s="102">
        <f t="shared" ca="1" si="22"/>
        <v>-1.0683806197311638E-3</v>
      </c>
    </row>
    <row r="1166" spans="6:7" x14ac:dyDescent="0.35">
      <c r="F1166">
        <v>1161</v>
      </c>
      <c r="G1166" s="102">
        <f t="shared" ca="1" si="22"/>
        <v>3.654596470387371E-2</v>
      </c>
    </row>
    <row r="1167" spans="6:7" x14ac:dyDescent="0.35">
      <c r="F1167">
        <v>1162</v>
      </c>
      <c r="G1167" s="102">
        <f t="shared" ca="1" si="22"/>
        <v>-2.6878252501808933E-2</v>
      </c>
    </row>
    <row r="1168" spans="6:7" x14ac:dyDescent="0.35">
      <c r="F1168">
        <v>1163</v>
      </c>
      <c r="G1168" s="102">
        <f t="shared" ca="1" si="22"/>
        <v>-3.8461175815277165E-2</v>
      </c>
    </row>
    <row r="1169" spans="6:7" x14ac:dyDescent="0.35">
      <c r="F1169">
        <v>1164</v>
      </c>
      <c r="G1169" s="102">
        <f t="shared" ca="1" si="22"/>
        <v>-1.2376919614386091E-2</v>
      </c>
    </row>
    <row r="1170" spans="6:7" x14ac:dyDescent="0.35">
      <c r="F1170">
        <v>1165</v>
      </c>
      <c r="G1170" s="102">
        <f t="shared" ca="1" si="22"/>
        <v>-6.2233859373654415E-2</v>
      </c>
    </row>
    <row r="1171" spans="6:7" x14ac:dyDescent="0.35">
      <c r="F1171">
        <v>1166</v>
      </c>
      <c r="G1171" s="102">
        <f t="shared" ca="1" si="22"/>
        <v>-6.167393246962101E-2</v>
      </c>
    </row>
    <row r="1172" spans="6:7" x14ac:dyDescent="0.35">
      <c r="F1172">
        <v>1167</v>
      </c>
      <c r="G1172" s="102">
        <f t="shared" ca="1" si="22"/>
        <v>-8.3370959336417874E-2</v>
      </c>
    </row>
    <row r="1173" spans="6:7" x14ac:dyDescent="0.35">
      <c r="F1173">
        <v>1168</v>
      </c>
      <c r="G1173" s="102">
        <f t="shared" ca="1" si="22"/>
        <v>-4.2373540641255397E-2</v>
      </c>
    </row>
    <row r="1174" spans="6:7" x14ac:dyDescent="0.35">
      <c r="F1174">
        <v>1169</v>
      </c>
      <c r="G1174" s="102">
        <f t="shared" ca="1" si="22"/>
        <v>-2.6153631126954241E-3</v>
      </c>
    </row>
    <row r="1175" spans="6:7" x14ac:dyDescent="0.35">
      <c r="F1175">
        <v>1170</v>
      </c>
      <c r="G1175" s="102">
        <f t="shared" ca="1" si="22"/>
        <v>-2.1261023070914872E-2</v>
      </c>
    </row>
    <row r="1176" spans="6:7" x14ac:dyDescent="0.35">
      <c r="F1176">
        <v>1171</v>
      </c>
      <c r="G1176" s="102">
        <f t="shared" ca="1" si="22"/>
        <v>1.7922768790230989E-3</v>
      </c>
    </row>
    <row r="1177" spans="6:7" x14ac:dyDescent="0.35">
      <c r="F1177">
        <v>1172</v>
      </c>
      <c r="G1177" s="102">
        <f t="shared" ca="1" si="22"/>
        <v>-8.0630255161362976E-2</v>
      </c>
    </row>
    <row r="1178" spans="6:7" x14ac:dyDescent="0.35">
      <c r="F1178">
        <v>1173</v>
      </c>
      <c r="G1178" s="102">
        <f t="shared" ca="1" si="22"/>
        <v>-6.4568813786732918E-2</v>
      </c>
    </row>
    <row r="1179" spans="6:7" x14ac:dyDescent="0.35">
      <c r="F1179">
        <v>1174</v>
      </c>
      <c r="G1179" s="102">
        <f t="shared" ca="1" si="22"/>
        <v>5.8543205587504692E-3</v>
      </c>
    </row>
    <row r="1180" spans="6:7" x14ac:dyDescent="0.35">
      <c r="F1180">
        <v>1175</v>
      </c>
      <c r="G1180" s="102">
        <f t="shared" ca="1" si="22"/>
        <v>-2.7605992303894523E-2</v>
      </c>
    </row>
    <row r="1181" spans="6:7" x14ac:dyDescent="0.35">
      <c r="F1181">
        <v>1176</v>
      </c>
      <c r="G1181" s="102">
        <f t="shared" ca="1" si="22"/>
        <v>5.0017356102648014E-2</v>
      </c>
    </row>
    <row r="1182" spans="6:7" x14ac:dyDescent="0.35">
      <c r="F1182">
        <v>1177</v>
      </c>
      <c r="G1182" s="102">
        <f t="shared" ca="1" si="22"/>
        <v>8.8132832003707848E-2</v>
      </c>
    </row>
    <row r="1183" spans="6:7" x14ac:dyDescent="0.35">
      <c r="F1183">
        <v>1178</v>
      </c>
      <c r="G1183" s="102">
        <f t="shared" ca="1" si="22"/>
        <v>-4.5129003944740245E-2</v>
      </c>
    </row>
    <row r="1184" spans="6:7" x14ac:dyDescent="0.35">
      <c r="F1184">
        <v>1179</v>
      </c>
      <c r="G1184" s="102">
        <f t="shared" ca="1" si="22"/>
        <v>0.11122531199046122</v>
      </c>
    </row>
    <row r="1185" spans="6:7" x14ac:dyDescent="0.35">
      <c r="F1185">
        <v>1180</v>
      </c>
      <c r="G1185" s="102">
        <f t="shared" ca="1" si="22"/>
        <v>-5.327459787148317E-2</v>
      </c>
    </row>
    <row r="1186" spans="6:7" x14ac:dyDescent="0.35">
      <c r="F1186">
        <v>1181</v>
      </c>
      <c r="G1186" s="102">
        <f t="shared" ca="1" si="22"/>
        <v>8.4225038575500011E-2</v>
      </c>
    </row>
    <row r="1187" spans="6:7" x14ac:dyDescent="0.35">
      <c r="F1187">
        <v>1182</v>
      </c>
      <c r="G1187" s="102">
        <f t="shared" ca="1" si="22"/>
        <v>-0.10026510324049805</v>
      </c>
    </row>
    <row r="1188" spans="6:7" x14ac:dyDescent="0.35">
      <c r="F1188">
        <v>1183</v>
      </c>
      <c r="G1188" s="102">
        <f t="shared" ca="1" si="22"/>
        <v>-5.6211005990054498E-3</v>
      </c>
    </row>
    <row r="1189" spans="6:7" x14ac:dyDescent="0.35">
      <c r="F1189">
        <v>1184</v>
      </c>
      <c r="G1189" s="102">
        <f t="shared" ca="1" si="22"/>
        <v>1.7267621609399979E-2</v>
      </c>
    </row>
    <row r="1190" spans="6:7" x14ac:dyDescent="0.35">
      <c r="F1190">
        <v>1185</v>
      </c>
      <c r="G1190" s="102">
        <f t="shared" ca="1" si="22"/>
        <v>3.6234601821429693E-2</v>
      </c>
    </row>
    <row r="1191" spans="6:7" x14ac:dyDescent="0.35">
      <c r="F1191">
        <v>1186</v>
      </c>
      <c r="G1191" s="102">
        <f t="shared" ca="1" si="22"/>
        <v>-0.11787079564054112</v>
      </c>
    </row>
    <row r="1192" spans="6:7" x14ac:dyDescent="0.35">
      <c r="F1192">
        <v>1187</v>
      </c>
      <c r="G1192" s="102">
        <f t="shared" ca="1" si="22"/>
        <v>-2.5669486628159843E-3</v>
      </c>
    </row>
    <row r="1193" spans="6:7" x14ac:dyDescent="0.35">
      <c r="F1193">
        <v>1188</v>
      </c>
      <c r="G1193" s="102">
        <f t="shared" ca="1" si="22"/>
        <v>8.3445905743398333E-3</v>
      </c>
    </row>
    <row r="1194" spans="6:7" x14ac:dyDescent="0.35">
      <c r="F1194">
        <v>1189</v>
      </c>
      <c r="G1194" s="102">
        <f t="shared" ca="1" si="22"/>
        <v>2.6031697099241299E-2</v>
      </c>
    </row>
    <row r="1195" spans="6:7" x14ac:dyDescent="0.35">
      <c r="F1195">
        <v>1190</v>
      </c>
      <c r="G1195" s="102">
        <f t="shared" ca="1" si="22"/>
        <v>1.3213143549663166E-2</v>
      </c>
    </row>
    <row r="1196" spans="6:7" x14ac:dyDescent="0.35">
      <c r="F1196">
        <v>1191</v>
      </c>
      <c r="G1196" s="102">
        <f t="shared" ca="1" si="22"/>
        <v>6.6958808937669506E-3</v>
      </c>
    </row>
    <row r="1197" spans="6:7" x14ac:dyDescent="0.35">
      <c r="F1197">
        <v>1192</v>
      </c>
      <c r="G1197" s="102">
        <f t="shared" ca="1" si="22"/>
        <v>4.3867976227936797E-2</v>
      </c>
    </row>
    <row r="1198" spans="6:7" x14ac:dyDescent="0.35">
      <c r="F1198">
        <v>1193</v>
      </c>
      <c r="G1198" s="102">
        <f t="shared" ca="1" si="22"/>
        <v>9.8367537096659269E-2</v>
      </c>
    </row>
    <row r="1199" spans="6:7" x14ac:dyDescent="0.35">
      <c r="F1199">
        <v>1194</v>
      </c>
      <c r="G1199" s="102">
        <f t="shared" ca="1" si="22"/>
        <v>6.8572603807551841E-2</v>
      </c>
    </row>
    <row r="1200" spans="6:7" x14ac:dyDescent="0.35">
      <c r="F1200">
        <v>1195</v>
      </c>
      <c r="G1200" s="102">
        <f t="shared" ca="1" si="22"/>
        <v>1.1087626100145373E-3</v>
      </c>
    </row>
    <row r="1201" spans="6:7" x14ac:dyDescent="0.35">
      <c r="F1201">
        <v>1196</v>
      </c>
      <c r="G1201" s="102">
        <f t="shared" ca="1" si="22"/>
        <v>-3.2932050812964991E-2</v>
      </c>
    </row>
    <row r="1202" spans="6:7" x14ac:dyDescent="0.35">
      <c r="F1202">
        <v>1197</v>
      </c>
      <c r="G1202" s="102">
        <f t="shared" ca="1" si="22"/>
        <v>0.12689463646971658</v>
      </c>
    </row>
    <row r="1203" spans="6:7" x14ac:dyDescent="0.35">
      <c r="F1203">
        <v>1198</v>
      </c>
      <c r="G1203" s="102">
        <f t="shared" ca="1" si="22"/>
        <v>1.5084755623024089E-2</v>
      </c>
    </row>
    <row r="1204" spans="6:7" x14ac:dyDescent="0.35">
      <c r="F1204">
        <v>1199</v>
      </c>
      <c r="G1204" s="102">
        <f t="shared" ca="1" si="22"/>
        <v>3.6565931942513424E-2</v>
      </c>
    </row>
    <row r="1205" spans="6:7" x14ac:dyDescent="0.35">
      <c r="F1205">
        <v>1200</v>
      </c>
      <c r="G1205" s="102">
        <f t="shared" ca="1" si="22"/>
        <v>-0.10464027875111853</v>
      </c>
    </row>
    <row r="1206" spans="6:7" x14ac:dyDescent="0.35">
      <c r="F1206">
        <v>1201</v>
      </c>
      <c r="G1206" s="102">
        <f t="shared" ca="1" si="22"/>
        <v>-0.17552519006013534</v>
      </c>
    </row>
    <row r="1207" spans="6:7" x14ac:dyDescent="0.35">
      <c r="F1207">
        <v>1202</v>
      </c>
      <c r="G1207" s="102">
        <f t="shared" ca="1" si="22"/>
        <v>5.9525119851966443E-2</v>
      </c>
    </row>
    <row r="1208" spans="6:7" x14ac:dyDescent="0.35">
      <c r="F1208">
        <v>1203</v>
      </c>
      <c r="G1208" s="102">
        <f t="shared" ca="1" si="22"/>
        <v>6.3996635354637899E-2</v>
      </c>
    </row>
    <row r="1209" spans="6:7" x14ac:dyDescent="0.35">
      <c r="F1209">
        <v>1204</v>
      </c>
      <c r="G1209" s="102">
        <f t="shared" ca="1" si="22"/>
        <v>3.2790802338641609E-2</v>
      </c>
    </row>
    <row r="1210" spans="6:7" x14ac:dyDescent="0.35">
      <c r="F1210">
        <v>1205</v>
      </c>
      <c r="G1210" s="102">
        <f t="shared" ca="1" si="22"/>
        <v>-1.7800328961300577E-3</v>
      </c>
    </row>
    <row r="1211" spans="6:7" x14ac:dyDescent="0.35">
      <c r="F1211">
        <v>1206</v>
      </c>
      <c r="G1211" s="102">
        <f t="shared" ca="1" si="22"/>
        <v>-2.7618294578736418E-2</v>
      </c>
    </row>
    <row r="1212" spans="6:7" x14ac:dyDescent="0.35">
      <c r="F1212">
        <v>1207</v>
      </c>
      <c r="G1212" s="102">
        <f t="shared" ca="1" si="22"/>
        <v>1.6316807518684844E-2</v>
      </c>
    </row>
    <row r="1213" spans="6:7" x14ac:dyDescent="0.35">
      <c r="F1213">
        <v>1208</v>
      </c>
      <c r="G1213" s="102">
        <f t="shared" ca="1" si="22"/>
        <v>9.4831351248148201E-3</v>
      </c>
    </row>
    <row r="1214" spans="6:7" x14ac:dyDescent="0.35">
      <c r="F1214">
        <v>1209</v>
      </c>
      <c r="G1214" s="102">
        <f t="shared" ca="1" si="22"/>
        <v>-1.0887192673151684E-3</v>
      </c>
    </row>
    <row r="1215" spans="6:7" x14ac:dyDescent="0.35">
      <c r="F1215">
        <v>1210</v>
      </c>
      <c r="G1215" s="102">
        <f t="shared" ca="1" si="22"/>
        <v>7.120301342625858E-2</v>
      </c>
    </row>
    <row r="1216" spans="6:7" x14ac:dyDescent="0.35">
      <c r="F1216">
        <v>1211</v>
      </c>
      <c r="G1216" s="102">
        <f t="shared" ca="1" si="22"/>
        <v>3.3482661037204431E-2</v>
      </c>
    </row>
    <row r="1217" spans="6:7" x14ac:dyDescent="0.35">
      <c r="F1217">
        <v>1212</v>
      </c>
      <c r="G1217" s="102">
        <f t="shared" ca="1" si="22"/>
        <v>-9.5018039115553871E-2</v>
      </c>
    </row>
    <row r="1218" spans="6:7" x14ac:dyDescent="0.35">
      <c r="F1218">
        <v>1213</v>
      </c>
      <c r="G1218" s="102">
        <f t="shared" ca="1" si="22"/>
        <v>2.3593936160475646E-2</v>
      </c>
    </row>
    <row r="1219" spans="6:7" x14ac:dyDescent="0.35">
      <c r="F1219">
        <v>1214</v>
      </c>
      <c r="G1219" s="102">
        <f t="shared" ca="1" si="22"/>
        <v>-9.8235405117479913E-2</v>
      </c>
    </row>
    <row r="1220" spans="6:7" x14ac:dyDescent="0.35">
      <c r="F1220">
        <v>1215</v>
      </c>
      <c r="G1220" s="102">
        <f t="shared" ca="1" si="22"/>
        <v>3.0940107492597953E-2</v>
      </c>
    </row>
    <row r="1221" spans="6:7" x14ac:dyDescent="0.35">
      <c r="F1221">
        <v>1216</v>
      </c>
      <c r="G1221" s="102">
        <f t="shared" ca="1" si="22"/>
        <v>-5.8444485078186545E-2</v>
      </c>
    </row>
    <row r="1222" spans="6:7" x14ac:dyDescent="0.35">
      <c r="F1222">
        <v>1217</v>
      </c>
      <c r="G1222" s="102">
        <f t="shared" ca="1" si="22"/>
        <v>-8.7386097221732212E-2</v>
      </c>
    </row>
    <row r="1223" spans="6:7" x14ac:dyDescent="0.35">
      <c r="F1223">
        <v>1218</v>
      </c>
      <c r="G1223" s="102">
        <f t="shared" ref="G1223:G1286" ca="1" si="23">_xlfn.NORM.INV(RAND(),M$9,M$10)</f>
        <v>3.6997869028596433E-2</v>
      </c>
    </row>
    <row r="1224" spans="6:7" x14ac:dyDescent="0.35">
      <c r="F1224">
        <v>1219</v>
      </c>
      <c r="G1224" s="102">
        <f t="shared" ca="1" si="23"/>
        <v>2.1783057498636342E-2</v>
      </c>
    </row>
    <row r="1225" spans="6:7" x14ac:dyDescent="0.35">
      <c r="F1225">
        <v>1220</v>
      </c>
      <c r="G1225" s="102">
        <f t="shared" ca="1" si="23"/>
        <v>7.4006136819577864E-2</v>
      </c>
    </row>
    <row r="1226" spans="6:7" x14ac:dyDescent="0.35">
      <c r="F1226">
        <v>1221</v>
      </c>
      <c r="G1226" s="102">
        <f t="shared" ca="1" si="23"/>
        <v>-5.991942381294553E-2</v>
      </c>
    </row>
    <row r="1227" spans="6:7" x14ac:dyDescent="0.35">
      <c r="F1227">
        <v>1222</v>
      </c>
      <c r="G1227" s="102">
        <f t="shared" ca="1" si="23"/>
        <v>-5.7505697848208885E-3</v>
      </c>
    </row>
    <row r="1228" spans="6:7" x14ac:dyDescent="0.35">
      <c r="F1228">
        <v>1223</v>
      </c>
      <c r="G1228" s="102">
        <f t="shared" ca="1" si="23"/>
        <v>3.5233523104948455E-2</v>
      </c>
    </row>
    <row r="1229" spans="6:7" x14ac:dyDescent="0.35">
      <c r="F1229">
        <v>1224</v>
      </c>
      <c r="G1229" s="102">
        <f t="shared" ca="1" si="23"/>
        <v>4.7152979321026259E-2</v>
      </c>
    </row>
    <row r="1230" spans="6:7" x14ac:dyDescent="0.35">
      <c r="F1230">
        <v>1225</v>
      </c>
      <c r="G1230" s="102">
        <f t="shared" ca="1" si="23"/>
        <v>9.7685403688303932E-2</v>
      </c>
    </row>
    <row r="1231" spans="6:7" x14ac:dyDescent="0.35">
      <c r="F1231">
        <v>1226</v>
      </c>
      <c r="G1231" s="102">
        <f t="shared" ca="1" si="23"/>
        <v>-2.4052190265285493E-2</v>
      </c>
    </row>
    <row r="1232" spans="6:7" x14ac:dyDescent="0.35">
      <c r="F1232">
        <v>1227</v>
      </c>
      <c r="G1232" s="102">
        <f t="shared" ca="1" si="23"/>
        <v>-3.7382823445131094E-2</v>
      </c>
    </row>
    <row r="1233" spans="6:7" x14ac:dyDescent="0.35">
      <c r="F1233">
        <v>1228</v>
      </c>
      <c r="G1233" s="102">
        <f t="shared" ca="1" si="23"/>
        <v>7.9342715688114837E-2</v>
      </c>
    </row>
    <row r="1234" spans="6:7" x14ac:dyDescent="0.35">
      <c r="F1234">
        <v>1229</v>
      </c>
      <c r="G1234" s="102">
        <f t="shared" ca="1" si="23"/>
        <v>3.438071674037152E-2</v>
      </c>
    </row>
    <row r="1235" spans="6:7" x14ac:dyDescent="0.35">
      <c r="F1235">
        <v>1230</v>
      </c>
      <c r="G1235" s="102">
        <f t="shared" ca="1" si="23"/>
        <v>2.7508209848117412E-2</v>
      </c>
    </row>
    <row r="1236" spans="6:7" x14ac:dyDescent="0.35">
      <c r="F1236">
        <v>1231</v>
      </c>
      <c r="G1236" s="102">
        <f t="shared" ca="1" si="23"/>
        <v>7.2982500018862945E-2</v>
      </c>
    </row>
    <row r="1237" spans="6:7" x14ac:dyDescent="0.35">
      <c r="F1237">
        <v>1232</v>
      </c>
      <c r="G1237" s="102">
        <f t="shared" ca="1" si="23"/>
        <v>2.9498494692825398E-2</v>
      </c>
    </row>
    <row r="1238" spans="6:7" x14ac:dyDescent="0.35">
      <c r="F1238">
        <v>1233</v>
      </c>
      <c r="G1238" s="102">
        <f t="shared" ca="1" si="23"/>
        <v>-2.8111745294487449E-2</v>
      </c>
    </row>
    <row r="1239" spans="6:7" x14ac:dyDescent="0.35">
      <c r="F1239">
        <v>1234</v>
      </c>
      <c r="G1239" s="102">
        <f t="shared" ca="1" si="23"/>
        <v>-1.2717874665074898E-2</v>
      </c>
    </row>
    <row r="1240" spans="6:7" x14ac:dyDescent="0.35">
      <c r="F1240">
        <v>1235</v>
      </c>
      <c r="G1240" s="102">
        <f t="shared" ca="1" si="23"/>
        <v>2.6115660070516165E-2</v>
      </c>
    </row>
    <row r="1241" spans="6:7" x14ac:dyDescent="0.35">
      <c r="F1241">
        <v>1236</v>
      </c>
      <c r="G1241" s="102">
        <f t="shared" ca="1" si="23"/>
        <v>-0.14558121186588455</v>
      </c>
    </row>
    <row r="1242" spans="6:7" x14ac:dyDescent="0.35">
      <c r="F1242">
        <v>1237</v>
      </c>
      <c r="G1242" s="102">
        <f t="shared" ca="1" si="23"/>
        <v>6.7314427040902472E-2</v>
      </c>
    </row>
    <row r="1243" spans="6:7" x14ac:dyDescent="0.35">
      <c r="F1243">
        <v>1238</v>
      </c>
      <c r="G1243" s="102">
        <f t="shared" ca="1" si="23"/>
        <v>8.1597920326141576E-2</v>
      </c>
    </row>
    <row r="1244" spans="6:7" x14ac:dyDescent="0.35">
      <c r="F1244">
        <v>1239</v>
      </c>
      <c r="G1244" s="102">
        <f t="shared" ca="1" si="23"/>
        <v>0.13196221436072217</v>
      </c>
    </row>
    <row r="1245" spans="6:7" x14ac:dyDescent="0.35">
      <c r="F1245">
        <v>1240</v>
      </c>
      <c r="G1245" s="102">
        <f t="shared" ca="1" si="23"/>
        <v>1.8581171768492534E-2</v>
      </c>
    </row>
    <row r="1246" spans="6:7" x14ac:dyDescent="0.35">
      <c r="F1246">
        <v>1241</v>
      </c>
      <c r="G1246" s="102">
        <f t="shared" ca="1" si="23"/>
        <v>-8.2993789556109782E-2</v>
      </c>
    </row>
    <row r="1247" spans="6:7" x14ac:dyDescent="0.35">
      <c r="F1247">
        <v>1242</v>
      </c>
      <c r="G1247" s="102">
        <f t="shared" ca="1" si="23"/>
        <v>-3.9686140500538678E-3</v>
      </c>
    </row>
    <row r="1248" spans="6:7" x14ac:dyDescent="0.35">
      <c r="F1248">
        <v>1243</v>
      </c>
      <c r="G1248" s="102">
        <f t="shared" ca="1" si="23"/>
        <v>-4.6947993893718828E-2</v>
      </c>
    </row>
    <row r="1249" spans="6:7" x14ac:dyDescent="0.35">
      <c r="F1249">
        <v>1244</v>
      </c>
      <c r="G1249" s="102">
        <f t="shared" ca="1" si="23"/>
        <v>4.3905967420921361E-3</v>
      </c>
    </row>
    <row r="1250" spans="6:7" x14ac:dyDescent="0.35">
      <c r="F1250">
        <v>1245</v>
      </c>
      <c r="G1250" s="102">
        <f t="shared" ca="1" si="23"/>
        <v>3.0141870215237791E-2</v>
      </c>
    </row>
    <row r="1251" spans="6:7" x14ac:dyDescent="0.35">
      <c r="F1251">
        <v>1246</v>
      </c>
      <c r="G1251" s="102">
        <f t="shared" ca="1" si="23"/>
        <v>0.10136245023508071</v>
      </c>
    </row>
    <row r="1252" spans="6:7" x14ac:dyDescent="0.35">
      <c r="F1252">
        <v>1247</v>
      </c>
      <c r="G1252" s="102">
        <f t="shared" ca="1" si="23"/>
        <v>-7.8619822435552267E-2</v>
      </c>
    </row>
    <row r="1253" spans="6:7" x14ac:dyDescent="0.35">
      <c r="F1253">
        <v>1248</v>
      </c>
      <c r="G1253" s="102">
        <f t="shared" ca="1" si="23"/>
        <v>9.9072167630098934E-2</v>
      </c>
    </row>
    <row r="1254" spans="6:7" x14ac:dyDescent="0.35">
      <c r="F1254">
        <v>1249</v>
      </c>
      <c r="G1254" s="102">
        <f t="shared" ca="1" si="23"/>
        <v>6.9201271369867048E-2</v>
      </c>
    </row>
    <row r="1255" spans="6:7" x14ac:dyDescent="0.35">
      <c r="F1255">
        <v>1250</v>
      </c>
      <c r="G1255" s="102">
        <f t="shared" ca="1" si="23"/>
        <v>0.13580592078466794</v>
      </c>
    </row>
    <row r="1256" spans="6:7" x14ac:dyDescent="0.35">
      <c r="F1256">
        <v>1251</v>
      </c>
      <c r="G1256" s="102">
        <f t="shared" ca="1" si="23"/>
        <v>-4.3138258557067405E-2</v>
      </c>
    </row>
    <row r="1257" spans="6:7" x14ac:dyDescent="0.35">
      <c r="F1257">
        <v>1252</v>
      </c>
      <c r="G1257" s="102">
        <f t="shared" ca="1" si="23"/>
        <v>0.12886707829122884</v>
      </c>
    </row>
    <row r="1258" spans="6:7" x14ac:dyDescent="0.35">
      <c r="F1258">
        <v>1253</v>
      </c>
      <c r="G1258" s="102">
        <f t="shared" ca="1" si="23"/>
        <v>-9.2546866961259466E-3</v>
      </c>
    </row>
    <row r="1259" spans="6:7" x14ac:dyDescent="0.35">
      <c r="F1259">
        <v>1254</v>
      </c>
      <c r="G1259" s="102">
        <f t="shared" ca="1" si="23"/>
        <v>6.4057834760566326E-2</v>
      </c>
    </row>
    <row r="1260" spans="6:7" x14ac:dyDescent="0.35">
      <c r="F1260">
        <v>1255</v>
      </c>
      <c r="G1260" s="102">
        <f t="shared" ca="1" si="23"/>
        <v>8.6187431953561558E-2</v>
      </c>
    </row>
    <row r="1261" spans="6:7" x14ac:dyDescent="0.35">
      <c r="F1261">
        <v>1256</v>
      </c>
      <c r="G1261" s="102">
        <f t="shared" ca="1" si="23"/>
        <v>-6.5887851161806343E-2</v>
      </c>
    </row>
    <row r="1262" spans="6:7" x14ac:dyDescent="0.35">
      <c r="F1262">
        <v>1257</v>
      </c>
      <c r="G1262" s="102">
        <f t="shared" ca="1" si="23"/>
        <v>0.14739496942662941</v>
      </c>
    </row>
    <row r="1263" spans="6:7" x14ac:dyDescent="0.35">
      <c r="F1263">
        <v>1258</v>
      </c>
      <c r="G1263" s="102">
        <f t="shared" ca="1" si="23"/>
        <v>-2.8946829998782158E-2</v>
      </c>
    </row>
    <row r="1264" spans="6:7" x14ac:dyDescent="0.35">
      <c r="F1264">
        <v>1259</v>
      </c>
      <c r="G1264" s="102">
        <f t="shared" ca="1" si="23"/>
        <v>2.256965284912139E-2</v>
      </c>
    </row>
    <row r="1265" spans="6:7" x14ac:dyDescent="0.35">
      <c r="F1265">
        <v>1260</v>
      </c>
      <c r="G1265" s="102">
        <f t="shared" ca="1" si="23"/>
        <v>-8.6102045399860896E-2</v>
      </c>
    </row>
    <row r="1266" spans="6:7" x14ac:dyDescent="0.35">
      <c r="F1266">
        <v>1261</v>
      </c>
      <c r="G1266" s="102">
        <f t="shared" ca="1" si="23"/>
        <v>-4.9871904932014807E-2</v>
      </c>
    </row>
    <row r="1267" spans="6:7" x14ac:dyDescent="0.35">
      <c r="F1267">
        <v>1262</v>
      </c>
      <c r="G1267" s="102">
        <f t="shared" ca="1" si="23"/>
        <v>-4.0100575001261796E-2</v>
      </c>
    </row>
    <row r="1268" spans="6:7" x14ac:dyDescent="0.35">
      <c r="F1268">
        <v>1263</v>
      </c>
      <c r="G1268" s="102">
        <f t="shared" ca="1" si="23"/>
        <v>-0.10255536239187159</v>
      </c>
    </row>
    <row r="1269" spans="6:7" x14ac:dyDescent="0.35">
      <c r="F1269">
        <v>1264</v>
      </c>
      <c r="G1269" s="102">
        <f t="shared" ca="1" si="23"/>
        <v>-9.4312212728357325E-2</v>
      </c>
    </row>
    <row r="1270" spans="6:7" x14ac:dyDescent="0.35">
      <c r="F1270">
        <v>1265</v>
      </c>
      <c r="G1270" s="102">
        <f t="shared" ca="1" si="23"/>
        <v>-2.0679740736252578E-2</v>
      </c>
    </row>
    <row r="1271" spans="6:7" x14ac:dyDescent="0.35">
      <c r="F1271">
        <v>1266</v>
      </c>
      <c r="G1271" s="102">
        <f t="shared" ca="1" si="23"/>
        <v>4.1312765407730365E-2</v>
      </c>
    </row>
    <row r="1272" spans="6:7" x14ac:dyDescent="0.35">
      <c r="F1272">
        <v>1267</v>
      </c>
      <c r="G1272" s="102">
        <f t="shared" ca="1" si="23"/>
        <v>-6.3304424706548554E-2</v>
      </c>
    </row>
    <row r="1273" spans="6:7" x14ac:dyDescent="0.35">
      <c r="F1273">
        <v>1268</v>
      </c>
      <c r="G1273" s="102">
        <f t="shared" ca="1" si="23"/>
        <v>-8.303593383556486E-2</v>
      </c>
    </row>
    <row r="1274" spans="6:7" x14ac:dyDescent="0.35">
      <c r="F1274">
        <v>1269</v>
      </c>
      <c r="G1274" s="102">
        <f t="shared" ca="1" si="23"/>
        <v>-5.2709183845159515E-3</v>
      </c>
    </row>
    <row r="1275" spans="6:7" x14ac:dyDescent="0.35">
      <c r="F1275">
        <v>1270</v>
      </c>
      <c r="G1275" s="102">
        <f t="shared" ca="1" si="23"/>
        <v>2.5991369076113876E-2</v>
      </c>
    </row>
    <row r="1276" spans="6:7" x14ac:dyDescent="0.35">
      <c r="F1276">
        <v>1271</v>
      </c>
      <c r="G1276" s="102">
        <f t="shared" ca="1" si="23"/>
        <v>-1.654850882381604E-2</v>
      </c>
    </row>
    <row r="1277" spans="6:7" x14ac:dyDescent="0.35">
      <c r="F1277">
        <v>1272</v>
      </c>
      <c r="G1277" s="102">
        <f t="shared" ca="1" si="23"/>
        <v>-2.7813519739769109E-2</v>
      </c>
    </row>
    <row r="1278" spans="6:7" x14ac:dyDescent="0.35">
      <c r="F1278">
        <v>1273</v>
      </c>
      <c r="G1278" s="102">
        <f t="shared" ca="1" si="23"/>
        <v>8.359624717348111E-3</v>
      </c>
    </row>
    <row r="1279" spans="6:7" x14ac:dyDescent="0.35">
      <c r="F1279">
        <v>1274</v>
      </c>
      <c r="G1279" s="102">
        <f t="shared" ca="1" si="23"/>
        <v>-8.7787746025414462E-2</v>
      </c>
    </row>
    <row r="1280" spans="6:7" x14ac:dyDescent="0.35">
      <c r="F1280">
        <v>1275</v>
      </c>
      <c r="G1280" s="102">
        <f t="shared" ca="1" si="23"/>
        <v>7.634293777469639E-2</v>
      </c>
    </row>
    <row r="1281" spans="6:7" x14ac:dyDescent="0.35">
      <c r="F1281">
        <v>1276</v>
      </c>
      <c r="G1281" s="102">
        <f t="shared" ca="1" si="23"/>
        <v>-8.2852231187940481E-2</v>
      </c>
    </row>
    <row r="1282" spans="6:7" x14ac:dyDescent="0.35">
      <c r="F1282">
        <v>1277</v>
      </c>
      <c r="G1282" s="102">
        <f t="shared" ca="1" si="23"/>
        <v>5.831938893162282E-3</v>
      </c>
    </row>
    <row r="1283" spans="6:7" x14ac:dyDescent="0.35">
      <c r="F1283">
        <v>1278</v>
      </c>
      <c r="G1283" s="102">
        <f t="shared" ca="1" si="23"/>
        <v>2.0831233885066275E-2</v>
      </c>
    </row>
    <row r="1284" spans="6:7" x14ac:dyDescent="0.35">
      <c r="F1284">
        <v>1279</v>
      </c>
      <c r="G1284" s="102">
        <f t="shared" ca="1" si="23"/>
        <v>-1.8208402811043412E-2</v>
      </c>
    </row>
    <row r="1285" spans="6:7" x14ac:dyDescent="0.35">
      <c r="F1285">
        <v>1280</v>
      </c>
      <c r="G1285" s="102">
        <f t="shared" ca="1" si="23"/>
        <v>3.7202757600454564E-2</v>
      </c>
    </row>
    <row r="1286" spans="6:7" x14ac:dyDescent="0.35">
      <c r="F1286">
        <v>1281</v>
      </c>
      <c r="G1286" s="102">
        <f t="shared" ca="1" si="23"/>
        <v>-8.0315247189497271E-2</v>
      </c>
    </row>
    <row r="1287" spans="6:7" x14ac:dyDescent="0.35">
      <c r="F1287">
        <v>1282</v>
      </c>
      <c r="G1287" s="102">
        <f t="shared" ref="G1287:G1350" ca="1" si="24">_xlfn.NORM.INV(RAND(),M$9,M$10)</f>
        <v>2.7519789551939244E-2</v>
      </c>
    </row>
    <row r="1288" spans="6:7" x14ac:dyDescent="0.35">
      <c r="F1288">
        <v>1283</v>
      </c>
      <c r="G1288" s="102">
        <f t="shared" ca="1" si="24"/>
        <v>5.3747589422522279E-2</v>
      </c>
    </row>
    <row r="1289" spans="6:7" x14ac:dyDescent="0.35">
      <c r="F1289">
        <v>1284</v>
      </c>
      <c r="G1289" s="102">
        <f t="shared" ca="1" si="24"/>
        <v>-1.8322227248392504E-2</v>
      </c>
    </row>
    <row r="1290" spans="6:7" x14ac:dyDescent="0.35">
      <c r="F1290">
        <v>1285</v>
      </c>
      <c r="G1290" s="102">
        <f t="shared" ca="1" si="24"/>
        <v>4.8813759720320704E-2</v>
      </c>
    </row>
    <row r="1291" spans="6:7" x14ac:dyDescent="0.35">
      <c r="F1291">
        <v>1286</v>
      </c>
      <c r="G1291" s="102">
        <f t="shared" ca="1" si="24"/>
        <v>6.4233371209497681E-2</v>
      </c>
    </row>
    <row r="1292" spans="6:7" x14ac:dyDescent="0.35">
      <c r="F1292">
        <v>1287</v>
      </c>
      <c r="G1292" s="102">
        <f t="shared" ca="1" si="24"/>
        <v>-3.6359628797276583E-2</v>
      </c>
    </row>
    <row r="1293" spans="6:7" x14ac:dyDescent="0.35">
      <c r="F1293">
        <v>1288</v>
      </c>
      <c r="G1293" s="102">
        <f t="shared" ca="1" si="24"/>
        <v>1.3001934665036144E-2</v>
      </c>
    </row>
    <row r="1294" spans="6:7" x14ac:dyDescent="0.35">
      <c r="F1294">
        <v>1289</v>
      </c>
      <c r="G1294" s="102">
        <f t="shared" ca="1" si="24"/>
        <v>7.0954237527021388E-2</v>
      </c>
    </row>
    <row r="1295" spans="6:7" x14ac:dyDescent="0.35">
      <c r="F1295">
        <v>1290</v>
      </c>
      <c r="G1295" s="102">
        <f t="shared" ca="1" si="24"/>
        <v>1.6909138764209321E-2</v>
      </c>
    </row>
    <row r="1296" spans="6:7" x14ac:dyDescent="0.35">
      <c r="F1296">
        <v>1291</v>
      </c>
      <c r="G1296" s="102">
        <f t="shared" ca="1" si="24"/>
        <v>-3.9700408074992241E-2</v>
      </c>
    </row>
    <row r="1297" spans="6:7" x14ac:dyDescent="0.35">
      <c r="F1297">
        <v>1292</v>
      </c>
      <c r="G1297" s="102">
        <f t="shared" ca="1" si="24"/>
        <v>2.4355983652751333E-2</v>
      </c>
    </row>
    <row r="1298" spans="6:7" x14ac:dyDescent="0.35">
      <c r="F1298">
        <v>1293</v>
      </c>
      <c r="G1298" s="102">
        <f t="shared" ca="1" si="24"/>
        <v>-5.432334401327113E-2</v>
      </c>
    </row>
    <row r="1299" spans="6:7" x14ac:dyDescent="0.35">
      <c r="F1299">
        <v>1294</v>
      </c>
      <c r="G1299" s="102">
        <f t="shared" ca="1" si="24"/>
        <v>-0.16103760770891859</v>
      </c>
    </row>
    <row r="1300" spans="6:7" x14ac:dyDescent="0.35">
      <c r="F1300">
        <v>1295</v>
      </c>
      <c r="G1300" s="102">
        <f t="shared" ca="1" si="24"/>
        <v>1.9327283481449471E-2</v>
      </c>
    </row>
    <row r="1301" spans="6:7" x14ac:dyDescent="0.35">
      <c r="F1301">
        <v>1296</v>
      </c>
      <c r="G1301" s="102">
        <f t="shared" ca="1" si="24"/>
        <v>3.91225503773448E-2</v>
      </c>
    </row>
    <row r="1302" spans="6:7" x14ac:dyDescent="0.35">
      <c r="F1302">
        <v>1297</v>
      </c>
      <c r="G1302" s="102">
        <f t="shared" ca="1" si="24"/>
        <v>-2.1102413074260105E-3</v>
      </c>
    </row>
    <row r="1303" spans="6:7" x14ac:dyDescent="0.35">
      <c r="F1303">
        <v>1298</v>
      </c>
      <c r="G1303" s="102">
        <f t="shared" ca="1" si="24"/>
        <v>-2.5441274419304116E-2</v>
      </c>
    </row>
    <row r="1304" spans="6:7" x14ac:dyDescent="0.35">
      <c r="F1304">
        <v>1299</v>
      </c>
      <c r="G1304" s="102">
        <f t="shared" ca="1" si="24"/>
        <v>-1.8784767463610005E-2</v>
      </c>
    </row>
    <row r="1305" spans="6:7" x14ac:dyDescent="0.35">
      <c r="F1305">
        <v>1300</v>
      </c>
      <c r="G1305" s="102">
        <f t="shared" ca="1" si="24"/>
        <v>1.8589001413841091E-2</v>
      </c>
    </row>
    <row r="1306" spans="6:7" x14ac:dyDescent="0.35">
      <c r="F1306">
        <v>1301</v>
      </c>
      <c r="G1306" s="102">
        <f t="shared" ca="1" si="24"/>
        <v>-7.46549452201338E-2</v>
      </c>
    </row>
    <row r="1307" spans="6:7" x14ac:dyDescent="0.35">
      <c r="F1307">
        <v>1302</v>
      </c>
      <c r="G1307" s="102">
        <f t="shared" ca="1" si="24"/>
        <v>-5.3884405099526494E-2</v>
      </c>
    </row>
    <row r="1308" spans="6:7" x14ac:dyDescent="0.35">
      <c r="F1308">
        <v>1303</v>
      </c>
      <c r="G1308" s="102">
        <f t="shared" ca="1" si="24"/>
        <v>1.5521513256735963E-2</v>
      </c>
    </row>
    <row r="1309" spans="6:7" x14ac:dyDescent="0.35">
      <c r="F1309">
        <v>1304</v>
      </c>
      <c r="G1309" s="102">
        <f t="shared" ca="1" si="24"/>
        <v>3.9814598785592892E-3</v>
      </c>
    </row>
    <row r="1310" spans="6:7" x14ac:dyDescent="0.35">
      <c r="F1310">
        <v>1305</v>
      </c>
      <c r="G1310" s="102">
        <f t="shared" ca="1" si="24"/>
        <v>-4.3149466882619891E-2</v>
      </c>
    </row>
    <row r="1311" spans="6:7" x14ac:dyDescent="0.35">
      <c r="F1311">
        <v>1306</v>
      </c>
      <c r="G1311" s="102">
        <f t="shared" ca="1" si="24"/>
        <v>-4.9800864286348709E-2</v>
      </c>
    </row>
    <row r="1312" spans="6:7" x14ac:dyDescent="0.35">
      <c r="F1312">
        <v>1307</v>
      </c>
      <c r="G1312" s="102">
        <f t="shared" ca="1" si="24"/>
        <v>-5.0783729031349381E-2</v>
      </c>
    </row>
    <row r="1313" spans="6:7" x14ac:dyDescent="0.35">
      <c r="F1313">
        <v>1308</v>
      </c>
      <c r="G1313" s="102">
        <f t="shared" ca="1" si="24"/>
        <v>-8.8373252259926205E-2</v>
      </c>
    </row>
    <row r="1314" spans="6:7" x14ac:dyDescent="0.35">
      <c r="F1314">
        <v>1309</v>
      </c>
      <c r="G1314" s="102">
        <f t="shared" ca="1" si="24"/>
        <v>-1.9612989452077585E-2</v>
      </c>
    </row>
    <row r="1315" spans="6:7" x14ac:dyDescent="0.35">
      <c r="F1315">
        <v>1310</v>
      </c>
      <c r="G1315" s="102">
        <f t="shared" ca="1" si="24"/>
        <v>-4.3208291722238376E-2</v>
      </c>
    </row>
    <row r="1316" spans="6:7" x14ac:dyDescent="0.35">
      <c r="F1316">
        <v>1311</v>
      </c>
      <c r="G1316" s="102">
        <f t="shared" ca="1" si="24"/>
        <v>-1.8913334676898849E-3</v>
      </c>
    </row>
    <row r="1317" spans="6:7" x14ac:dyDescent="0.35">
      <c r="F1317">
        <v>1312</v>
      </c>
      <c r="G1317" s="102">
        <f t="shared" ca="1" si="24"/>
        <v>2.2637962571718157E-2</v>
      </c>
    </row>
    <row r="1318" spans="6:7" x14ac:dyDescent="0.35">
      <c r="F1318">
        <v>1313</v>
      </c>
      <c r="G1318" s="102">
        <f t="shared" ca="1" si="24"/>
        <v>-3.3180300767104681E-2</v>
      </c>
    </row>
    <row r="1319" spans="6:7" x14ac:dyDescent="0.35">
      <c r="F1319">
        <v>1314</v>
      </c>
      <c r="G1319" s="102">
        <f t="shared" ca="1" si="24"/>
        <v>-5.083076631742306E-2</v>
      </c>
    </row>
    <row r="1320" spans="6:7" x14ac:dyDescent="0.35">
      <c r="F1320">
        <v>1315</v>
      </c>
      <c r="G1320" s="102">
        <f t="shared" ca="1" si="24"/>
        <v>-0.11143372439446567</v>
      </c>
    </row>
    <row r="1321" spans="6:7" x14ac:dyDescent="0.35">
      <c r="F1321">
        <v>1316</v>
      </c>
      <c r="G1321" s="102">
        <f t="shared" ca="1" si="24"/>
        <v>-4.8029747629559541E-2</v>
      </c>
    </row>
    <row r="1322" spans="6:7" x14ac:dyDescent="0.35">
      <c r="F1322">
        <v>1317</v>
      </c>
      <c r="G1322" s="102">
        <f t="shared" ca="1" si="24"/>
        <v>2.9489232306714498E-3</v>
      </c>
    </row>
    <row r="1323" spans="6:7" x14ac:dyDescent="0.35">
      <c r="F1323">
        <v>1318</v>
      </c>
      <c r="G1323" s="102">
        <f t="shared" ca="1" si="24"/>
        <v>7.0386523079691107E-2</v>
      </c>
    </row>
    <row r="1324" spans="6:7" x14ac:dyDescent="0.35">
      <c r="F1324">
        <v>1319</v>
      </c>
      <c r="G1324" s="102">
        <f t="shared" ca="1" si="24"/>
        <v>2.5404803104580251E-2</v>
      </c>
    </row>
    <row r="1325" spans="6:7" x14ac:dyDescent="0.35">
      <c r="F1325">
        <v>1320</v>
      </c>
      <c r="G1325" s="102">
        <f t="shared" ca="1" si="24"/>
        <v>-1.4639838118948107E-2</v>
      </c>
    </row>
    <row r="1326" spans="6:7" x14ac:dyDescent="0.35">
      <c r="F1326">
        <v>1321</v>
      </c>
      <c r="G1326" s="102">
        <f t="shared" ca="1" si="24"/>
        <v>-2.5257995145183041E-2</v>
      </c>
    </row>
    <row r="1327" spans="6:7" x14ac:dyDescent="0.35">
      <c r="F1327">
        <v>1322</v>
      </c>
      <c r="G1327" s="102">
        <f t="shared" ca="1" si="24"/>
        <v>7.9726394013521662E-2</v>
      </c>
    </row>
    <row r="1328" spans="6:7" x14ac:dyDescent="0.35">
      <c r="F1328">
        <v>1323</v>
      </c>
      <c r="G1328" s="102">
        <f t="shared" ca="1" si="24"/>
        <v>2.081277441732316E-3</v>
      </c>
    </row>
    <row r="1329" spans="6:7" x14ac:dyDescent="0.35">
      <c r="F1329">
        <v>1324</v>
      </c>
      <c r="G1329" s="102">
        <f t="shared" ca="1" si="24"/>
        <v>1.7171174780424434E-2</v>
      </c>
    </row>
    <row r="1330" spans="6:7" x14ac:dyDescent="0.35">
      <c r="F1330">
        <v>1325</v>
      </c>
      <c r="G1330" s="102">
        <f t="shared" ca="1" si="24"/>
        <v>-0.14393153282494323</v>
      </c>
    </row>
    <row r="1331" spans="6:7" x14ac:dyDescent="0.35">
      <c r="F1331">
        <v>1326</v>
      </c>
      <c r="G1331" s="102">
        <f t="shared" ca="1" si="24"/>
        <v>-7.0121767060136758E-2</v>
      </c>
    </row>
    <row r="1332" spans="6:7" x14ac:dyDescent="0.35">
      <c r="F1332">
        <v>1327</v>
      </c>
      <c r="G1332" s="102">
        <f t="shared" ca="1" si="24"/>
        <v>-1.527372720993461E-2</v>
      </c>
    </row>
    <row r="1333" spans="6:7" x14ac:dyDescent="0.35">
      <c r="F1333">
        <v>1328</v>
      </c>
      <c r="G1333" s="102">
        <f t="shared" ca="1" si="24"/>
        <v>4.3438766996969025E-2</v>
      </c>
    </row>
    <row r="1334" spans="6:7" x14ac:dyDescent="0.35">
      <c r="F1334">
        <v>1329</v>
      </c>
      <c r="G1334" s="102">
        <f t="shared" ca="1" si="24"/>
        <v>-5.2875084889783514E-2</v>
      </c>
    </row>
    <row r="1335" spans="6:7" x14ac:dyDescent="0.35">
      <c r="F1335">
        <v>1330</v>
      </c>
      <c r="G1335" s="102">
        <f t="shared" ca="1" si="24"/>
        <v>-9.9266765137956167E-2</v>
      </c>
    </row>
    <row r="1336" spans="6:7" x14ac:dyDescent="0.35">
      <c r="F1336">
        <v>1331</v>
      </c>
      <c r="G1336" s="102">
        <f t="shared" ca="1" si="24"/>
        <v>6.5260918460609968E-2</v>
      </c>
    </row>
    <row r="1337" spans="6:7" x14ac:dyDescent="0.35">
      <c r="F1337">
        <v>1332</v>
      </c>
      <c r="G1337" s="102">
        <f t="shared" ca="1" si="24"/>
        <v>-3.3857740329001226E-2</v>
      </c>
    </row>
    <row r="1338" spans="6:7" x14ac:dyDescent="0.35">
      <c r="F1338">
        <v>1333</v>
      </c>
      <c r="G1338" s="102">
        <f t="shared" ca="1" si="24"/>
        <v>-3.6823732705104348E-2</v>
      </c>
    </row>
    <row r="1339" spans="6:7" x14ac:dyDescent="0.35">
      <c r="F1339">
        <v>1334</v>
      </c>
      <c r="G1339" s="102">
        <f t="shared" ca="1" si="24"/>
        <v>8.5251547343777087E-2</v>
      </c>
    </row>
    <row r="1340" spans="6:7" x14ac:dyDescent="0.35">
      <c r="F1340">
        <v>1335</v>
      </c>
      <c r="G1340" s="102">
        <f t="shared" ca="1" si="24"/>
        <v>-5.0834000548991259E-2</v>
      </c>
    </row>
    <row r="1341" spans="6:7" x14ac:dyDescent="0.35">
      <c r="F1341">
        <v>1336</v>
      </c>
      <c r="G1341" s="102">
        <f t="shared" ca="1" si="24"/>
        <v>3.8541495750440358E-2</v>
      </c>
    </row>
    <row r="1342" spans="6:7" x14ac:dyDescent="0.35">
      <c r="F1342">
        <v>1337</v>
      </c>
      <c r="G1342" s="102">
        <f t="shared" ca="1" si="24"/>
        <v>3.8074766945447341E-2</v>
      </c>
    </row>
    <row r="1343" spans="6:7" x14ac:dyDescent="0.35">
      <c r="F1343">
        <v>1338</v>
      </c>
      <c r="G1343" s="102">
        <f t="shared" ca="1" si="24"/>
        <v>1.9773799201512877E-2</v>
      </c>
    </row>
    <row r="1344" spans="6:7" x14ac:dyDescent="0.35">
      <c r="F1344">
        <v>1339</v>
      </c>
      <c r="G1344" s="102">
        <f t="shared" ca="1" si="24"/>
        <v>-4.4564458189171874E-2</v>
      </c>
    </row>
    <row r="1345" spans="6:7" x14ac:dyDescent="0.35">
      <c r="F1345">
        <v>1340</v>
      </c>
      <c r="G1345" s="102">
        <f t="shared" ca="1" si="24"/>
        <v>4.5599866313183579E-2</v>
      </c>
    </row>
    <row r="1346" spans="6:7" x14ac:dyDescent="0.35">
      <c r="F1346">
        <v>1341</v>
      </c>
      <c r="G1346" s="102">
        <f t="shared" ca="1" si="24"/>
        <v>-1.6605842596453868E-2</v>
      </c>
    </row>
    <row r="1347" spans="6:7" x14ac:dyDescent="0.35">
      <c r="F1347">
        <v>1342</v>
      </c>
      <c r="G1347" s="102">
        <f t="shared" ca="1" si="24"/>
        <v>0.11514464331571052</v>
      </c>
    </row>
    <row r="1348" spans="6:7" x14ac:dyDescent="0.35">
      <c r="F1348">
        <v>1343</v>
      </c>
      <c r="G1348" s="102">
        <f t="shared" ca="1" si="24"/>
        <v>-4.0097563329478905E-2</v>
      </c>
    </row>
    <row r="1349" spans="6:7" x14ac:dyDescent="0.35">
      <c r="F1349">
        <v>1344</v>
      </c>
      <c r="G1349" s="102">
        <f t="shared" ca="1" si="24"/>
        <v>-4.8618272879688867E-2</v>
      </c>
    </row>
    <row r="1350" spans="6:7" x14ac:dyDescent="0.35">
      <c r="F1350">
        <v>1345</v>
      </c>
      <c r="G1350" s="102">
        <f t="shared" ca="1" si="24"/>
        <v>2.6562424167656456E-2</v>
      </c>
    </row>
    <row r="1351" spans="6:7" x14ac:dyDescent="0.35">
      <c r="F1351">
        <v>1346</v>
      </c>
      <c r="G1351" s="102">
        <f t="shared" ref="G1351:G1414" ca="1" si="25">_xlfn.NORM.INV(RAND(),M$9,M$10)</f>
        <v>-2.1899938827590785E-2</v>
      </c>
    </row>
    <row r="1352" spans="6:7" x14ac:dyDescent="0.35">
      <c r="F1352">
        <v>1347</v>
      </c>
      <c r="G1352" s="102">
        <f t="shared" ca="1" si="25"/>
        <v>-1.5730596727395303E-2</v>
      </c>
    </row>
    <row r="1353" spans="6:7" x14ac:dyDescent="0.35">
      <c r="F1353">
        <v>1348</v>
      </c>
      <c r="G1353" s="102">
        <f t="shared" ca="1" si="25"/>
        <v>-6.7080207454085883E-2</v>
      </c>
    </row>
    <row r="1354" spans="6:7" x14ac:dyDescent="0.35">
      <c r="F1354">
        <v>1349</v>
      </c>
      <c r="G1354" s="102">
        <f t="shared" ca="1" si="25"/>
        <v>4.5522821750204695E-2</v>
      </c>
    </row>
    <row r="1355" spans="6:7" x14ac:dyDescent="0.35">
      <c r="F1355">
        <v>1350</v>
      </c>
      <c r="G1355" s="102">
        <f t="shared" ca="1" si="25"/>
        <v>-3.5126054546499322E-2</v>
      </c>
    </row>
    <row r="1356" spans="6:7" x14ac:dyDescent="0.35">
      <c r="F1356">
        <v>1351</v>
      </c>
      <c r="G1356" s="102">
        <f t="shared" ca="1" si="25"/>
        <v>-4.2219344368474951E-2</v>
      </c>
    </row>
    <row r="1357" spans="6:7" x14ac:dyDescent="0.35">
      <c r="F1357">
        <v>1352</v>
      </c>
      <c r="G1357" s="102">
        <f t="shared" ca="1" si="25"/>
        <v>-2.9141861513730806E-2</v>
      </c>
    </row>
    <row r="1358" spans="6:7" x14ac:dyDescent="0.35">
      <c r="F1358">
        <v>1353</v>
      </c>
      <c r="G1358" s="102">
        <f t="shared" ca="1" si="25"/>
        <v>-0.11886084818643448</v>
      </c>
    </row>
    <row r="1359" spans="6:7" x14ac:dyDescent="0.35">
      <c r="F1359">
        <v>1354</v>
      </c>
      <c r="G1359" s="102">
        <f t="shared" ca="1" si="25"/>
        <v>-5.1304337994947338E-2</v>
      </c>
    </row>
    <row r="1360" spans="6:7" x14ac:dyDescent="0.35">
      <c r="F1360">
        <v>1355</v>
      </c>
      <c r="G1360" s="102">
        <f t="shared" ca="1" si="25"/>
        <v>7.2532682866539577E-2</v>
      </c>
    </row>
    <row r="1361" spans="6:7" x14ac:dyDescent="0.35">
      <c r="F1361">
        <v>1356</v>
      </c>
      <c r="G1361" s="102">
        <f t="shared" ca="1" si="25"/>
        <v>-1.7561220937643694E-2</v>
      </c>
    </row>
    <row r="1362" spans="6:7" x14ac:dyDescent="0.35">
      <c r="F1362">
        <v>1357</v>
      </c>
      <c r="G1362" s="102">
        <f t="shared" ca="1" si="25"/>
        <v>3.6209632171512796E-2</v>
      </c>
    </row>
    <row r="1363" spans="6:7" x14ac:dyDescent="0.35">
      <c r="F1363">
        <v>1358</v>
      </c>
      <c r="G1363" s="102">
        <f t="shared" ca="1" si="25"/>
        <v>-0.11107658695762075</v>
      </c>
    </row>
    <row r="1364" spans="6:7" x14ac:dyDescent="0.35">
      <c r="F1364">
        <v>1359</v>
      </c>
      <c r="G1364" s="102">
        <f t="shared" ca="1" si="25"/>
        <v>2.9901821369215046E-3</v>
      </c>
    </row>
    <row r="1365" spans="6:7" x14ac:dyDescent="0.35">
      <c r="F1365">
        <v>1360</v>
      </c>
      <c r="G1365" s="102">
        <f t="shared" ca="1" si="25"/>
        <v>1.393678871219603E-2</v>
      </c>
    </row>
    <row r="1366" spans="6:7" x14ac:dyDescent="0.35">
      <c r="F1366">
        <v>1361</v>
      </c>
      <c r="G1366" s="102">
        <f t="shared" ca="1" si="25"/>
        <v>-9.0217582737458668E-2</v>
      </c>
    </row>
    <row r="1367" spans="6:7" x14ac:dyDescent="0.35">
      <c r="F1367">
        <v>1362</v>
      </c>
      <c r="G1367" s="102">
        <f t="shared" ca="1" si="25"/>
        <v>-1.8466596632697594E-2</v>
      </c>
    </row>
    <row r="1368" spans="6:7" x14ac:dyDescent="0.35">
      <c r="F1368">
        <v>1363</v>
      </c>
      <c r="G1368" s="102">
        <f t="shared" ca="1" si="25"/>
        <v>6.7707831293125811E-2</v>
      </c>
    </row>
    <row r="1369" spans="6:7" x14ac:dyDescent="0.35">
      <c r="F1369">
        <v>1364</v>
      </c>
      <c r="G1369" s="102">
        <f t="shared" ca="1" si="25"/>
        <v>0.12154920442954646</v>
      </c>
    </row>
    <row r="1370" spans="6:7" x14ac:dyDescent="0.35">
      <c r="F1370">
        <v>1365</v>
      </c>
      <c r="G1370" s="102">
        <f t="shared" ca="1" si="25"/>
        <v>4.8821521787641625E-2</v>
      </c>
    </row>
    <row r="1371" spans="6:7" x14ac:dyDescent="0.35">
      <c r="F1371">
        <v>1366</v>
      </c>
      <c r="G1371" s="102">
        <f t="shared" ca="1" si="25"/>
        <v>-5.3446678440301321E-2</v>
      </c>
    </row>
    <row r="1372" spans="6:7" x14ac:dyDescent="0.35">
      <c r="F1372">
        <v>1367</v>
      </c>
      <c r="G1372" s="102">
        <f t="shared" ca="1" si="25"/>
        <v>7.9032877564270965E-5</v>
      </c>
    </row>
    <row r="1373" spans="6:7" x14ac:dyDescent="0.35">
      <c r="F1373">
        <v>1368</v>
      </c>
      <c r="G1373" s="102">
        <f t="shared" ca="1" si="25"/>
        <v>-7.9275834102789697E-2</v>
      </c>
    </row>
    <row r="1374" spans="6:7" x14ac:dyDescent="0.35">
      <c r="F1374">
        <v>1369</v>
      </c>
      <c r="G1374" s="102">
        <f t="shared" ca="1" si="25"/>
        <v>-2.6893878068537842E-2</v>
      </c>
    </row>
    <row r="1375" spans="6:7" x14ac:dyDescent="0.35">
      <c r="F1375">
        <v>1370</v>
      </c>
      <c r="G1375" s="102">
        <f t="shared" ca="1" si="25"/>
        <v>-8.4443967308280118E-2</v>
      </c>
    </row>
    <row r="1376" spans="6:7" x14ac:dyDescent="0.35">
      <c r="F1376">
        <v>1371</v>
      </c>
      <c r="G1376" s="102">
        <f t="shared" ca="1" si="25"/>
        <v>1.5228389991902756E-2</v>
      </c>
    </row>
    <row r="1377" spans="6:7" x14ac:dyDescent="0.35">
      <c r="F1377">
        <v>1372</v>
      </c>
      <c r="G1377" s="102">
        <f t="shared" ca="1" si="25"/>
        <v>-6.108523809335753E-2</v>
      </c>
    </row>
    <row r="1378" spans="6:7" x14ac:dyDescent="0.35">
      <c r="F1378">
        <v>1373</v>
      </c>
      <c r="G1378" s="102">
        <f t="shared" ca="1" si="25"/>
        <v>-3.5284316881434921E-3</v>
      </c>
    </row>
    <row r="1379" spans="6:7" x14ac:dyDescent="0.35">
      <c r="F1379">
        <v>1374</v>
      </c>
      <c r="G1379" s="102">
        <f t="shared" ca="1" si="25"/>
        <v>8.3404986422377911E-2</v>
      </c>
    </row>
    <row r="1380" spans="6:7" x14ac:dyDescent="0.35">
      <c r="F1380">
        <v>1375</v>
      </c>
      <c r="G1380" s="102">
        <f t="shared" ca="1" si="25"/>
        <v>-3.169461870798318E-2</v>
      </c>
    </row>
    <row r="1381" spans="6:7" x14ac:dyDescent="0.35">
      <c r="F1381">
        <v>1376</v>
      </c>
      <c r="G1381" s="102">
        <f t="shared" ca="1" si="25"/>
        <v>-8.9682494301535409E-2</v>
      </c>
    </row>
    <row r="1382" spans="6:7" x14ac:dyDescent="0.35">
      <c r="F1382">
        <v>1377</v>
      </c>
      <c r="G1382" s="102">
        <f t="shared" ca="1" si="25"/>
        <v>9.683547154009399E-2</v>
      </c>
    </row>
    <row r="1383" spans="6:7" x14ac:dyDescent="0.35">
      <c r="F1383">
        <v>1378</v>
      </c>
      <c r="G1383" s="102">
        <f t="shared" ca="1" si="25"/>
        <v>-5.9754510247064491E-2</v>
      </c>
    </row>
    <row r="1384" spans="6:7" x14ac:dyDescent="0.35">
      <c r="F1384">
        <v>1379</v>
      </c>
      <c r="G1384" s="102">
        <f t="shared" ca="1" si="25"/>
        <v>5.7086174962800065E-2</v>
      </c>
    </row>
    <row r="1385" spans="6:7" x14ac:dyDescent="0.35">
      <c r="F1385">
        <v>1380</v>
      </c>
      <c r="G1385" s="102">
        <f t="shared" ca="1" si="25"/>
        <v>-7.4949245982265988E-2</v>
      </c>
    </row>
    <row r="1386" spans="6:7" x14ac:dyDescent="0.35">
      <c r="F1386">
        <v>1381</v>
      </c>
      <c r="G1386" s="102">
        <f t="shared" ca="1" si="25"/>
        <v>2.3129040926496607E-3</v>
      </c>
    </row>
    <row r="1387" spans="6:7" x14ac:dyDescent="0.35">
      <c r="F1387">
        <v>1382</v>
      </c>
      <c r="G1387" s="102">
        <f t="shared" ca="1" si="25"/>
        <v>1.302073163567101E-2</v>
      </c>
    </row>
    <row r="1388" spans="6:7" x14ac:dyDescent="0.35">
      <c r="F1388">
        <v>1383</v>
      </c>
      <c r="G1388" s="102">
        <f t="shared" ca="1" si="25"/>
        <v>6.0852830577617131E-2</v>
      </c>
    </row>
    <row r="1389" spans="6:7" x14ac:dyDescent="0.35">
      <c r="F1389">
        <v>1384</v>
      </c>
      <c r="G1389" s="102">
        <f t="shared" ca="1" si="25"/>
        <v>4.0363409939091502E-2</v>
      </c>
    </row>
    <row r="1390" spans="6:7" x14ac:dyDescent="0.35">
      <c r="F1390">
        <v>1385</v>
      </c>
      <c r="G1390" s="102">
        <f t="shared" ca="1" si="25"/>
        <v>5.3007926533997232E-2</v>
      </c>
    </row>
    <row r="1391" spans="6:7" x14ac:dyDescent="0.35">
      <c r="F1391">
        <v>1386</v>
      </c>
      <c r="G1391" s="102">
        <f t="shared" ca="1" si="25"/>
        <v>-2.4726541096703865E-2</v>
      </c>
    </row>
    <row r="1392" spans="6:7" x14ac:dyDescent="0.35">
      <c r="F1392">
        <v>1387</v>
      </c>
      <c r="G1392" s="102">
        <f t="shared" ca="1" si="25"/>
        <v>-0.11797118517917471</v>
      </c>
    </row>
    <row r="1393" spans="6:7" x14ac:dyDescent="0.35">
      <c r="F1393">
        <v>1388</v>
      </c>
      <c r="G1393" s="102">
        <f t="shared" ca="1" si="25"/>
        <v>-2.5339902876632153E-2</v>
      </c>
    </row>
    <row r="1394" spans="6:7" x14ac:dyDescent="0.35">
      <c r="F1394">
        <v>1389</v>
      </c>
      <c r="G1394" s="102">
        <f t="shared" ca="1" si="25"/>
        <v>2.3449813388802216E-2</v>
      </c>
    </row>
    <row r="1395" spans="6:7" x14ac:dyDescent="0.35">
      <c r="F1395">
        <v>1390</v>
      </c>
      <c r="G1395" s="102">
        <f t="shared" ca="1" si="25"/>
        <v>7.9650571051857657E-3</v>
      </c>
    </row>
    <row r="1396" spans="6:7" x14ac:dyDescent="0.35">
      <c r="F1396">
        <v>1391</v>
      </c>
      <c r="G1396" s="102">
        <f t="shared" ca="1" si="25"/>
        <v>-6.4556691784734513E-2</v>
      </c>
    </row>
    <row r="1397" spans="6:7" x14ac:dyDescent="0.35">
      <c r="F1397">
        <v>1392</v>
      </c>
      <c r="G1397" s="102">
        <f t="shared" ca="1" si="25"/>
        <v>-0.15035391155632213</v>
      </c>
    </row>
    <row r="1398" spans="6:7" x14ac:dyDescent="0.35">
      <c r="F1398">
        <v>1393</v>
      </c>
      <c r="G1398" s="102">
        <f t="shared" ca="1" si="25"/>
        <v>-9.0295750355806892E-3</v>
      </c>
    </row>
    <row r="1399" spans="6:7" x14ac:dyDescent="0.35">
      <c r="F1399">
        <v>1394</v>
      </c>
      <c r="G1399" s="102">
        <f t="shared" ca="1" si="25"/>
        <v>-8.4462396110508278E-2</v>
      </c>
    </row>
    <row r="1400" spans="6:7" x14ac:dyDescent="0.35">
      <c r="F1400">
        <v>1395</v>
      </c>
      <c r="G1400" s="102">
        <f t="shared" ca="1" si="25"/>
        <v>2.6928873343319098E-2</v>
      </c>
    </row>
    <row r="1401" spans="6:7" x14ac:dyDescent="0.35">
      <c r="F1401">
        <v>1396</v>
      </c>
      <c r="G1401" s="102">
        <f t="shared" ca="1" si="25"/>
        <v>2.0746204796270276E-2</v>
      </c>
    </row>
    <row r="1402" spans="6:7" x14ac:dyDescent="0.35">
      <c r="F1402">
        <v>1397</v>
      </c>
      <c r="G1402" s="102">
        <f t="shared" ca="1" si="25"/>
        <v>1.9223140841380149E-2</v>
      </c>
    </row>
    <row r="1403" spans="6:7" x14ac:dyDescent="0.35">
      <c r="F1403">
        <v>1398</v>
      </c>
      <c r="G1403" s="102">
        <f t="shared" ca="1" si="25"/>
        <v>-2.775891257016937E-2</v>
      </c>
    </row>
    <row r="1404" spans="6:7" x14ac:dyDescent="0.35">
      <c r="F1404">
        <v>1399</v>
      </c>
      <c r="G1404" s="102">
        <f t="shared" ca="1" si="25"/>
        <v>-4.7330854110885903E-2</v>
      </c>
    </row>
    <row r="1405" spans="6:7" x14ac:dyDescent="0.35">
      <c r="F1405">
        <v>1400</v>
      </c>
      <c r="G1405" s="102">
        <f t="shared" ca="1" si="25"/>
        <v>-5.0596357125884645E-2</v>
      </c>
    </row>
    <row r="1406" spans="6:7" x14ac:dyDescent="0.35">
      <c r="F1406">
        <v>1401</v>
      </c>
      <c r="G1406" s="102">
        <f t="shared" ca="1" si="25"/>
        <v>-1.8319256167999155E-2</v>
      </c>
    </row>
    <row r="1407" spans="6:7" x14ac:dyDescent="0.35">
      <c r="F1407">
        <v>1402</v>
      </c>
      <c r="G1407" s="102">
        <f t="shared" ca="1" si="25"/>
        <v>1.2669904732971679E-2</v>
      </c>
    </row>
    <row r="1408" spans="6:7" x14ac:dyDescent="0.35">
      <c r="F1408">
        <v>1403</v>
      </c>
      <c r="G1408" s="102">
        <f t="shared" ca="1" si="25"/>
        <v>0.10697710778319527</v>
      </c>
    </row>
    <row r="1409" spans="6:7" x14ac:dyDescent="0.35">
      <c r="F1409">
        <v>1404</v>
      </c>
      <c r="G1409" s="102">
        <f t="shared" ca="1" si="25"/>
        <v>-6.2077263333216573E-2</v>
      </c>
    </row>
    <row r="1410" spans="6:7" x14ac:dyDescent="0.35">
      <c r="F1410">
        <v>1405</v>
      </c>
      <c r="G1410" s="102">
        <f t="shared" ca="1" si="25"/>
        <v>-5.7163349766496119E-2</v>
      </c>
    </row>
    <row r="1411" spans="6:7" x14ac:dyDescent="0.35">
      <c r="F1411">
        <v>1406</v>
      </c>
      <c r="G1411" s="102">
        <f t="shared" ca="1" si="25"/>
        <v>-2.5894284803472872E-2</v>
      </c>
    </row>
    <row r="1412" spans="6:7" x14ac:dyDescent="0.35">
      <c r="F1412">
        <v>1407</v>
      </c>
      <c r="G1412" s="102">
        <f t="shared" ca="1" si="25"/>
        <v>-7.9863150699323177E-2</v>
      </c>
    </row>
    <row r="1413" spans="6:7" x14ac:dyDescent="0.35">
      <c r="F1413">
        <v>1408</v>
      </c>
      <c r="G1413" s="102">
        <f t="shared" ca="1" si="25"/>
        <v>-0.10691404605967417</v>
      </c>
    </row>
    <row r="1414" spans="6:7" x14ac:dyDescent="0.35">
      <c r="F1414">
        <v>1409</v>
      </c>
      <c r="G1414" s="102">
        <f t="shared" ca="1" si="25"/>
        <v>-4.8994725378364912E-2</v>
      </c>
    </row>
    <row r="1415" spans="6:7" x14ac:dyDescent="0.35">
      <c r="F1415">
        <v>1410</v>
      </c>
      <c r="G1415" s="102">
        <f t="shared" ref="G1415:G1478" ca="1" si="26">_xlfn.NORM.INV(RAND(),M$9,M$10)</f>
        <v>4.458897775519266E-2</v>
      </c>
    </row>
    <row r="1416" spans="6:7" x14ac:dyDescent="0.35">
      <c r="F1416">
        <v>1411</v>
      </c>
      <c r="G1416" s="102">
        <f t="shared" ca="1" si="26"/>
        <v>-6.3996236091123856E-2</v>
      </c>
    </row>
    <row r="1417" spans="6:7" x14ac:dyDescent="0.35">
      <c r="F1417">
        <v>1412</v>
      </c>
      <c r="G1417" s="102">
        <f t="shared" ca="1" si="26"/>
        <v>5.44212789341985E-2</v>
      </c>
    </row>
    <row r="1418" spans="6:7" x14ac:dyDescent="0.35">
      <c r="F1418">
        <v>1413</v>
      </c>
      <c r="G1418" s="102">
        <f t="shared" ca="1" si="26"/>
        <v>9.2456211640145475E-3</v>
      </c>
    </row>
    <row r="1419" spans="6:7" x14ac:dyDescent="0.35">
      <c r="F1419">
        <v>1414</v>
      </c>
      <c r="G1419" s="102">
        <f t="shared" ca="1" si="26"/>
        <v>1.3529765790459072E-2</v>
      </c>
    </row>
    <row r="1420" spans="6:7" x14ac:dyDescent="0.35">
      <c r="F1420">
        <v>1415</v>
      </c>
      <c r="G1420" s="102">
        <f t="shared" ca="1" si="26"/>
        <v>4.9612688539645622E-2</v>
      </c>
    </row>
    <row r="1421" spans="6:7" x14ac:dyDescent="0.35">
      <c r="F1421">
        <v>1416</v>
      </c>
      <c r="G1421" s="102">
        <f t="shared" ca="1" si="26"/>
        <v>1.087049194367023E-3</v>
      </c>
    </row>
    <row r="1422" spans="6:7" x14ac:dyDescent="0.35">
      <c r="F1422">
        <v>1417</v>
      </c>
      <c r="G1422" s="102">
        <f t="shared" ca="1" si="26"/>
        <v>2.5885035855869747E-2</v>
      </c>
    </row>
    <row r="1423" spans="6:7" x14ac:dyDescent="0.35">
      <c r="F1423">
        <v>1418</v>
      </c>
      <c r="G1423" s="102">
        <f t="shared" ca="1" si="26"/>
        <v>-7.4653202615772393E-2</v>
      </c>
    </row>
    <row r="1424" spans="6:7" x14ac:dyDescent="0.35">
      <c r="F1424">
        <v>1419</v>
      </c>
      <c r="G1424" s="102">
        <f t="shared" ca="1" si="26"/>
        <v>-6.4579635143674916E-2</v>
      </c>
    </row>
    <row r="1425" spans="6:7" x14ac:dyDescent="0.35">
      <c r="F1425">
        <v>1420</v>
      </c>
      <c r="G1425" s="102">
        <f t="shared" ca="1" si="26"/>
        <v>-3.7572204954966271E-2</v>
      </c>
    </row>
    <row r="1426" spans="6:7" x14ac:dyDescent="0.35">
      <c r="F1426">
        <v>1421</v>
      </c>
      <c r="G1426" s="102">
        <f t="shared" ca="1" si="26"/>
        <v>-5.1525049577302265E-2</v>
      </c>
    </row>
    <row r="1427" spans="6:7" x14ac:dyDescent="0.35">
      <c r="F1427">
        <v>1422</v>
      </c>
      <c r="G1427" s="102">
        <f t="shared" ca="1" si="26"/>
        <v>-2.3701642419910546E-2</v>
      </c>
    </row>
    <row r="1428" spans="6:7" x14ac:dyDescent="0.35">
      <c r="F1428">
        <v>1423</v>
      </c>
      <c r="G1428" s="102">
        <f t="shared" ca="1" si="26"/>
        <v>5.5800881804033198E-2</v>
      </c>
    </row>
    <row r="1429" spans="6:7" x14ac:dyDescent="0.35">
      <c r="F1429">
        <v>1424</v>
      </c>
      <c r="G1429" s="102">
        <f t="shared" ca="1" si="26"/>
        <v>-3.6579501043866564E-2</v>
      </c>
    </row>
    <row r="1430" spans="6:7" x14ac:dyDescent="0.35">
      <c r="F1430">
        <v>1425</v>
      </c>
      <c r="G1430" s="102">
        <f t="shared" ca="1" si="26"/>
        <v>-0.12337869265889291</v>
      </c>
    </row>
    <row r="1431" spans="6:7" x14ac:dyDescent="0.35">
      <c r="F1431">
        <v>1426</v>
      </c>
      <c r="G1431" s="102">
        <f t="shared" ca="1" si="26"/>
        <v>1.1466746261038496E-2</v>
      </c>
    </row>
    <row r="1432" spans="6:7" x14ac:dyDescent="0.35">
      <c r="F1432">
        <v>1427</v>
      </c>
      <c r="G1432" s="102">
        <f t="shared" ca="1" si="26"/>
        <v>5.6130145515761259E-2</v>
      </c>
    </row>
    <row r="1433" spans="6:7" x14ac:dyDescent="0.35">
      <c r="F1433">
        <v>1428</v>
      </c>
      <c r="G1433" s="102">
        <f t="shared" ca="1" si="26"/>
        <v>6.5886659422881411E-2</v>
      </c>
    </row>
    <row r="1434" spans="6:7" x14ac:dyDescent="0.35">
      <c r="F1434">
        <v>1429</v>
      </c>
      <c r="G1434" s="102">
        <f t="shared" ca="1" si="26"/>
        <v>-4.2945039200384491E-2</v>
      </c>
    </row>
    <row r="1435" spans="6:7" x14ac:dyDescent="0.35">
      <c r="F1435">
        <v>1430</v>
      </c>
      <c r="G1435" s="102">
        <f t="shared" ca="1" si="26"/>
        <v>-0.18255356402611067</v>
      </c>
    </row>
    <row r="1436" spans="6:7" x14ac:dyDescent="0.35">
      <c r="F1436">
        <v>1431</v>
      </c>
      <c r="G1436" s="102">
        <f t="shared" ca="1" si="26"/>
        <v>-1.9268373192035018E-2</v>
      </c>
    </row>
    <row r="1437" spans="6:7" x14ac:dyDescent="0.35">
      <c r="F1437">
        <v>1432</v>
      </c>
      <c r="G1437" s="102">
        <f t="shared" ca="1" si="26"/>
        <v>-3.9738850606030982E-2</v>
      </c>
    </row>
    <row r="1438" spans="6:7" x14ac:dyDescent="0.35">
      <c r="F1438">
        <v>1433</v>
      </c>
      <c r="G1438" s="102">
        <f t="shared" ca="1" si="26"/>
        <v>-1.8771878154657855E-2</v>
      </c>
    </row>
    <row r="1439" spans="6:7" x14ac:dyDescent="0.35">
      <c r="F1439">
        <v>1434</v>
      </c>
      <c r="G1439" s="102">
        <f t="shared" ca="1" si="26"/>
        <v>-8.9957121587337374E-2</v>
      </c>
    </row>
    <row r="1440" spans="6:7" x14ac:dyDescent="0.35">
      <c r="F1440">
        <v>1435</v>
      </c>
      <c r="G1440" s="102">
        <f t="shared" ca="1" si="26"/>
        <v>1.9336931996802479E-2</v>
      </c>
    </row>
    <row r="1441" spans="6:7" x14ac:dyDescent="0.35">
      <c r="F1441">
        <v>1436</v>
      </c>
      <c r="G1441" s="102">
        <f t="shared" ca="1" si="26"/>
        <v>-6.9895015320002474E-2</v>
      </c>
    </row>
    <row r="1442" spans="6:7" x14ac:dyDescent="0.35">
      <c r="F1442">
        <v>1437</v>
      </c>
      <c r="G1442" s="102">
        <f t="shared" ca="1" si="26"/>
        <v>3.9153026821496073E-2</v>
      </c>
    </row>
    <row r="1443" spans="6:7" x14ac:dyDescent="0.35">
      <c r="F1443">
        <v>1438</v>
      </c>
      <c r="G1443" s="102">
        <f t="shared" ca="1" si="26"/>
        <v>-5.8411248229132254E-2</v>
      </c>
    </row>
    <row r="1444" spans="6:7" x14ac:dyDescent="0.35">
      <c r="F1444">
        <v>1439</v>
      </c>
      <c r="G1444" s="102">
        <f t="shared" ca="1" si="26"/>
        <v>-0.15702412370722782</v>
      </c>
    </row>
    <row r="1445" spans="6:7" x14ac:dyDescent="0.35">
      <c r="F1445">
        <v>1440</v>
      </c>
      <c r="G1445" s="102">
        <f t="shared" ca="1" si="26"/>
        <v>8.1340918512862403E-2</v>
      </c>
    </row>
    <row r="1446" spans="6:7" x14ac:dyDescent="0.35">
      <c r="F1446">
        <v>1441</v>
      </c>
      <c r="G1446" s="102">
        <f t="shared" ca="1" si="26"/>
        <v>-3.907943839002409E-2</v>
      </c>
    </row>
    <row r="1447" spans="6:7" x14ac:dyDescent="0.35">
      <c r="F1447">
        <v>1442</v>
      </c>
      <c r="G1447" s="102">
        <f t="shared" ca="1" si="26"/>
        <v>-9.3234892902897812E-2</v>
      </c>
    </row>
    <row r="1448" spans="6:7" x14ac:dyDescent="0.35">
      <c r="F1448">
        <v>1443</v>
      </c>
      <c r="G1448" s="102">
        <f t="shared" ca="1" si="26"/>
        <v>-9.9613846834744543E-2</v>
      </c>
    </row>
    <row r="1449" spans="6:7" x14ac:dyDescent="0.35">
      <c r="F1449">
        <v>1444</v>
      </c>
      <c r="G1449" s="102">
        <f t="shared" ca="1" si="26"/>
        <v>-5.631396085729988E-2</v>
      </c>
    </row>
    <row r="1450" spans="6:7" x14ac:dyDescent="0.35">
      <c r="F1450">
        <v>1445</v>
      </c>
      <c r="G1450" s="102">
        <f t="shared" ca="1" si="26"/>
        <v>4.2259520179423055E-2</v>
      </c>
    </row>
    <row r="1451" spans="6:7" x14ac:dyDescent="0.35">
      <c r="F1451">
        <v>1446</v>
      </c>
      <c r="G1451" s="102">
        <f t="shared" ca="1" si="26"/>
        <v>-0.13712220529101973</v>
      </c>
    </row>
    <row r="1452" spans="6:7" x14ac:dyDescent="0.35">
      <c r="F1452">
        <v>1447</v>
      </c>
      <c r="G1452" s="102">
        <f t="shared" ca="1" si="26"/>
        <v>-3.450813327832751E-3</v>
      </c>
    </row>
    <row r="1453" spans="6:7" x14ac:dyDescent="0.35">
      <c r="F1453">
        <v>1448</v>
      </c>
      <c r="G1453" s="102">
        <f t="shared" ca="1" si="26"/>
        <v>8.5924705443292861E-3</v>
      </c>
    </row>
    <row r="1454" spans="6:7" x14ac:dyDescent="0.35">
      <c r="F1454">
        <v>1449</v>
      </c>
      <c r="G1454" s="102">
        <f t="shared" ca="1" si="26"/>
        <v>-6.7619404779665437E-2</v>
      </c>
    </row>
    <row r="1455" spans="6:7" x14ac:dyDescent="0.35">
      <c r="F1455">
        <v>1450</v>
      </c>
      <c r="G1455" s="102">
        <f t="shared" ca="1" si="26"/>
        <v>5.7184274735285742E-2</v>
      </c>
    </row>
    <row r="1456" spans="6:7" x14ac:dyDescent="0.35">
      <c r="F1456">
        <v>1451</v>
      </c>
      <c r="G1456" s="102">
        <f t="shared" ca="1" si="26"/>
        <v>-9.2671451349664744E-2</v>
      </c>
    </row>
    <row r="1457" spans="6:7" x14ac:dyDescent="0.35">
      <c r="F1457">
        <v>1452</v>
      </c>
      <c r="G1457" s="102">
        <f t="shared" ca="1" si="26"/>
        <v>-4.1595912858247555E-2</v>
      </c>
    </row>
    <row r="1458" spans="6:7" x14ac:dyDescent="0.35">
      <c r="F1458">
        <v>1453</v>
      </c>
      <c r="G1458" s="102">
        <f t="shared" ca="1" si="26"/>
        <v>7.1393878295106225E-2</v>
      </c>
    </row>
    <row r="1459" spans="6:7" x14ac:dyDescent="0.35">
      <c r="F1459">
        <v>1454</v>
      </c>
      <c r="G1459" s="102">
        <f t="shared" ca="1" si="26"/>
        <v>-8.3345512293374321E-2</v>
      </c>
    </row>
    <row r="1460" spans="6:7" x14ac:dyDescent="0.35">
      <c r="F1460">
        <v>1455</v>
      </c>
      <c r="G1460" s="102">
        <f t="shared" ca="1" si="26"/>
        <v>1.228754026336619E-2</v>
      </c>
    </row>
    <row r="1461" spans="6:7" x14ac:dyDescent="0.35">
      <c r="F1461">
        <v>1456</v>
      </c>
      <c r="G1461" s="102">
        <f t="shared" ca="1" si="26"/>
        <v>7.6764574242565206E-2</v>
      </c>
    </row>
    <row r="1462" spans="6:7" x14ac:dyDescent="0.35">
      <c r="F1462">
        <v>1457</v>
      </c>
      <c r="G1462" s="102">
        <f t="shared" ca="1" si="26"/>
        <v>-3.5600472205590539E-2</v>
      </c>
    </row>
    <row r="1463" spans="6:7" x14ac:dyDescent="0.35">
      <c r="F1463">
        <v>1458</v>
      </c>
      <c r="G1463" s="102">
        <f t="shared" ca="1" si="26"/>
        <v>6.7112740172179844E-2</v>
      </c>
    </row>
    <row r="1464" spans="6:7" x14ac:dyDescent="0.35">
      <c r="F1464">
        <v>1459</v>
      </c>
      <c r="G1464" s="102">
        <f t="shared" ca="1" si="26"/>
        <v>5.5209277786409883E-2</v>
      </c>
    </row>
    <row r="1465" spans="6:7" x14ac:dyDescent="0.35">
      <c r="F1465">
        <v>1460</v>
      </c>
      <c r="G1465" s="102">
        <f t="shared" ca="1" si="26"/>
        <v>-8.8843850195665569E-2</v>
      </c>
    </row>
    <row r="1466" spans="6:7" x14ac:dyDescent="0.35">
      <c r="F1466">
        <v>1461</v>
      </c>
      <c r="G1466" s="102">
        <f t="shared" ca="1" si="26"/>
        <v>2.6613577028165348E-2</v>
      </c>
    </row>
    <row r="1467" spans="6:7" x14ac:dyDescent="0.35">
      <c r="F1467">
        <v>1462</v>
      </c>
      <c r="G1467" s="102">
        <f t="shared" ca="1" si="26"/>
        <v>4.3303294917596019E-2</v>
      </c>
    </row>
    <row r="1468" spans="6:7" x14ac:dyDescent="0.35">
      <c r="F1468">
        <v>1463</v>
      </c>
      <c r="G1468" s="102">
        <f t="shared" ca="1" si="26"/>
        <v>-2.3875130958844939E-2</v>
      </c>
    </row>
    <row r="1469" spans="6:7" x14ac:dyDescent="0.35">
      <c r="F1469">
        <v>1464</v>
      </c>
      <c r="G1469" s="102">
        <f t="shared" ca="1" si="26"/>
        <v>-2.6041657462404829E-2</v>
      </c>
    </row>
    <row r="1470" spans="6:7" x14ac:dyDescent="0.35">
      <c r="F1470">
        <v>1465</v>
      </c>
      <c r="G1470" s="102">
        <f t="shared" ca="1" si="26"/>
        <v>1.3038884575159532E-2</v>
      </c>
    </row>
    <row r="1471" spans="6:7" x14ac:dyDescent="0.35">
      <c r="F1471">
        <v>1466</v>
      </c>
      <c r="G1471" s="102">
        <f t="shared" ca="1" si="26"/>
        <v>-2.1810448962205034E-2</v>
      </c>
    </row>
    <row r="1472" spans="6:7" x14ac:dyDescent="0.35">
      <c r="F1472">
        <v>1467</v>
      </c>
      <c r="G1472" s="102">
        <f t="shared" ca="1" si="26"/>
        <v>5.9661504408330165E-2</v>
      </c>
    </row>
    <row r="1473" spans="6:7" x14ac:dyDescent="0.35">
      <c r="F1473">
        <v>1468</v>
      </c>
      <c r="G1473" s="102">
        <f t="shared" ca="1" si="26"/>
        <v>-4.802206650350857E-2</v>
      </c>
    </row>
    <row r="1474" spans="6:7" x14ac:dyDescent="0.35">
      <c r="F1474">
        <v>1469</v>
      </c>
      <c r="G1474" s="102">
        <f t="shared" ca="1" si="26"/>
        <v>6.9163489801649936E-2</v>
      </c>
    </row>
    <row r="1475" spans="6:7" x14ac:dyDescent="0.35">
      <c r="F1475">
        <v>1470</v>
      </c>
      <c r="G1475" s="102">
        <f t="shared" ca="1" si="26"/>
        <v>-8.4970243182469943E-2</v>
      </c>
    </row>
    <row r="1476" spans="6:7" x14ac:dyDescent="0.35">
      <c r="F1476">
        <v>1471</v>
      </c>
      <c r="G1476" s="102">
        <f t="shared" ca="1" si="26"/>
        <v>-2.7493298413926642E-2</v>
      </c>
    </row>
    <row r="1477" spans="6:7" x14ac:dyDescent="0.35">
      <c r="F1477">
        <v>1472</v>
      </c>
      <c r="G1477" s="102">
        <f t="shared" ca="1" si="26"/>
        <v>-1.0422352892335555E-2</v>
      </c>
    </row>
    <row r="1478" spans="6:7" x14ac:dyDescent="0.35">
      <c r="F1478">
        <v>1473</v>
      </c>
      <c r="G1478" s="102">
        <f t="shared" ca="1" si="26"/>
        <v>3.2786341067279193E-2</v>
      </c>
    </row>
    <row r="1479" spans="6:7" x14ac:dyDescent="0.35">
      <c r="F1479">
        <v>1474</v>
      </c>
      <c r="G1479" s="102">
        <f t="shared" ref="G1479:G1542" ca="1" si="27">_xlfn.NORM.INV(RAND(),M$9,M$10)</f>
        <v>-9.7033298904737608E-3</v>
      </c>
    </row>
    <row r="1480" spans="6:7" x14ac:dyDescent="0.35">
      <c r="F1480">
        <v>1475</v>
      </c>
      <c r="G1480" s="102">
        <f t="shared" ca="1" si="27"/>
        <v>3.9288493605859551E-2</v>
      </c>
    </row>
    <row r="1481" spans="6:7" x14ac:dyDescent="0.35">
      <c r="F1481">
        <v>1476</v>
      </c>
      <c r="G1481" s="102">
        <f t="shared" ca="1" si="27"/>
        <v>-1.067936504482439E-2</v>
      </c>
    </row>
    <row r="1482" spans="6:7" x14ac:dyDescent="0.35">
      <c r="F1482">
        <v>1477</v>
      </c>
      <c r="G1482" s="102">
        <f t="shared" ca="1" si="27"/>
        <v>5.7385332656054444E-2</v>
      </c>
    </row>
    <row r="1483" spans="6:7" x14ac:dyDescent="0.35">
      <c r="F1483">
        <v>1478</v>
      </c>
      <c r="G1483" s="102">
        <f t="shared" ca="1" si="27"/>
        <v>-9.4582914358134901E-2</v>
      </c>
    </row>
    <row r="1484" spans="6:7" x14ac:dyDescent="0.35">
      <c r="F1484">
        <v>1479</v>
      </c>
      <c r="G1484" s="102">
        <f t="shared" ca="1" si="27"/>
        <v>2.330093476681078E-2</v>
      </c>
    </row>
    <row r="1485" spans="6:7" x14ac:dyDescent="0.35">
      <c r="F1485">
        <v>1480</v>
      </c>
      <c r="G1485" s="102">
        <f t="shared" ca="1" si="27"/>
        <v>4.0822692818151499E-2</v>
      </c>
    </row>
    <row r="1486" spans="6:7" x14ac:dyDescent="0.35">
      <c r="F1486">
        <v>1481</v>
      </c>
      <c r="G1486" s="102">
        <f t="shared" ca="1" si="27"/>
        <v>1.4939521258520445E-2</v>
      </c>
    </row>
    <row r="1487" spans="6:7" x14ac:dyDescent="0.35">
      <c r="F1487">
        <v>1482</v>
      </c>
      <c r="G1487" s="102">
        <f t="shared" ca="1" si="27"/>
        <v>-8.463696219769834E-2</v>
      </c>
    </row>
    <row r="1488" spans="6:7" x14ac:dyDescent="0.35">
      <c r="F1488">
        <v>1483</v>
      </c>
      <c r="G1488" s="102">
        <f t="shared" ca="1" si="27"/>
        <v>-1.087262305272246E-2</v>
      </c>
    </row>
    <row r="1489" spans="6:7" x14ac:dyDescent="0.35">
      <c r="F1489">
        <v>1484</v>
      </c>
      <c r="G1489" s="102">
        <f t="shared" ca="1" si="27"/>
        <v>4.177460577387454E-2</v>
      </c>
    </row>
    <row r="1490" spans="6:7" x14ac:dyDescent="0.35">
      <c r="F1490">
        <v>1485</v>
      </c>
      <c r="G1490" s="102">
        <f t="shared" ca="1" si="27"/>
        <v>-3.4973247621049197E-2</v>
      </c>
    </row>
    <row r="1491" spans="6:7" x14ac:dyDescent="0.35">
      <c r="F1491">
        <v>1486</v>
      </c>
      <c r="G1491" s="102">
        <f t="shared" ca="1" si="27"/>
        <v>2.8332114839425018E-2</v>
      </c>
    </row>
    <row r="1492" spans="6:7" x14ac:dyDescent="0.35">
      <c r="F1492">
        <v>1487</v>
      </c>
      <c r="G1492" s="102">
        <f t="shared" ca="1" si="27"/>
        <v>7.0799376751507603E-2</v>
      </c>
    </row>
    <row r="1493" spans="6:7" x14ac:dyDescent="0.35">
      <c r="F1493">
        <v>1488</v>
      </c>
      <c r="G1493" s="102">
        <f t="shared" ca="1" si="27"/>
        <v>5.3844187512352662E-2</v>
      </c>
    </row>
    <row r="1494" spans="6:7" x14ac:dyDescent="0.35">
      <c r="F1494">
        <v>1489</v>
      </c>
      <c r="G1494" s="102">
        <f t="shared" ca="1" si="27"/>
        <v>1.5134997552363062E-2</v>
      </c>
    </row>
    <row r="1495" spans="6:7" x14ac:dyDescent="0.35">
      <c r="F1495">
        <v>1490</v>
      </c>
      <c r="G1495" s="102">
        <f t="shared" ca="1" si="27"/>
        <v>3.6530485094475193E-2</v>
      </c>
    </row>
    <row r="1496" spans="6:7" x14ac:dyDescent="0.35">
      <c r="F1496">
        <v>1491</v>
      </c>
      <c r="G1496" s="102">
        <f t="shared" ca="1" si="27"/>
        <v>-1.0399559087967081E-2</v>
      </c>
    </row>
    <row r="1497" spans="6:7" x14ac:dyDescent="0.35">
      <c r="F1497">
        <v>1492</v>
      </c>
      <c r="G1497" s="102">
        <f t="shared" ca="1" si="27"/>
        <v>4.0123233144135712E-2</v>
      </c>
    </row>
    <row r="1498" spans="6:7" x14ac:dyDescent="0.35">
      <c r="F1498">
        <v>1493</v>
      </c>
      <c r="G1498" s="102">
        <f t="shared" ca="1" si="27"/>
        <v>-3.8490294863507774E-2</v>
      </c>
    </row>
    <row r="1499" spans="6:7" x14ac:dyDescent="0.35">
      <c r="F1499">
        <v>1494</v>
      </c>
      <c r="G1499" s="102">
        <f t="shared" ca="1" si="27"/>
        <v>4.2980439134426562E-2</v>
      </c>
    </row>
    <row r="1500" spans="6:7" x14ac:dyDescent="0.35">
      <c r="F1500">
        <v>1495</v>
      </c>
      <c r="G1500" s="102">
        <f t="shared" ca="1" si="27"/>
        <v>4.444355785895826E-2</v>
      </c>
    </row>
    <row r="1501" spans="6:7" x14ac:dyDescent="0.35">
      <c r="F1501">
        <v>1496</v>
      </c>
      <c r="G1501" s="102">
        <f t="shared" ca="1" si="27"/>
        <v>5.9117501742191422E-2</v>
      </c>
    </row>
    <row r="1502" spans="6:7" x14ac:dyDescent="0.35">
      <c r="F1502">
        <v>1497</v>
      </c>
      <c r="G1502" s="102">
        <f t="shared" ca="1" si="27"/>
        <v>1.8674818223601199E-2</v>
      </c>
    </row>
    <row r="1503" spans="6:7" x14ac:dyDescent="0.35">
      <c r="F1503">
        <v>1498</v>
      </c>
      <c r="G1503" s="102">
        <f t="shared" ca="1" si="27"/>
        <v>-7.0718100860602526E-2</v>
      </c>
    </row>
    <row r="1504" spans="6:7" x14ac:dyDescent="0.35">
      <c r="F1504">
        <v>1499</v>
      </c>
      <c r="G1504" s="102">
        <f t="shared" ca="1" si="27"/>
        <v>-1.1697047638529523E-2</v>
      </c>
    </row>
    <row r="1505" spans="6:7" x14ac:dyDescent="0.35">
      <c r="F1505">
        <v>1500</v>
      </c>
      <c r="G1505" s="102">
        <f t="shared" ca="1" si="27"/>
        <v>1.2249885197371763E-2</v>
      </c>
    </row>
    <row r="1506" spans="6:7" x14ac:dyDescent="0.35">
      <c r="F1506">
        <v>1501</v>
      </c>
      <c r="G1506" s="102">
        <f t="shared" ca="1" si="27"/>
        <v>-0.11119610061092103</v>
      </c>
    </row>
    <row r="1507" spans="6:7" x14ac:dyDescent="0.35">
      <c r="F1507">
        <v>1502</v>
      </c>
      <c r="G1507" s="102">
        <f t="shared" ca="1" si="27"/>
        <v>0.11109088122933611</v>
      </c>
    </row>
    <row r="1508" spans="6:7" x14ac:dyDescent="0.35">
      <c r="F1508">
        <v>1503</v>
      </c>
      <c r="G1508" s="102">
        <f t="shared" ca="1" si="27"/>
        <v>-7.3811891000252275E-2</v>
      </c>
    </row>
    <row r="1509" spans="6:7" x14ac:dyDescent="0.35">
      <c r="F1509">
        <v>1504</v>
      </c>
      <c r="G1509" s="102">
        <f t="shared" ca="1" si="27"/>
        <v>-1.5417335242049121E-2</v>
      </c>
    </row>
    <row r="1510" spans="6:7" x14ac:dyDescent="0.35">
      <c r="F1510">
        <v>1505</v>
      </c>
      <c r="G1510" s="102">
        <f t="shared" ca="1" si="27"/>
        <v>-5.3583751694250295E-2</v>
      </c>
    </row>
    <row r="1511" spans="6:7" x14ac:dyDescent="0.35">
      <c r="F1511">
        <v>1506</v>
      </c>
      <c r="G1511" s="102">
        <f t="shared" ca="1" si="27"/>
        <v>2.4183827874490693E-2</v>
      </c>
    </row>
    <row r="1512" spans="6:7" x14ac:dyDescent="0.35">
      <c r="F1512">
        <v>1507</v>
      </c>
      <c r="G1512" s="102">
        <f t="shared" ca="1" si="27"/>
        <v>-3.2542770483674946E-2</v>
      </c>
    </row>
    <row r="1513" spans="6:7" x14ac:dyDescent="0.35">
      <c r="F1513">
        <v>1508</v>
      </c>
      <c r="G1513" s="102">
        <f t="shared" ca="1" si="27"/>
        <v>8.7974099939349626E-2</v>
      </c>
    </row>
    <row r="1514" spans="6:7" x14ac:dyDescent="0.35">
      <c r="F1514">
        <v>1509</v>
      </c>
      <c r="G1514" s="102">
        <f t="shared" ca="1" si="27"/>
        <v>0.11284725233792128</v>
      </c>
    </row>
    <row r="1515" spans="6:7" x14ac:dyDescent="0.35">
      <c r="F1515">
        <v>1510</v>
      </c>
      <c r="G1515" s="102">
        <f t="shared" ca="1" si="27"/>
        <v>2.6742823538122049E-2</v>
      </c>
    </row>
    <row r="1516" spans="6:7" x14ac:dyDescent="0.35">
      <c r="F1516">
        <v>1511</v>
      </c>
      <c r="G1516" s="102">
        <f t="shared" ca="1" si="27"/>
        <v>-4.8561694003153952E-2</v>
      </c>
    </row>
    <row r="1517" spans="6:7" x14ac:dyDescent="0.35">
      <c r="F1517">
        <v>1512</v>
      </c>
      <c r="G1517" s="102">
        <f t="shared" ca="1" si="27"/>
        <v>-1.0089074061784421E-2</v>
      </c>
    </row>
    <row r="1518" spans="6:7" x14ac:dyDescent="0.35">
      <c r="F1518">
        <v>1513</v>
      </c>
      <c r="G1518" s="102">
        <f t="shared" ca="1" si="27"/>
        <v>-6.1888461230662009E-2</v>
      </c>
    </row>
    <row r="1519" spans="6:7" x14ac:dyDescent="0.35">
      <c r="F1519">
        <v>1514</v>
      </c>
      <c r="G1519" s="102">
        <f t="shared" ca="1" si="27"/>
        <v>-6.3337143063516607E-2</v>
      </c>
    </row>
    <row r="1520" spans="6:7" x14ac:dyDescent="0.35">
      <c r="F1520">
        <v>1515</v>
      </c>
      <c r="G1520" s="102">
        <f t="shared" ca="1" si="27"/>
        <v>2.350555544354067E-2</v>
      </c>
    </row>
    <row r="1521" spans="6:7" x14ac:dyDescent="0.35">
      <c r="F1521">
        <v>1516</v>
      </c>
      <c r="G1521" s="102">
        <f t="shared" ca="1" si="27"/>
        <v>0.11582203407006837</v>
      </c>
    </row>
    <row r="1522" spans="6:7" x14ac:dyDescent="0.35">
      <c r="F1522">
        <v>1517</v>
      </c>
      <c r="G1522" s="102">
        <f t="shared" ca="1" si="27"/>
        <v>-3.6035576962177171E-2</v>
      </c>
    </row>
    <row r="1523" spans="6:7" x14ac:dyDescent="0.35">
      <c r="F1523">
        <v>1518</v>
      </c>
      <c r="G1523" s="102">
        <f t="shared" ca="1" si="27"/>
        <v>-9.4018589681002365E-2</v>
      </c>
    </row>
    <row r="1524" spans="6:7" x14ac:dyDescent="0.35">
      <c r="F1524">
        <v>1519</v>
      </c>
      <c r="G1524" s="102">
        <f t="shared" ca="1" si="27"/>
        <v>-3.3532171656549287E-2</v>
      </c>
    </row>
    <row r="1525" spans="6:7" x14ac:dyDescent="0.35">
      <c r="F1525">
        <v>1520</v>
      </c>
      <c r="G1525" s="102">
        <f t="shared" ca="1" si="27"/>
        <v>-9.5489663258550045E-2</v>
      </c>
    </row>
    <row r="1526" spans="6:7" x14ac:dyDescent="0.35">
      <c r="F1526">
        <v>1521</v>
      </c>
      <c r="G1526" s="102">
        <f t="shared" ca="1" si="27"/>
        <v>5.7245085358194489E-2</v>
      </c>
    </row>
    <row r="1527" spans="6:7" x14ac:dyDescent="0.35">
      <c r="F1527">
        <v>1522</v>
      </c>
      <c r="G1527" s="102">
        <f t="shared" ca="1" si="27"/>
        <v>-2.3513918877960661E-2</v>
      </c>
    </row>
    <row r="1528" spans="6:7" x14ac:dyDescent="0.35">
      <c r="F1528">
        <v>1523</v>
      </c>
      <c r="G1528" s="102">
        <f t="shared" ca="1" si="27"/>
        <v>-3.8083890814597898E-2</v>
      </c>
    </row>
    <row r="1529" spans="6:7" x14ac:dyDescent="0.35">
      <c r="F1529">
        <v>1524</v>
      </c>
      <c r="G1529" s="102">
        <f t="shared" ca="1" si="27"/>
        <v>5.6992579828166953E-2</v>
      </c>
    </row>
    <row r="1530" spans="6:7" x14ac:dyDescent="0.35">
      <c r="F1530">
        <v>1525</v>
      </c>
      <c r="G1530" s="102">
        <f t="shared" ca="1" si="27"/>
        <v>4.7508527149009147E-2</v>
      </c>
    </row>
    <row r="1531" spans="6:7" x14ac:dyDescent="0.35">
      <c r="F1531">
        <v>1526</v>
      </c>
      <c r="G1531" s="102">
        <f t="shared" ca="1" si="27"/>
        <v>0.15814627611791027</v>
      </c>
    </row>
    <row r="1532" spans="6:7" x14ac:dyDescent="0.35">
      <c r="F1532">
        <v>1527</v>
      </c>
      <c r="G1532" s="102">
        <f t="shared" ca="1" si="27"/>
        <v>3.7000238261704163E-2</v>
      </c>
    </row>
    <row r="1533" spans="6:7" x14ac:dyDescent="0.35">
      <c r="F1533">
        <v>1528</v>
      </c>
      <c r="G1533" s="102">
        <f t="shared" ca="1" si="27"/>
        <v>-8.9182438387296392E-2</v>
      </c>
    </row>
    <row r="1534" spans="6:7" x14ac:dyDescent="0.35">
      <c r="F1534">
        <v>1529</v>
      </c>
      <c r="G1534" s="102">
        <f t="shared" ca="1" si="27"/>
        <v>3.2751756848790892E-2</v>
      </c>
    </row>
    <row r="1535" spans="6:7" x14ac:dyDescent="0.35">
      <c r="F1535">
        <v>1530</v>
      </c>
      <c r="G1535" s="102">
        <f t="shared" ca="1" si="27"/>
        <v>-2.6206210177721442E-2</v>
      </c>
    </row>
    <row r="1536" spans="6:7" x14ac:dyDescent="0.35">
      <c r="F1536">
        <v>1531</v>
      </c>
      <c r="G1536" s="102">
        <f t="shared" ca="1" si="27"/>
        <v>-0.10495243516987338</v>
      </c>
    </row>
    <row r="1537" spans="6:7" x14ac:dyDescent="0.35">
      <c r="F1537">
        <v>1532</v>
      </c>
      <c r="G1537" s="102">
        <f t="shared" ca="1" si="27"/>
        <v>-5.0338513156751627E-2</v>
      </c>
    </row>
    <row r="1538" spans="6:7" x14ac:dyDescent="0.35">
      <c r="F1538">
        <v>1533</v>
      </c>
      <c r="G1538" s="102">
        <f t="shared" ca="1" si="27"/>
        <v>4.5988892244853363E-2</v>
      </c>
    </row>
    <row r="1539" spans="6:7" x14ac:dyDescent="0.35">
      <c r="F1539">
        <v>1534</v>
      </c>
      <c r="G1539" s="102">
        <f t="shared" ca="1" si="27"/>
        <v>1.9084640617860185E-3</v>
      </c>
    </row>
    <row r="1540" spans="6:7" x14ac:dyDescent="0.35">
      <c r="F1540">
        <v>1535</v>
      </c>
      <c r="G1540" s="102">
        <f t="shared" ca="1" si="27"/>
        <v>0.10631267177032888</v>
      </c>
    </row>
    <row r="1541" spans="6:7" x14ac:dyDescent="0.35">
      <c r="F1541">
        <v>1536</v>
      </c>
      <c r="G1541" s="102">
        <f t="shared" ca="1" si="27"/>
        <v>-2.3174411050047677E-2</v>
      </c>
    </row>
    <row r="1542" spans="6:7" x14ac:dyDescent="0.35">
      <c r="F1542">
        <v>1537</v>
      </c>
      <c r="G1542" s="102">
        <f t="shared" ca="1" si="27"/>
        <v>7.2807243657195223E-2</v>
      </c>
    </row>
    <row r="1543" spans="6:7" x14ac:dyDescent="0.35">
      <c r="F1543">
        <v>1538</v>
      </c>
      <c r="G1543" s="102">
        <f t="shared" ref="G1543:G1606" ca="1" si="28">_xlfn.NORM.INV(RAND(),M$9,M$10)</f>
        <v>5.9889048306666207E-2</v>
      </c>
    </row>
    <row r="1544" spans="6:7" x14ac:dyDescent="0.35">
      <c r="F1544">
        <v>1539</v>
      </c>
      <c r="G1544" s="102">
        <f t="shared" ca="1" si="28"/>
        <v>1.9631810669377657E-2</v>
      </c>
    </row>
    <row r="1545" spans="6:7" x14ac:dyDescent="0.35">
      <c r="F1545">
        <v>1540</v>
      </c>
      <c r="G1545" s="102">
        <f t="shared" ca="1" si="28"/>
        <v>5.912124780679838E-2</v>
      </c>
    </row>
    <row r="1546" spans="6:7" x14ac:dyDescent="0.35">
      <c r="F1546">
        <v>1541</v>
      </c>
      <c r="G1546" s="102">
        <f t="shared" ca="1" si="28"/>
        <v>4.5101920029923123E-2</v>
      </c>
    </row>
    <row r="1547" spans="6:7" x14ac:dyDescent="0.35">
      <c r="F1547">
        <v>1542</v>
      </c>
      <c r="G1547" s="102">
        <f t="shared" ca="1" si="28"/>
        <v>9.3131715346838964E-2</v>
      </c>
    </row>
    <row r="1548" spans="6:7" x14ac:dyDescent="0.35">
      <c r="F1548">
        <v>1543</v>
      </c>
      <c r="G1548" s="102">
        <f t="shared" ca="1" si="28"/>
        <v>3.7300601883092935E-2</v>
      </c>
    </row>
    <row r="1549" spans="6:7" x14ac:dyDescent="0.35">
      <c r="F1549">
        <v>1544</v>
      </c>
      <c r="G1549" s="102">
        <f t="shared" ca="1" si="28"/>
        <v>2.7899015083600546E-2</v>
      </c>
    </row>
    <row r="1550" spans="6:7" x14ac:dyDescent="0.35">
      <c r="F1550">
        <v>1545</v>
      </c>
      <c r="G1550" s="102">
        <f t="shared" ca="1" si="28"/>
        <v>8.6563924686778055E-3</v>
      </c>
    </row>
    <row r="1551" spans="6:7" x14ac:dyDescent="0.35">
      <c r="F1551">
        <v>1546</v>
      </c>
      <c r="G1551" s="102">
        <f t="shared" ca="1" si="28"/>
        <v>1.4403733783621385E-2</v>
      </c>
    </row>
    <row r="1552" spans="6:7" x14ac:dyDescent="0.35">
      <c r="F1552">
        <v>1547</v>
      </c>
      <c r="G1552" s="102">
        <f t="shared" ca="1" si="28"/>
        <v>1.6879526714184197E-2</v>
      </c>
    </row>
    <row r="1553" spans="6:7" x14ac:dyDescent="0.35">
      <c r="F1553">
        <v>1548</v>
      </c>
      <c r="G1553" s="102">
        <f t="shared" ca="1" si="28"/>
        <v>-9.366265767331898E-2</v>
      </c>
    </row>
    <row r="1554" spans="6:7" x14ac:dyDescent="0.35">
      <c r="F1554">
        <v>1549</v>
      </c>
      <c r="G1554" s="102">
        <f t="shared" ca="1" si="28"/>
        <v>-9.221234243735733E-3</v>
      </c>
    </row>
    <row r="1555" spans="6:7" x14ac:dyDescent="0.35">
      <c r="F1555">
        <v>1550</v>
      </c>
      <c r="G1555" s="102">
        <f t="shared" ca="1" si="28"/>
        <v>-2.0023083146252234E-3</v>
      </c>
    </row>
    <row r="1556" spans="6:7" x14ac:dyDescent="0.35">
      <c r="F1556">
        <v>1551</v>
      </c>
      <c r="G1556" s="102">
        <f t="shared" ca="1" si="28"/>
        <v>3.1612984753352988E-2</v>
      </c>
    </row>
    <row r="1557" spans="6:7" x14ac:dyDescent="0.35">
      <c r="F1557">
        <v>1552</v>
      </c>
      <c r="G1557" s="102">
        <f t="shared" ca="1" si="28"/>
        <v>-1.854383634248321E-2</v>
      </c>
    </row>
    <row r="1558" spans="6:7" x14ac:dyDescent="0.35">
      <c r="F1558">
        <v>1553</v>
      </c>
      <c r="G1558" s="102">
        <f t="shared" ca="1" si="28"/>
        <v>-5.5075788239171808E-2</v>
      </c>
    </row>
    <row r="1559" spans="6:7" x14ac:dyDescent="0.35">
      <c r="F1559">
        <v>1554</v>
      </c>
      <c r="G1559" s="102">
        <f t="shared" ca="1" si="28"/>
        <v>5.2149814654844792E-2</v>
      </c>
    </row>
    <row r="1560" spans="6:7" x14ac:dyDescent="0.35">
      <c r="F1560">
        <v>1555</v>
      </c>
      <c r="G1560" s="102">
        <f t="shared" ca="1" si="28"/>
        <v>2.1825037668755206E-2</v>
      </c>
    </row>
    <row r="1561" spans="6:7" x14ac:dyDescent="0.35">
      <c r="F1561">
        <v>1556</v>
      </c>
      <c r="G1561" s="102">
        <f t="shared" ca="1" si="28"/>
        <v>-0.10171170966831855</v>
      </c>
    </row>
    <row r="1562" spans="6:7" x14ac:dyDescent="0.35">
      <c r="F1562">
        <v>1557</v>
      </c>
      <c r="G1562" s="102">
        <f t="shared" ca="1" si="28"/>
        <v>2.6072462103870712E-2</v>
      </c>
    </row>
    <row r="1563" spans="6:7" x14ac:dyDescent="0.35">
      <c r="F1563">
        <v>1558</v>
      </c>
      <c r="G1563" s="102">
        <f t="shared" ca="1" si="28"/>
        <v>-1.3406394826482079E-2</v>
      </c>
    </row>
    <row r="1564" spans="6:7" x14ac:dyDescent="0.35">
      <c r="F1564">
        <v>1559</v>
      </c>
      <c r="G1564" s="102">
        <f t="shared" ca="1" si="28"/>
        <v>2.4671993352193441E-2</v>
      </c>
    </row>
    <row r="1565" spans="6:7" x14ac:dyDescent="0.35">
      <c r="F1565">
        <v>1560</v>
      </c>
      <c r="G1565" s="102">
        <f t="shared" ca="1" si="28"/>
        <v>-4.1449881948475681E-2</v>
      </c>
    </row>
    <row r="1566" spans="6:7" x14ac:dyDescent="0.35">
      <c r="F1566">
        <v>1561</v>
      </c>
      <c r="G1566" s="102">
        <f t="shared" ca="1" si="28"/>
        <v>-1.4923780931385437E-3</v>
      </c>
    </row>
    <row r="1567" spans="6:7" x14ac:dyDescent="0.35">
      <c r="F1567">
        <v>1562</v>
      </c>
      <c r="G1567" s="102">
        <f t="shared" ca="1" si="28"/>
        <v>1.5838454520510453E-2</v>
      </c>
    </row>
    <row r="1568" spans="6:7" x14ac:dyDescent="0.35">
      <c r="F1568">
        <v>1563</v>
      </c>
      <c r="G1568" s="102">
        <f t="shared" ca="1" si="28"/>
        <v>3.2162144438638157E-2</v>
      </c>
    </row>
    <row r="1569" spans="6:7" x14ac:dyDescent="0.35">
      <c r="F1569">
        <v>1564</v>
      </c>
      <c r="G1569" s="102">
        <f t="shared" ca="1" si="28"/>
        <v>1.3940617213027286E-2</v>
      </c>
    </row>
    <row r="1570" spans="6:7" x14ac:dyDescent="0.35">
      <c r="F1570">
        <v>1565</v>
      </c>
      <c r="G1570" s="102">
        <f t="shared" ca="1" si="28"/>
        <v>1.0348906037978105E-2</v>
      </c>
    </row>
    <row r="1571" spans="6:7" x14ac:dyDescent="0.35">
      <c r="F1571">
        <v>1566</v>
      </c>
      <c r="G1571" s="102">
        <f t="shared" ca="1" si="28"/>
        <v>-4.8069899964528276E-2</v>
      </c>
    </row>
    <row r="1572" spans="6:7" x14ac:dyDescent="0.35">
      <c r="F1572">
        <v>1567</v>
      </c>
      <c r="G1572" s="102">
        <f t="shared" ca="1" si="28"/>
        <v>-5.7644598076062536E-2</v>
      </c>
    </row>
    <row r="1573" spans="6:7" x14ac:dyDescent="0.35">
      <c r="F1573">
        <v>1568</v>
      </c>
      <c r="G1573" s="102">
        <f t="shared" ca="1" si="28"/>
        <v>6.2246867285507077E-3</v>
      </c>
    </row>
    <row r="1574" spans="6:7" x14ac:dyDescent="0.35">
      <c r="F1574">
        <v>1569</v>
      </c>
      <c r="G1574" s="102">
        <f t="shared" ca="1" si="28"/>
        <v>-9.5820451182618629E-2</v>
      </c>
    </row>
    <row r="1575" spans="6:7" x14ac:dyDescent="0.35">
      <c r="F1575">
        <v>1570</v>
      </c>
      <c r="G1575" s="102">
        <f t="shared" ca="1" si="28"/>
        <v>-0.11208482431677927</v>
      </c>
    </row>
    <row r="1576" spans="6:7" x14ac:dyDescent="0.35">
      <c r="F1576">
        <v>1571</v>
      </c>
      <c r="G1576" s="102">
        <f t="shared" ca="1" si="28"/>
        <v>9.599771756210955E-2</v>
      </c>
    </row>
    <row r="1577" spans="6:7" x14ac:dyDescent="0.35">
      <c r="F1577">
        <v>1572</v>
      </c>
      <c r="G1577" s="102">
        <f t="shared" ca="1" si="28"/>
        <v>-7.4809469928718161E-2</v>
      </c>
    </row>
    <row r="1578" spans="6:7" x14ac:dyDescent="0.35">
      <c r="F1578">
        <v>1573</v>
      </c>
      <c r="G1578" s="102">
        <f t="shared" ca="1" si="28"/>
        <v>-0.10305229893323022</v>
      </c>
    </row>
    <row r="1579" spans="6:7" x14ac:dyDescent="0.35">
      <c r="F1579">
        <v>1574</v>
      </c>
      <c r="G1579" s="102">
        <f t="shared" ca="1" si="28"/>
        <v>3.0664911878664502E-2</v>
      </c>
    </row>
    <row r="1580" spans="6:7" x14ac:dyDescent="0.35">
      <c r="F1580">
        <v>1575</v>
      </c>
      <c r="G1580" s="102">
        <f t="shared" ca="1" si="28"/>
        <v>-3.1599796817528072E-2</v>
      </c>
    </row>
    <row r="1581" spans="6:7" x14ac:dyDescent="0.35">
      <c r="F1581">
        <v>1576</v>
      </c>
      <c r="G1581" s="102">
        <f t="shared" ca="1" si="28"/>
        <v>1.9720452828180971E-2</v>
      </c>
    </row>
    <row r="1582" spans="6:7" x14ac:dyDescent="0.35">
      <c r="F1582">
        <v>1577</v>
      </c>
      <c r="G1582" s="102">
        <f t="shared" ca="1" si="28"/>
        <v>5.7916803116854446E-2</v>
      </c>
    </row>
    <row r="1583" spans="6:7" x14ac:dyDescent="0.35">
      <c r="F1583">
        <v>1578</v>
      </c>
      <c r="G1583" s="102">
        <f t="shared" ca="1" si="28"/>
        <v>9.6511592492891114E-3</v>
      </c>
    </row>
    <row r="1584" spans="6:7" x14ac:dyDescent="0.35">
      <c r="F1584">
        <v>1579</v>
      </c>
      <c r="G1584" s="102">
        <f t="shared" ca="1" si="28"/>
        <v>7.004291822683123E-2</v>
      </c>
    </row>
    <row r="1585" spans="6:7" x14ac:dyDescent="0.35">
      <c r="F1585">
        <v>1580</v>
      </c>
      <c r="G1585" s="102">
        <f t="shared" ca="1" si="28"/>
        <v>-7.3138751563163962E-2</v>
      </c>
    </row>
    <row r="1586" spans="6:7" x14ac:dyDescent="0.35">
      <c r="F1586">
        <v>1581</v>
      </c>
      <c r="G1586" s="102">
        <f t="shared" ca="1" si="28"/>
        <v>-5.2023577981824942E-2</v>
      </c>
    </row>
    <row r="1587" spans="6:7" x14ac:dyDescent="0.35">
      <c r="F1587">
        <v>1582</v>
      </c>
      <c r="G1587" s="102">
        <f t="shared" ca="1" si="28"/>
        <v>-1.7868095109315377E-2</v>
      </c>
    </row>
    <row r="1588" spans="6:7" x14ac:dyDescent="0.35">
      <c r="F1588">
        <v>1583</v>
      </c>
      <c r="G1588" s="102">
        <f t="shared" ca="1" si="28"/>
        <v>2.276625745659005E-3</v>
      </c>
    </row>
    <row r="1589" spans="6:7" x14ac:dyDescent="0.35">
      <c r="F1589">
        <v>1584</v>
      </c>
      <c r="G1589" s="102">
        <f t="shared" ca="1" si="28"/>
        <v>-3.4743592222563978E-2</v>
      </c>
    </row>
    <row r="1590" spans="6:7" x14ac:dyDescent="0.35">
      <c r="F1590">
        <v>1585</v>
      </c>
      <c r="G1590" s="102">
        <f t="shared" ca="1" si="28"/>
        <v>-7.9131381221751007E-2</v>
      </c>
    </row>
    <row r="1591" spans="6:7" x14ac:dyDescent="0.35">
      <c r="F1591">
        <v>1586</v>
      </c>
      <c r="G1591" s="102">
        <f t="shared" ca="1" si="28"/>
        <v>-1.3979651920672933E-2</v>
      </c>
    </row>
    <row r="1592" spans="6:7" x14ac:dyDescent="0.35">
      <c r="F1592">
        <v>1587</v>
      </c>
      <c r="G1592" s="102">
        <f t="shared" ca="1" si="28"/>
        <v>7.7296968782048128E-2</v>
      </c>
    </row>
    <row r="1593" spans="6:7" x14ac:dyDescent="0.35">
      <c r="F1593">
        <v>1588</v>
      </c>
      <c r="G1593" s="102">
        <f t="shared" ca="1" si="28"/>
        <v>1.9832543730548248E-2</v>
      </c>
    </row>
    <row r="1594" spans="6:7" x14ac:dyDescent="0.35">
      <c r="F1594">
        <v>1589</v>
      </c>
      <c r="G1594" s="102">
        <f t="shared" ca="1" si="28"/>
        <v>0.12257342996967045</v>
      </c>
    </row>
    <row r="1595" spans="6:7" x14ac:dyDescent="0.35">
      <c r="F1595">
        <v>1590</v>
      </c>
      <c r="G1595" s="102">
        <f t="shared" ca="1" si="28"/>
        <v>-2.6435282274005278E-2</v>
      </c>
    </row>
    <row r="1596" spans="6:7" x14ac:dyDescent="0.35">
      <c r="F1596">
        <v>1591</v>
      </c>
      <c r="G1596" s="102">
        <f t="shared" ca="1" si="28"/>
        <v>-3.1136260703315145E-2</v>
      </c>
    </row>
    <row r="1597" spans="6:7" x14ac:dyDescent="0.35">
      <c r="F1597">
        <v>1592</v>
      </c>
      <c r="G1597" s="102">
        <f t="shared" ca="1" si="28"/>
        <v>-9.2932226326323003E-2</v>
      </c>
    </row>
    <row r="1598" spans="6:7" x14ac:dyDescent="0.35">
      <c r="F1598">
        <v>1593</v>
      </c>
      <c r="G1598" s="102">
        <f t="shared" ca="1" si="28"/>
        <v>3.5877433623240168E-2</v>
      </c>
    </row>
    <row r="1599" spans="6:7" x14ac:dyDescent="0.35">
      <c r="F1599">
        <v>1594</v>
      </c>
      <c r="G1599" s="102">
        <f t="shared" ca="1" si="28"/>
        <v>-2.6009932350394685E-2</v>
      </c>
    </row>
    <row r="1600" spans="6:7" x14ac:dyDescent="0.35">
      <c r="F1600">
        <v>1595</v>
      </c>
      <c r="G1600" s="102">
        <f t="shared" ca="1" si="28"/>
        <v>7.4268333688435051E-2</v>
      </c>
    </row>
    <row r="1601" spans="6:7" x14ac:dyDescent="0.35">
      <c r="F1601">
        <v>1596</v>
      </c>
      <c r="G1601" s="102">
        <f t="shared" ca="1" si="28"/>
        <v>-4.3700273716933196E-3</v>
      </c>
    </row>
    <row r="1602" spans="6:7" x14ac:dyDescent="0.35">
      <c r="F1602">
        <v>1597</v>
      </c>
      <c r="G1602" s="102">
        <f t="shared" ca="1" si="28"/>
        <v>5.7070777622147212E-2</v>
      </c>
    </row>
    <row r="1603" spans="6:7" x14ac:dyDescent="0.35">
      <c r="F1603">
        <v>1598</v>
      </c>
      <c r="G1603" s="102">
        <f t="shared" ca="1" si="28"/>
        <v>1.1129898520503483E-2</v>
      </c>
    </row>
    <row r="1604" spans="6:7" x14ac:dyDescent="0.35">
      <c r="F1604">
        <v>1599</v>
      </c>
      <c r="G1604" s="102">
        <f t="shared" ca="1" si="28"/>
        <v>1.4928260219968431E-2</v>
      </c>
    </row>
    <row r="1605" spans="6:7" x14ac:dyDescent="0.35">
      <c r="F1605">
        <v>1600</v>
      </c>
      <c r="G1605" s="102">
        <f t="shared" ca="1" si="28"/>
        <v>5.66510823485121E-2</v>
      </c>
    </row>
    <row r="1606" spans="6:7" x14ac:dyDescent="0.35">
      <c r="F1606">
        <v>1601</v>
      </c>
      <c r="G1606" s="102">
        <f t="shared" ca="1" si="28"/>
        <v>-2.8001316742953239E-2</v>
      </c>
    </row>
    <row r="1607" spans="6:7" x14ac:dyDescent="0.35">
      <c r="F1607">
        <v>1602</v>
      </c>
      <c r="G1607" s="102">
        <f t="shared" ref="G1607:G1670" ca="1" si="29">_xlfn.NORM.INV(RAND(),M$9,M$10)</f>
        <v>3.0113527263269591E-2</v>
      </c>
    </row>
    <row r="1608" spans="6:7" x14ac:dyDescent="0.35">
      <c r="F1608">
        <v>1603</v>
      </c>
      <c r="G1608" s="102">
        <f t="shared" ca="1" si="29"/>
        <v>3.4639868372180554E-2</v>
      </c>
    </row>
    <row r="1609" spans="6:7" x14ac:dyDescent="0.35">
      <c r="F1609">
        <v>1604</v>
      </c>
      <c r="G1609" s="102">
        <f t="shared" ca="1" si="29"/>
        <v>-1.3721856930600329E-2</v>
      </c>
    </row>
    <row r="1610" spans="6:7" x14ac:dyDescent="0.35">
      <c r="F1610">
        <v>1605</v>
      </c>
      <c r="G1610" s="102">
        <f t="shared" ca="1" si="29"/>
        <v>-5.0800378061195237E-2</v>
      </c>
    </row>
    <row r="1611" spans="6:7" x14ac:dyDescent="0.35">
      <c r="F1611">
        <v>1606</v>
      </c>
      <c r="G1611" s="102">
        <f t="shared" ca="1" si="29"/>
        <v>-7.1965589912570599E-2</v>
      </c>
    </row>
    <row r="1612" spans="6:7" x14ac:dyDescent="0.35">
      <c r="F1612">
        <v>1607</v>
      </c>
      <c r="G1612" s="102">
        <f t="shared" ca="1" si="29"/>
        <v>-8.3338204170931712E-2</v>
      </c>
    </row>
    <row r="1613" spans="6:7" x14ac:dyDescent="0.35">
      <c r="F1613">
        <v>1608</v>
      </c>
      <c r="G1613" s="102">
        <f t="shared" ca="1" si="29"/>
        <v>2.127574892975875E-2</v>
      </c>
    </row>
    <row r="1614" spans="6:7" x14ac:dyDescent="0.35">
      <c r="F1614">
        <v>1609</v>
      </c>
      <c r="G1614" s="102">
        <f t="shared" ca="1" si="29"/>
        <v>-0.11685980971157377</v>
      </c>
    </row>
    <row r="1615" spans="6:7" x14ac:dyDescent="0.35">
      <c r="F1615">
        <v>1610</v>
      </c>
      <c r="G1615" s="102">
        <f t="shared" ca="1" si="29"/>
        <v>-0.13084643932328144</v>
      </c>
    </row>
    <row r="1616" spans="6:7" x14ac:dyDescent="0.35">
      <c r="F1616">
        <v>1611</v>
      </c>
      <c r="G1616" s="102">
        <f t="shared" ca="1" si="29"/>
        <v>0.11715188192198261</v>
      </c>
    </row>
    <row r="1617" spans="6:7" x14ac:dyDescent="0.35">
      <c r="F1617">
        <v>1612</v>
      </c>
      <c r="G1617" s="102">
        <f t="shared" ca="1" si="29"/>
        <v>1.1525522978887738E-2</v>
      </c>
    </row>
    <row r="1618" spans="6:7" x14ac:dyDescent="0.35">
      <c r="F1618">
        <v>1613</v>
      </c>
      <c r="G1618" s="102">
        <f t="shared" ca="1" si="29"/>
        <v>7.9227963852855285E-2</v>
      </c>
    </row>
    <row r="1619" spans="6:7" x14ac:dyDescent="0.35">
      <c r="F1619">
        <v>1614</v>
      </c>
      <c r="G1619" s="102">
        <f t="shared" ca="1" si="29"/>
        <v>-8.205041052379082E-2</v>
      </c>
    </row>
    <row r="1620" spans="6:7" x14ac:dyDescent="0.35">
      <c r="F1620">
        <v>1615</v>
      </c>
      <c r="G1620" s="102">
        <f t="shared" ca="1" si="29"/>
        <v>2.9544544571935009E-2</v>
      </c>
    </row>
    <row r="1621" spans="6:7" x14ac:dyDescent="0.35">
      <c r="F1621">
        <v>1616</v>
      </c>
      <c r="G1621" s="102">
        <f t="shared" ca="1" si="29"/>
        <v>-8.6370988841244972E-2</v>
      </c>
    </row>
    <row r="1622" spans="6:7" x14ac:dyDescent="0.35">
      <c r="F1622">
        <v>1617</v>
      </c>
      <c r="G1622" s="102">
        <f t="shared" ca="1" si="29"/>
        <v>2.1761362403915369E-2</v>
      </c>
    </row>
    <row r="1623" spans="6:7" x14ac:dyDescent="0.35">
      <c r="F1623">
        <v>1618</v>
      </c>
      <c r="G1623" s="102">
        <f t="shared" ca="1" si="29"/>
        <v>1.0585480360023422E-2</v>
      </c>
    </row>
    <row r="1624" spans="6:7" x14ac:dyDescent="0.35">
      <c r="F1624">
        <v>1619</v>
      </c>
      <c r="G1624" s="102">
        <f t="shared" ca="1" si="29"/>
        <v>-2.7552816013211173E-2</v>
      </c>
    </row>
    <row r="1625" spans="6:7" x14ac:dyDescent="0.35">
      <c r="F1625">
        <v>1620</v>
      </c>
      <c r="G1625" s="102">
        <f t="shared" ca="1" si="29"/>
        <v>-8.8831577094632644E-2</v>
      </c>
    </row>
    <row r="1626" spans="6:7" x14ac:dyDescent="0.35">
      <c r="F1626">
        <v>1621</v>
      </c>
      <c r="G1626" s="102">
        <f t="shared" ca="1" si="29"/>
        <v>-0.10079653143673159</v>
      </c>
    </row>
    <row r="1627" spans="6:7" x14ac:dyDescent="0.35">
      <c r="F1627">
        <v>1622</v>
      </c>
      <c r="G1627" s="102">
        <f t="shared" ca="1" si="29"/>
        <v>-2.968240598895262E-2</v>
      </c>
    </row>
    <row r="1628" spans="6:7" x14ac:dyDescent="0.35">
      <c r="F1628">
        <v>1623</v>
      </c>
      <c r="G1628" s="102">
        <f t="shared" ca="1" si="29"/>
        <v>3.300820910813157E-2</v>
      </c>
    </row>
    <row r="1629" spans="6:7" x14ac:dyDescent="0.35">
      <c r="F1629">
        <v>1624</v>
      </c>
      <c r="G1629" s="102">
        <f t="shared" ca="1" si="29"/>
        <v>3.8730224064324345E-2</v>
      </c>
    </row>
    <row r="1630" spans="6:7" x14ac:dyDescent="0.35">
      <c r="F1630">
        <v>1625</v>
      </c>
      <c r="G1630" s="102">
        <f t="shared" ca="1" si="29"/>
        <v>-5.7074206961447629E-3</v>
      </c>
    </row>
    <row r="1631" spans="6:7" x14ac:dyDescent="0.35">
      <c r="F1631">
        <v>1626</v>
      </c>
      <c r="G1631" s="102">
        <f t="shared" ca="1" si="29"/>
        <v>8.1600033899427993E-2</v>
      </c>
    </row>
    <row r="1632" spans="6:7" x14ac:dyDescent="0.35">
      <c r="F1632">
        <v>1627</v>
      </c>
      <c r="G1632" s="102">
        <f t="shared" ca="1" si="29"/>
        <v>-3.9480962390797555E-2</v>
      </c>
    </row>
    <row r="1633" spans="6:7" x14ac:dyDescent="0.35">
      <c r="F1633">
        <v>1628</v>
      </c>
      <c r="G1633" s="102">
        <f t="shared" ca="1" si="29"/>
        <v>-3.6336949649668618E-2</v>
      </c>
    </row>
    <row r="1634" spans="6:7" x14ac:dyDescent="0.35">
      <c r="F1634">
        <v>1629</v>
      </c>
      <c r="G1634" s="102">
        <f t="shared" ca="1" si="29"/>
        <v>3.2454006497317806E-2</v>
      </c>
    </row>
    <row r="1635" spans="6:7" x14ac:dyDescent="0.35">
      <c r="F1635">
        <v>1630</v>
      </c>
      <c r="G1635" s="102">
        <f t="shared" ca="1" si="29"/>
        <v>5.911454529044477E-2</v>
      </c>
    </row>
    <row r="1636" spans="6:7" x14ac:dyDescent="0.35">
      <c r="F1636">
        <v>1631</v>
      </c>
      <c r="G1636" s="102">
        <f t="shared" ca="1" si="29"/>
        <v>-9.7130463000527356E-3</v>
      </c>
    </row>
    <row r="1637" spans="6:7" x14ac:dyDescent="0.35">
      <c r="F1637">
        <v>1632</v>
      </c>
      <c r="G1637" s="102">
        <f t="shared" ca="1" si="29"/>
        <v>-2.32221578461029E-2</v>
      </c>
    </row>
    <row r="1638" spans="6:7" x14ac:dyDescent="0.35">
      <c r="F1638">
        <v>1633</v>
      </c>
      <c r="G1638" s="102">
        <f t="shared" ca="1" si="29"/>
        <v>-0.14333769115503381</v>
      </c>
    </row>
    <row r="1639" spans="6:7" x14ac:dyDescent="0.35">
      <c r="F1639">
        <v>1634</v>
      </c>
      <c r="G1639" s="102">
        <f t="shared" ca="1" si="29"/>
        <v>1.9718718002144486E-2</v>
      </c>
    </row>
    <row r="1640" spans="6:7" x14ac:dyDescent="0.35">
      <c r="F1640">
        <v>1635</v>
      </c>
      <c r="G1640" s="102">
        <f t="shared" ca="1" si="29"/>
        <v>5.715068466381085E-3</v>
      </c>
    </row>
    <row r="1641" spans="6:7" x14ac:dyDescent="0.35">
      <c r="F1641">
        <v>1636</v>
      </c>
      <c r="G1641" s="102">
        <f t="shared" ca="1" si="29"/>
        <v>0.11570206177875211</v>
      </c>
    </row>
    <row r="1642" spans="6:7" x14ac:dyDescent="0.35">
      <c r="F1642">
        <v>1637</v>
      </c>
      <c r="G1642" s="102">
        <f t="shared" ca="1" si="29"/>
        <v>3.0905343207831466E-2</v>
      </c>
    </row>
    <row r="1643" spans="6:7" x14ac:dyDescent="0.35">
      <c r="F1643">
        <v>1638</v>
      </c>
      <c r="G1643" s="102">
        <f t="shared" ca="1" si="29"/>
        <v>-3.7205050132138678E-2</v>
      </c>
    </row>
    <row r="1644" spans="6:7" x14ac:dyDescent="0.35">
      <c r="F1644">
        <v>1639</v>
      </c>
      <c r="G1644" s="102">
        <f t="shared" ca="1" si="29"/>
        <v>-7.191462678563589E-3</v>
      </c>
    </row>
    <row r="1645" spans="6:7" x14ac:dyDescent="0.35">
      <c r="F1645">
        <v>1640</v>
      </c>
      <c r="G1645" s="102">
        <f t="shared" ca="1" si="29"/>
        <v>-7.5635831090813427E-2</v>
      </c>
    </row>
    <row r="1646" spans="6:7" x14ac:dyDescent="0.35">
      <c r="F1646">
        <v>1641</v>
      </c>
      <c r="G1646" s="102">
        <f t="shared" ca="1" si="29"/>
        <v>-5.5419093802392377E-2</v>
      </c>
    </row>
    <row r="1647" spans="6:7" x14ac:dyDescent="0.35">
      <c r="F1647">
        <v>1642</v>
      </c>
      <c r="G1647" s="102">
        <f t="shared" ca="1" si="29"/>
        <v>5.8641067535070202E-2</v>
      </c>
    </row>
    <row r="1648" spans="6:7" x14ac:dyDescent="0.35">
      <c r="F1648">
        <v>1643</v>
      </c>
      <c r="G1648" s="102">
        <f t="shared" ca="1" si="29"/>
        <v>-0.10027658692411467</v>
      </c>
    </row>
    <row r="1649" spans="6:7" x14ac:dyDescent="0.35">
      <c r="F1649">
        <v>1644</v>
      </c>
      <c r="G1649" s="102">
        <f t="shared" ca="1" si="29"/>
        <v>2.9231861417437967E-3</v>
      </c>
    </row>
    <row r="1650" spans="6:7" x14ac:dyDescent="0.35">
      <c r="F1650">
        <v>1645</v>
      </c>
      <c r="G1650" s="102">
        <f t="shared" ca="1" si="29"/>
        <v>6.3512121728275708E-2</v>
      </c>
    </row>
    <row r="1651" spans="6:7" x14ac:dyDescent="0.35">
      <c r="F1651">
        <v>1646</v>
      </c>
      <c r="G1651" s="102">
        <f t="shared" ca="1" si="29"/>
        <v>1.1813401988049185E-2</v>
      </c>
    </row>
    <row r="1652" spans="6:7" x14ac:dyDescent="0.35">
      <c r="F1652">
        <v>1647</v>
      </c>
      <c r="G1652" s="102">
        <f t="shared" ca="1" si="29"/>
        <v>4.6954885625365622E-2</v>
      </c>
    </row>
    <row r="1653" spans="6:7" x14ac:dyDescent="0.35">
      <c r="F1653">
        <v>1648</v>
      </c>
      <c r="G1653" s="102">
        <f t="shared" ca="1" si="29"/>
        <v>-2.1215933183090997E-2</v>
      </c>
    </row>
    <row r="1654" spans="6:7" x14ac:dyDescent="0.35">
      <c r="F1654">
        <v>1649</v>
      </c>
      <c r="G1654" s="102">
        <f t="shared" ca="1" si="29"/>
        <v>3.4492188209616428E-2</v>
      </c>
    </row>
    <row r="1655" spans="6:7" x14ac:dyDescent="0.35">
      <c r="F1655">
        <v>1650</v>
      </c>
      <c r="G1655" s="102">
        <f t="shared" ca="1" si="29"/>
        <v>-4.4329987905762508E-2</v>
      </c>
    </row>
    <row r="1656" spans="6:7" x14ac:dyDescent="0.35">
      <c r="F1656">
        <v>1651</v>
      </c>
      <c r="G1656" s="102">
        <f t="shared" ca="1" si="29"/>
        <v>-7.4148034900131388E-2</v>
      </c>
    </row>
    <row r="1657" spans="6:7" x14ac:dyDescent="0.35">
      <c r="F1657">
        <v>1652</v>
      </c>
      <c r="G1657" s="102">
        <f t="shared" ca="1" si="29"/>
        <v>5.4429976324321838E-2</v>
      </c>
    </row>
    <row r="1658" spans="6:7" x14ac:dyDescent="0.35">
      <c r="F1658">
        <v>1653</v>
      </c>
      <c r="G1658" s="102">
        <f t="shared" ca="1" si="29"/>
        <v>-4.0159309049613623E-2</v>
      </c>
    </row>
    <row r="1659" spans="6:7" x14ac:dyDescent="0.35">
      <c r="F1659">
        <v>1654</v>
      </c>
      <c r="G1659" s="102">
        <f t="shared" ca="1" si="29"/>
        <v>5.6620131351365649E-2</v>
      </c>
    </row>
    <row r="1660" spans="6:7" x14ac:dyDescent="0.35">
      <c r="F1660">
        <v>1655</v>
      </c>
      <c r="G1660" s="102">
        <f t="shared" ca="1" si="29"/>
        <v>4.7419468637450689E-3</v>
      </c>
    </row>
    <row r="1661" spans="6:7" x14ac:dyDescent="0.35">
      <c r="F1661">
        <v>1656</v>
      </c>
      <c r="G1661" s="102">
        <f t="shared" ca="1" si="29"/>
        <v>3.0319771024582751E-2</v>
      </c>
    </row>
    <row r="1662" spans="6:7" x14ac:dyDescent="0.35">
      <c r="F1662">
        <v>1657</v>
      </c>
      <c r="G1662" s="102">
        <f t="shared" ca="1" si="29"/>
        <v>-8.6592352197545866E-2</v>
      </c>
    </row>
    <row r="1663" spans="6:7" x14ac:dyDescent="0.35">
      <c r="F1663">
        <v>1658</v>
      </c>
      <c r="G1663" s="102">
        <f t="shared" ca="1" si="29"/>
        <v>-9.0012839646454276E-2</v>
      </c>
    </row>
    <row r="1664" spans="6:7" x14ac:dyDescent="0.35">
      <c r="F1664">
        <v>1659</v>
      </c>
      <c r="G1664" s="102">
        <f t="shared" ca="1" si="29"/>
        <v>3.5819636348694631E-2</v>
      </c>
    </row>
    <row r="1665" spans="6:7" x14ac:dyDescent="0.35">
      <c r="F1665">
        <v>1660</v>
      </c>
      <c r="G1665" s="102">
        <f t="shared" ca="1" si="29"/>
        <v>4.1211666894938825E-2</v>
      </c>
    </row>
    <row r="1666" spans="6:7" x14ac:dyDescent="0.35">
      <c r="F1666">
        <v>1661</v>
      </c>
      <c r="G1666" s="102">
        <f t="shared" ca="1" si="29"/>
        <v>-2.2123570167088526E-2</v>
      </c>
    </row>
    <row r="1667" spans="6:7" x14ac:dyDescent="0.35">
      <c r="F1667">
        <v>1662</v>
      </c>
      <c r="G1667" s="102">
        <f t="shared" ca="1" si="29"/>
        <v>-7.4396411385056163E-2</v>
      </c>
    </row>
    <row r="1668" spans="6:7" x14ac:dyDescent="0.35">
      <c r="F1668">
        <v>1663</v>
      </c>
      <c r="G1668" s="102">
        <f t="shared" ca="1" si="29"/>
        <v>-9.7964476878110579E-2</v>
      </c>
    </row>
    <row r="1669" spans="6:7" x14ac:dyDescent="0.35">
      <c r="F1669">
        <v>1664</v>
      </c>
      <c r="G1669" s="102">
        <f t="shared" ca="1" si="29"/>
        <v>1.9541377981261682E-2</v>
      </c>
    </row>
    <row r="1670" spans="6:7" x14ac:dyDescent="0.35">
      <c r="F1670">
        <v>1665</v>
      </c>
      <c r="G1670" s="102">
        <f t="shared" ca="1" si="29"/>
        <v>-7.2637988286364627E-2</v>
      </c>
    </row>
    <row r="1671" spans="6:7" x14ac:dyDescent="0.35">
      <c r="F1671">
        <v>1666</v>
      </c>
      <c r="G1671" s="102">
        <f t="shared" ref="G1671:G1734" ca="1" si="30">_xlfn.NORM.INV(RAND(),M$9,M$10)</f>
        <v>-7.2838446745572091E-2</v>
      </c>
    </row>
    <row r="1672" spans="6:7" x14ac:dyDescent="0.35">
      <c r="F1672">
        <v>1667</v>
      </c>
      <c r="G1672" s="102">
        <f t="shared" ca="1" si="30"/>
        <v>-7.0240389108745444E-2</v>
      </c>
    </row>
    <row r="1673" spans="6:7" x14ac:dyDescent="0.35">
      <c r="F1673">
        <v>1668</v>
      </c>
      <c r="G1673" s="102">
        <f t="shared" ca="1" si="30"/>
        <v>-4.8855085012657076E-2</v>
      </c>
    </row>
    <row r="1674" spans="6:7" x14ac:dyDescent="0.35">
      <c r="F1674">
        <v>1669</v>
      </c>
      <c r="G1674" s="102">
        <f t="shared" ca="1" si="30"/>
        <v>2.6091399207595036E-2</v>
      </c>
    </row>
    <row r="1675" spans="6:7" x14ac:dyDescent="0.35">
      <c r="F1675">
        <v>1670</v>
      </c>
      <c r="G1675" s="102">
        <f t="shared" ca="1" si="30"/>
        <v>-3.2268056807124162E-2</v>
      </c>
    </row>
    <row r="1676" spans="6:7" x14ac:dyDescent="0.35">
      <c r="F1676">
        <v>1671</v>
      </c>
      <c r="G1676" s="102">
        <f t="shared" ca="1" si="30"/>
        <v>2.6343313485967152E-2</v>
      </c>
    </row>
    <row r="1677" spans="6:7" x14ac:dyDescent="0.35">
      <c r="F1677">
        <v>1672</v>
      </c>
      <c r="G1677" s="102">
        <f t="shared" ca="1" si="30"/>
        <v>9.7427509118981778E-2</v>
      </c>
    </row>
    <row r="1678" spans="6:7" x14ac:dyDescent="0.35">
      <c r="F1678">
        <v>1673</v>
      </c>
      <c r="G1678" s="102">
        <f t="shared" ca="1" si="30"/>
        <v>7.1351825532253541E-2</v>
      </c>
    </row>
    <row r="1679" spans="6:7" x14ac:dyDescent="0.35">
      <c r="F1679">
        <v>1674</v>
      </c>
      <c r="G1679" s="102">
        <f t="shared" ca="1" si="30"/>
        <v>-1.2668780833593376E-2</v>
      </c>
    </row>
    <row r="1680" spans="6:7" x14ac:dyDescent="0.35">
      <c r="F1680">
        <v>1675</v>
      </c>
      <c r="G1680" s="102">
        <f t="shared" ca="1" si="30"/>
        <v>1.1645673204021371E-2</v>
      </c>
    </row>
    <row r="1681" spans="6:7" x14ac:dyDescent="0.35">
      <c r="F1681">
        <v>1676</v>
      </c>
      <c r="G1681" s="102">
        <f t="shared" ca="1" si="30"/>
        <v>-3.9401684301555287E-2</v>
      </c>
    </row>
    <row r="1682" spans="6:7" x14ac:dyDescent="0.35">
      <c r="F1682">
        <v>1677</v>
      </c>
      <c r="G1682" s="102">
        <f t="shared" ca="1" si="30"/>
        <v>-4.3656663050756035E-3</v>
      </c>
    </row>
    <row r="1683" spans="6:7" x14ac:dyDescent="0.35">
      <c r="F1683">
        <v>1678</v>
      </c>
      <c r="G1683" s="102">
        <f t="shared" ca="1" si="30"/>
        <v>-0.13287809127547998</v>
      </c>
    </row>
    <row r="1684" spans="6:7" x14ac:dyDescent="0.35">
      <c r="F1684">
        <v>1679</v>
      </c>
      <c r="G1684" s="102">
        <f t="shared" ca="1" si="30"/>
        <v>1.9468757954481393E-2</v>
      </c>
    </row>
    <row r="1685" spans="6:7" x14ac:dyDescent="0.35">
      <c r="F1685">
        <v>1680</v>
      </c>
      <c r="G1685" s="102">
        <f t="shared" ca="1" si="30"/>
        <v>-3.0015503189576076E-2</v>
      </c>
    </row>
    <row r="1686" spans="6:7" x14ac:dyDescent="0.35">
      <c r="F1686">
        <v>1681</v>
      </c>
      <c r="G1686" s="102">
        <f t="shared" ca="1" si="30"/>
        <v>-2.9463991411740977E-2</v>
      </c>
    </row>
    <row r="1687" spans="6:7" x14ac:dyDescent="0.35">
      <c r="F1687">
        <v>1682</v>
      </c>
      <c r="G1687" s="102">
        <f t="shared" ca="1" si="30"/>
        <v>-4.3317042132184166E-2</v>
      </c>
    </row>
    <row r="1688" spans="6:7" x14ac:dyDescent="0.35">
      <c r="F1688">
        <v>1683</v>
      </c>
      <c r="G1688" s="102">
        <f t="shared" ca="1" si="30"/>
        <v>4.0341149092843864E-2</v>
      </c>
    </row>
    <row r="1689" spans="6:7" x14ac:dyDescent="0.35">
      <c r="F1689">
        <v>1684</v>
      </c>
      <c r="G1689" s="102">
        <f t="shared" ca="1" si="30"/>
        <v>-2.496439205440994E-2</v>
      </c>
    </row>
    <row r="1690" spans="6:7" x14ac:dyDescent="0.35">
      <c r="F1690">
        <v>1685</v>
      </c>
      <c r="G1690" s="102">
        <f t="shared" ca="1" si="30"/>
        <v>6.2074353576997768E-2</v>
      </c>
    </row>
    <row r="1691" spans="6:7" x14ac:dyDescent="0.35">
      <c r="F1691">
        <v>1686</v>
      </c>
      <c r="G1691" s="102">
        <f t="shared" ca="1" si="30"/>
        <v>9.1484826066342784E-2</v>
      </c>
    </row>
    <row r="1692" spans="6:7" x14ac:dyDescent="0.35">
      <c r="F1692">
        <v>1687</v>
      </c>
      <c r="G1692" s="102">
        <f t="shared" ca="1" si="30"/>
        <v>4.3437208184253562E-2</v>
      </c>
    </row>
    <row r="1693" spans="6:7" x14ac:dyDescent="0.35">
      <c r="F1693">
        <v>1688</v>
      </c>
      <c r="G1693" s="102">
        <f t="shared" ca="1" si="30"/>
        <v>2.0884124682474213E-2</v>
      </c>
    </row>
    <row r="1694" spans="6:7" x14ac:dyDescent="0.35">
      <c r="F1694">
        <v>1689</v>
      </c>
      <c r="G1694" s="102">
        <f t="shared" ca="1" si="30"/>
        <v>-2.9859797628442285E-2</v>
      </c>
    </row>
    <row r="1695" spans="6:7" x14ac:dyDescent="0.35">
      <c r="F1695">
        <v>1690</v>
      </c>
      <c r="G1695" s="102">
        <f t="shared" ca="1" si="30"/>
        <v>-8.0579090953755483E-2</v>
      </c>
    </row>
    <row r="1696" spans="6:7" x14ac:dyDescent="0.35">
      <c r="F1696">
        <v>1691</v>
      </c>
      <c r="G1696" s="102">
        <f t="shared" ca="1" si="30"/>
        <v>-9.2613873626576901E-2</v>
      </c>
    </row>
    <row r="1697" spans="6:7" x14ac:dyDescent="0.35">
      <c r="F1697">
        <v>1692</v>
      </c>
      <c r="G1697" s="102">
        <f t="shared" ca="1" si="30"/>
        <v>-1.9930952394223325E-3</v>
      </c>
    </row>
    <row r="1698" spans="6:7" x14ac:dyDescent="0.35">
      <c r="F1698">
        <v>1693</v>
      </c>
      <c r="G1698" s="102">
        <f t="shared" ca="1" si="30"/>
        <v>7.8016817789951592E-2</v>
      </c>
    </row>
    <row r="1699" spans="6:7" x14ac:dyDescent="0.35">
      <c r="F1699">
        <v>1694</v>
      </c>
      <c r="G1699" s="102">
        <f t="shared" ca="1" si="30"/>
        <v>2.6206489937973827E-2</v>
      </c>
    </row>
    <row r="1700" spans="6:7" x14ac:dyDescent="0.35">
      <c r="F1700">
        <v>1695</v>
      </c>
      <c r="G1700" s="102">
        <f t="shared" ca="1" si="30"/>
        <v>-3.9542601332669802E-3</v>
      </c>
    </row>
    <row r="1701" spans="6:7" x14ac:dyDescent="0.35">
      <c r="F1701">
        <v>1696</v>
      </c>
      <c r="G1701" s="102">
        <f t="shared" ca="1" si="30"/>
        <v>-4.2078836117160498E-2</v>
      </c>
    </row>
    <row r="1702" spans="6:7" x14ac:dyDescent="0.35">
      <c r="F1702">
        <v>1697</v>
      </c>
      <c r="G1702" s="102">
        <f t="shared" ca="1" si="30"/>
        <v>-0.13358827988495744</v>
      </c>
    </row>
    <row r="1703" spans="6:7" x14ac:dyDescent="0.35">
      <c r="F1703">
        <v>1698</v>
      </c>
      <c r="G1703" s="102">
        <f t="shared" ca="1" si="30"/>
        <v>1.3609077223452053E-2</v>
      </c>
    </row>
    <row r="1704" spans="6:7" x14ac:dyDescent="0.35">
      <c r="F1704">
        <v>1699</v>
      </c>
      <c r="G1704" s="102">
        <f t="shared" ca="1" si="30"/>
        <v>5.1958495362825402E-2</v>
      </c>
    </row>
    <row r="1705" spans="6:7" x14ac:dyDescent="0.35">
      <c r="F1705">
        <v>1700</v>
      </c>
      <c r="G1705" s="102">
        <f t="shared" ca="1" si="30"/>
        <v>4.7097053870953171E-2</v>
      </c>
    </row>
    <row r="1706" spans="6:7" x14ac:dyDescent="0.35">
      <c r="F1706">
        <v>1701</v>
      </c>
      <c r="G1706" s="102">
        <f t="shared" ca="1" si="30"/>
        <v>-2.5480681555518216E-2</v>
      </c>
    </row>
    <row r="1707" spans="6:7" x14ac:dyDescent="0.35">
      <c r="F1707">
        <v>1702</v>
      </c>
      <c r="G1707" s="102">
        <f t="shared" ca="1" si="30"/>
        <v>1.6684937094388296E-2</v>
      </c>
    </row>
    <row r="1708" spans="6:7" x14ac:dyDescent="0.35">
      <c r="F1708">
        <v>1703</v>
      </c>
      <c r="G1708" s="102">
        <f t="shared" ca="1" si="30"/>
        <v>-5.2473307244929684E-2</v>
      </c>
    </row>
    <row r="1709" spans="6:7" x14ac:dyDescent="0.35">
      <c r="F1709">
        <v>1704</v>
      </c>
      <c r="G1709" s="102">
        <f t="shared" ca="1" si="30"/>
        <v>-8.6005598267126053E-3</v>
      </c>
    </row>
    <row r="1710" spans="6:7" x14ac:dyDescent="0.35">
      <c r="F1710">
        <v>1705</v>
      </c>
      <c r="G1710" s="102">
        <f t="shared" ca="1" si="30"/>
        <v>-8.3177999701733951E-2</v>
      </c>
    </row>
    <row r="1711" spans="6:7" x14ac:dyDescent="0.35">
      <c r="F1711">
        <v>1706</v>
      </c>
      <c r="G1711" s="102">
        <f t="shared" ca="1" si="30"/>
        <v>9.1945609077285259E-2</v>
      </c>
    </row>
    <row r="1712" spans="6:7" x14ac:dyDescent="0.35">
      <c r="F1712">
        <v>1707</v>
      </c>
      <c r="G1712" s="102">
        <f t="shared" ca="1" si="30"/>
        <v>-8.9853071736020862E-2</v>
      </c>
    </row>
    <row r="1713" spans="6:7" x14ac:dyDescent="0.35">
      <c r="F1713">
        <v>1708</v>
      </c>
      <c r="G1713" s="102">
        <f t="shared" ca="1" si="30"/>
        <v>-3.5040196584504413E-2</v>
      </c>
    </row>
    <row r="1714" spans="6:7" x14ac:dyDescent="0.35">
      <c r="F1714">
        <v>1709</v>
      </c>
      <c r="G1714" s="102">
        <f t="shared" ca="1" si="30"/>
        <v>3.3610280387434521E-2</v>
      </c>
    </row>
    <row r="1715" spans="6:7" x14ac:dyDescent="0.35">
      <c r="F1715">
        <v>1710</v>
      </c>
      <c r="G1715" s="102">
        <f t="shared" ca="1" si="30"/>
        <v>-6.7369471302685488E-2</v>
      </c>
    </row>
    <row r="1716" spans="6:7" x14ac:dyDescent="0.35">
      <c r="F1716">
        <v>1711</v>
      </c>
      <c r="G1716" s="102">
        <f t="shared" ca="1" si="30"/>
        <v>5.8541734665321934E-2</v>
      </c>
    </row>
    <row r="1717" spans="6:7" x14ac:dyDescent="0.35">
      <c r="F1717">
        <v>1712</v>
      </c>
      <c r="G1717" s="102">
        <f t="shared" ca="1" si="30"/>
        <v>-0.10039044592228052</v>
      </c>
    </row>
    <row r="1718" spans="6:7" x14ac:dyDescent="0.35">
      <c r="F1718">
        <v>1713</v>
      </c>
      <c r="G1718" s="102">
        <f t="shared" ca="1" si="30"/>
        <v>-4.590366189584548E-2</v>
      </c>
    </row>
    <row r="1719" spans="6:7" x14ac:dyDescent="0.35">
      <c r="F1719">
        <v>1714</v>
      </c>
      <c r="G1719" s="102">
        <f t="shared" ca="1" si="30"/>
        <v>-5.7476883530362399E-2</v>
      </c>
    </row>
    <row r="1720" spans="6:7" x14ac:dyDescent="0.35">
      <c r="F1720">
        <v>1715</v>
      </c>
      <c r="G1720" s="102">
        <f t="shared" ca="1" si="30"/>
        <v>-5.6648942349436057E-2</v>
      </c>
    </row>
    <row r="1721" spans="6:7" x14ac:dyDescent="0.35">
      <c r="F1721">
        <v>1716</v>
      </c>
      <c r="G1721" s="102">
        <f t="shared" ca="1" si="30"/>
        <v>-6.2432168875823923E-2</v>
      </c>
    </row>
    <row r="1722" spans="6:7" x14ac:dyDescent="0.35">
      <c r="F1722">
        <v>1717</v>
      </c>
      <c r="G1722" s="102">
        <f t="shared" ca="1" si="30"/>
        <v>1.8217478208273057E-2</v>
      </c>
    </row>
    <row r="1723" spans="6:7" x14ac:dyDescent="0.35">
      <c r="F1723">
        <v>1718</v>
      </c>
      <c r="G1723" s="102">
        <f t="shared" ca="1" si="30"/>
        <v>7.6884150192579909E-2</v>
      </c>
    </row>
    <row r="1724" spans="6:7" x14ac:dyDescent="0.35">
      <c r="F1724">
        <v>1719</v>
      </c>
      <c r="G1724" s="102">
        <f t="shared" ca="1" si="30"/>
        <v>2.13718124831156E-2</v>
      </c>
    </row>
    <row r="1725" spans="6:7" x14ac:dyDescent="0.35">
      <c r="F1725">
        <v>1720</v>
      </c>
      <c r="G1725" s="102">
        <f t="shared" ca="1" si="30"/>
        <v>-1.2763069778357342E-2</v>
      </c>
    </row>
    <row r="1726" spans="6:7" x14ac:dyDescent="0.35">
      <c r="F1726">
        <v>1721</v>
      </c>
      <c r="G1726" s="102">
        <f t="shared" ca="1" si="30"/>
        <v>-0.12660397726161723</v>
      </c>
    </row>
    <row r="1727" spans="6:7" x14ac:dyDescent="0.35">
      <c r="F1727">
        <v>1722</v>
      </c>
      <c r="G1727" s="102">
        <f t="shared" ca="1" si="30"/>
        <v>5.8662938883692131E-3</v>
      </c>
    </row>
    <row r="1728" spans="6:7" x14ac:dyDescent="0.35">
      <c r="F1728">
        <v>1723</v>
      </c>
      <c r="G1728" s="102">
        <f t="shared" ca="1" si="30"/>
        <v>1.9473931148142748E-3</v>
      </c>
    </row>
    <row r="1729" spans="6:7" x14ac:dyDescent="0.35">
      <c r="F1729">
        <v>1724</v>
      </c>
      <c r="G1729" s="102">
        <f t="shared" ca="1" si="30"/>
        <v>-3.0302324321575722E-3</v>
      </c>
    </row>
    <row r="1730" spans="6:7" x14ac:dyDescent="0.35">
      <c r="F1730">
        <v>1725</v>
      </c>
      <c r="G1730" s="102">
        <f t="shared" ca="1" si="30"/>
        <v>-1.2138896624945952E-2</v>
      </c>
    </row>
    <row r="1731" spans="6:7" x14ac:dyDescent="0.35">
      <c r="F1731">
        <v>1726</v>
      </c>
      <c r="G1731" s="102">
        <f t="shared" ca="1" si="30"/>
        <v>-4.2321742963096487E-3</v>
      </c>
    </row>
    <row r="1732" spans="6:7" x14ac:dyDescent="0.35">
      <c r="F1732">
        <v>1727</v>
      </c>
      <c r="G1732" s="102">
        <f t="shared" ca="1" si="30"/>
        <v>-5.5558915602052202E-3</v>
      </c>
    </row>
    <row r="1733" spans="6:7" x14ac:dyDescent="0.35">
      <c r="F1733">
        <v>1728</v>
      </c>
      <c r="G1733" s="102">
        <f t="shared" ca="1" si="30"/>
        <v>5.1785836069907443E-2</v>
      </c>
    </row>
    <row r="1734" spans="6:7" x14ac:dyDescent="0.35">
      <c r="F1734">
        <v>1729</v>
      </c>
      <c r="G1734" s="102">
        <f t="shared" ca="1" si="30"/>
        <v>-0.11485299248310703</v>
      </c>
    </row>
    <row r="1735" spans="6:7" x14ac:dyDescent="0.35">
      <c r="F1735">
        <v>1730</v>
      </c>
      <c r="G1735" s="102">
        <f t="shared" ref="G1735:G1798" ca="1" si="31">_xlfn.NORM.INV(RAND(),M$9,M$10)</f>
        <v>3.7269138783664002E-2</v>
      </c>
    </row>
    <row r="1736" spans="6:7" x14ac:dyDescent="0.35">
      <c r="F1736">
        <v>1731</v>
      </c>
      <c r="G1736" s="102">
        <f t="shared" ca="1" si="31"/>
        <v>-2.5392590338377517E-2</v>
      </c>
    </row>
    <row r="1737" spans="6:7" x14ac:dyDescent="0.35">
      <c r="F1737">
        <v>1732</v>
      </c>
      <c r="G1737" s="102">
        <f t="shared" ca="1" si="31"/>
        <v>6.9013268434544681E-2</v>
      </c>
    </row>
    <row r="1738" spans="6:7" x14ac:dyDescent="0.35">
      <c r="F1738">
        <v>1733</v>
      </c>
      <c r="G1738" s="102">
        <f t="shared" ca="1" si="31"/>
        <v>3.3241720699465543E-2</v>
      </c>
    </row>
    <row r="1739" spans="6:7" x14ac:dyDescent="0.35">
      <c r="F1739">
        <v>1734</v>
      </c>
      <c r="G1739" s="102">
        <f t="shared" ca="1" si="31"/>
        <v>7.2663671023022042E-2</v>
      </c>
    </row>
    <row r="1740" spans="6:7" x14ac:dyDescent="0.35">
      <c r="F1740">
        <v>1735</v>
      </c>
      <c r="G1740" s="102">
        <f t="shared" ca="1" si="31"/>
        <v>0.12586403955824513</v>
      </c>
    </row>
    <row r="1741" spans="6:7" x14ac:dyDescent="0.35">
      <c r="F1741">
        <v>1736</v>
      </c>
      <c r="G1741" s="102">
        <f t="shared" ca="1" si="31"/>
        <v>2.1025276511496917E-2</v>
      </c>
    </row>
    <row r="1742" spans="6:7" x14ac:dyDescent="0.35">
      <c r="F1742">
        <v>1737</v>
      </c>
      <c r="G1742" s="102">
        <f t="shared" ca="1" si="31"/>
        <v>-5.1392942254532267E-2</v>
      </c>
    </row>
    <row r="1743" spans="6:7" x14ac:dyDescent="0.35">
      <c r="F1743">
        <v>1738</v>
      </c>
      <c r="G1743" s="102">
        <f t="shared" ca="1" si="31"/>
        <v>7.3305563282067859E-2</v>
      </c>
    </row>
    <row r="1744" spans="6:7" x14ac:dyDescent="0.35">
      <c r="F1744">
        <v>1739</v>
      </c>
      <c r="G1744" s="102">
        <f t="shared" ca="1" si="31"/>
        <v>-7.3222282242029743E-2</v>
      </c>
    </row>
    <row r="1745" spans="6:7" x14ac:dyDescent="0.35">
      <c r="F1745">
        <v>1740</v>
      </c>
      <c r="G1745" s="102">
        <f t="shared" ca="1" si="31"/>
        <v>-6.4825835118588453E-3</v>
      </c>
    </row>
    <row r="1746" spans="6:7" x14ac:dyDescent="0.35">
      <c r="F1746">
        <v>1741</v>
      </c>
      <c r="G1746" s="102">
        <f t="shared" ca="1" si="31"/>
        <v>5.8978166961006578E-2</v>
      </c>
    </row>
    <row r="1747" spans="6:7" x14ac:dyDescent="0.35">
      <c r="F1747">
        <v>1742</v>
      </c>
      <c r="G1747" s="102">
        <f t="shared" ca="1" si="31"/>
        <v>1.1217852567643238E-2</v>
      </c>
    </row>
    <row r="1748" spans="6:7" x14ac:dyDescent="0.35">
      <c r="F1748">
        <v>1743</v>
      </c>
      <c r="G1748" s="102">
        <f t="shared" ca="1" si="31"/>
        <v>-2.0486118035321729E-2</v>
      </c>
    </row>
    <row r="1749" spans="6:7" x14ac:dyDescent="0.35">
      <c r="F1749">
        <v>1744</v>
      </c>
      <c r="G1749" s="102">
        <f t="shared" ca="1" si="31"/>
        <v>-5.013968412671703E-2</v>
      </c>
    </row>
    <row r="1750" spans="6:7" x14ac:dyDescent="0.35">
      <c r="F1750">
        <v>1745</v>
      </c>
      <c r="G1750" s="102">
        <f t="shared" ca="1" si="31"/>
        <v>-2.5501245642458835E-2</v>
      </c>
    </row>
    <row r="1751" spans="6:7" x14ac:dyDescent="0.35">
      <c r="F1751">
        <v>1746</v>
      </c>
      <c r="G1751" s="102">
        <f t="shared" ca="1" si="31"/>
        <v>-0.12715526485377276</v>
      </c>
    </row>
    <row r="1752" spans="6:7" x14ac:dyDescent="0.35">
      <c r="F1752">
        <v>1747</v>
      </c>
      <c r="G1752" s="102">
        <f t="shared" ca="1" si="31"/>
        <v>-1.5458711735771131E-3</v>
      </c>
    </row>
    <row r="1753" spans="6:7" x14ac:dyDescent="0.35">
      <c r="F1753">
        <v>1748</v>
      </c>
      <c r="G1753" s="102">
        <f t="shared" ca="1" si="31"/>
        <v>1.5868143910060294E-3</v>
      </c>
    </row>
    <row r="1754" spans="6:7" x14ac:dyDescent="0.35">
      <c r="F1754">
        <v>1749</v>
      </c>
      <c r="G1754" s="102">
        <f t="shared" ca="1" si="31"/>
        <v>-6.7694130841780442E-2</v>
      </c>
    </row>
    <row r="1755" spans="6:7" x14ac:dyDescent="0.35">
      <c r="F1755">
        <v>1750</v>
      </c>
      <c r="G1755" s="102">
        <f t="shared" ca="1" si="31"/>
        <v>-0.15101500544205329</v>
      </c>
    </row>
    <row r="1756" spans="6:7" x14ac:dyDescent="0.35">
      <c r="F1756">
        <v>1751</v>
      </c>
      <c r="G1756" s="102">
        <f t="shared" ca="1" si="31"/>
        <v>-3.1133271638083892E-2</v>
      </c>
    </row>
    <row r="1757" spans="6:7" x14ac:dyDescent="0.35">
      <c r="F1757">
        <v>1752</v>
      </c>
      <c r="G1757" s="102">
        <f t="shared" ca="1" si="31"/>
        <v>3.1392627385331759E-2</v>
      </c>
    </row>
    <row r="1758" spans="6:7" x14ac:dyDescent="0.35">
      <c r="F1758">
        <v>1753</v>
      </c>
      <c r="G1758" s="102">
        <f t="shared" ca="1" si="31"/>
        <v>5.8273954212419238E-2</v>
      </c>
    </row>
    <row r="1759" spans="6:7" x14ac:dyDescent="0.35">
      <c r="F1759">
        <v>1754</v>
      </c>
      <c r="G1759" s="102">
        <f t="shared" ca="1" si="31"/>
        <v>-3.8272201921877316E-2</v>
      </c>
    </row>
    <row r="1760" spans="6:7" x14ac:dyDescent="0.35">
      <c r="F1760">
        <v>1755</v>
      </c>
      <c r="G1760" s="102">
        <f t="shared" ca="1" si="31"/>
        <v>4.2555822298702889E-2</v>
      </c>
    </row>
    <row r="1761" spans="6:7" x14ac:dyDescent="0.35">
      <c r="F1761">
        <v>1756</v>
      </c>
      <c r="G1761" s="102">
        <f t="shared" ca="1" si="31"/>
        <v>-5.4734593532205306E-2</v>
      </c>
    </row>
    <row r="1762" spans="6:7" x14ac:dyDescent="0.35">
      <c r="F1762">
        <v>1757</v>
      </c>
      <c r="G1762" s="102">
        <f t="shared" ca="1" si="31"/>
        <v>-0.14299007477285613</v>
      </c>
    </row>
    <row r="1763" spans="6:7" x14ac:dyDescent="0.35">
      <c r="F1763">
        <v>1758</v>
      </c>
      <c r="G1763" s="102">
        <f t="shared" ca="1" si="31"/>
        <v>-5.2423750668012956E-2</v>
      </c>
    </row>
    <row r="1764" spans="6:7" x14ac:dyDescent="0.35">
      <c r="F1764">
        <v>1759</v>
      </c>
      <c r="G1764" s="102">
        <f t="shared" ca="1" si="31"/>
        <v>7.913197732950553E-3</v>
      </c>
    </row>
    <row r="1765" spans="6:7" x14ac:dyDescent="0.35">
      <c r="F1765">
        <v>1760</v>
      </c>
      <c r="G1765" s="102">
        <f t="shared" ca="1" si="31"/>
        <v>-2.1952168163988329E-3</v>
      </c>
    </row>
    <row r="1766" spans="6:7" x14ac:dyDescent="0.35">
      <c r="F1766">
        <v>1761</v>
      </c>
      <c r="G1766" s="102">
        <f t="shared" ca="1" si="31"/>
        <v>-0.11613932764032076</v>
      </c>
    </row>
    <row r="1767" spans="6:7" x14ac:dyDescent="0.35">
      <c r="F1767">
        <v>1762</v>
      </c>
      <c r="G1767" s="102">
        <f t="shared" ca="1" si="31"/>
        <v>-0.14154870910857884</v>
      </c>
    </row>
    <row r="1768" spans="6:7" x14ac:dyDescent="0.35">
      <c r="F1768">
        <v>1763</v>
      </c>
      <c r="G1768" s="102">
        <f t="shared" ca="1" si="31"/>
        <v>3.3697591889256501E-2</v>
      </c>
    </row>
    <row r="1769" spans="6:7" x14ac:dyDescent="0.35">
      <c r="F1769">
        <v>1764</v>
      </c>
      <c r="G1769" s="102">
        <f t="shared" ca="1" si="31"/>
        <v>2.4328655254661363E-2</v>
      </c>
    </row>
    <row r="1770" spans="6:7" x14ac:dyDescent="0.35">
      <c r="F1770">
        <v>1765</v>
      </c>
      <c r="G1770" s="102">
        <f t="shared" ca="1" si="31"/>
        <v>-0.21353848434033948</v>
      </c>
    </row>
    <row r="1771" spans="6:7" x14ac:dyDescent="0.35">
      <c r="F1771">
        <v>1766</v>
      </c>
      <c r="G1771" s="102">
        <f t="shared" ca="1" si="31"/>
        <v>-5.6514410954375746E-2</v>
      </c>
    </row>
    <row r="1772" spans="6:7" x14ac:dyDescent="0.35">
      <c r="F1772">
        <v>1767</v>
      </c>
      <c r="G1772" s="102">
        <f t="shared" ca="1" si="31"/>
        <v>5.353536806633459E-2</v>
      </c>
    </row>
    <row r="1773" spans="6:7" x14ac:dyDescent="0.35">
      <c r="F1773">
        <v>1768</v>
      </c>
      <c r="G1773" s="102">
        <f t="shared" ca="1" si="31"/>
        <v>-2.9979069027436918E-2</v>
      </c>
    </row>
    <row r="1774" spans="6:7" x14ac:dyDescent="0.35">
      <c r="F1774">
        <v>1769</v>
      </c>
      <c r="G1774" s="102">
        <f t="shared" ca="1" si="31"/>
        <v>2.8721104951859752E-2</v>
      </c>
    </row>
    <row r="1775" spans="6:7" x14ac:dyDescent="0.35">
      <c r="F1775">
        <v>1770</v>
      </c>
      <c r="G1775" s="102">
        <f t="shared" ca="1" si="31"/>
        <v>6.4072280402857007E-2</v>
      </c>
    </row>
    <row r="1776" spans="6:7" x14ac:dyDescent="0.35">
      <c r="F1776">
        <v>1771</v>
      </c>
      <c r="G1776" s="102">
        <f t="shared" ca="1" si="31"/>
        <v>8.2736244008544957E-2</v>
      </c>
    </row>
    <row r="1777" spans="6:7" x14ac:dyDescent="0.35">
      <c r="F1777">
        <v>1772</v>
      </c>
      <c r="G1777" s="102">
        <f t="shared" ca="1" si="31"/>
        <v>5.0590148602659667E-3</v>
      </c>
    </row>
    <row r="1778" spans="6:7" x14ac:dyDescent="0.35">
      <c r="F1778">
        <v>1773</v>
      </c>
      <c r="G1778" s="102">
        <f t="shared" ca="1" si="31"/>
        <v>4.1614934900291427E-3</v>
      </c>
    </row>
    <row r="1779" spans="6:7" x14ac:dyDescent="0.35">
      <c r="F1779">
        <v>1774</v>
      </c>
      <c r="G1779" s="102">
        <f t="shared" ca="1" si="31"/>
        <v>1.3599441740001376E-2</v>
      </c>
    </row>
    <row r="1780" spans="6:7" x14ac:dyDescent="0.35">
      <c r="F1780">
        <v>1775</v>
      </c>
      <c r="G1780" s="102">
        <f t="shared" ca="1" si="31"/>
        <v>-1.9337929832451591E-2</v>
      </c>
    </row>
    <row r="1781" spans="6:7" x14ac:dyDescent="0.35">
      <c r="F1781">
        <v>1776</v>
      </c>
      <c r="G1781" s="102">
        <f t="shared" ca="1" si="31"/>
        <v>3.6574294330753238E-2</v>
      </c>
    </row>
    <row r="1782" spans="6:7" x14ac:dyDescent="0.35">
      <c r="F1782">
        <v>1777</v>
      </c>
      <c r="G1782" s="102">
        <f t="shared" ca="1" si="31"/>
        <v>3.896721654143194E-2</v>
      </c>
    </row>
    <row r="1783" spans="6:7" x14ac:dyDescent="0.35">
      <c r="F1783">
        <v>1778</v>
      </c>
      <c r="G1783" s="102">
        <f t="shared" ca="1" si="31"/>
        <v>5.5826502096837399E-2</v>
      </c>
    </row>
    <row r="1784" spans="6:7" x14ac:dyDescent="0.35">
      <c r="F1784">
        <v>1779</v>
      </c>
      <c r="G1784" s="102">
        <f t="shared" ca="1" si="31"/>
        <v>-1.901413182406692E-3</v>
      </c>
    </row>
    <row r="1785" spans="6:7" x14ac:dyDescent="0.35">
      <c r="F1785">
        <v>1780</v>
      </c>
      <c r="G1785" s="102">
        <f t="shared" ca="1" si="31"/>
        <v>8.3432698832668593E-3</v>
      </c>
    </row>
    <row r="1786" spans="6:7" x14ac:dyDescent="0.35">
      <c r="F1786">
        <v>1781</v>
      </c>
      <c r="G1786" s="102">
        <f t="shared" ca="1" si="31"/>
        <v>-3.5246143148170489E-3</v>
      </c>
    </row>
    <row r="1787" spans="6:7" x14ac:dyDescent="0.35">
      <c r="F1787">
        <v>1782</v>
      </c>
      <c r="G1787" s="102">
        <f t="shared" ca="1" si="31"/>
        <v>2.2779323864851094E-3</v>
      </c>
    </row>
    <row r="1788" spans="6:7" x14ac:dyDescent="0.35">
      <c r="F1788">
        <v>1783</v>
      </c>
      <c r="G1788" s="102">
        <f t="shared" ca="1" si="31"/>
        <v>-4.7438565896618837E-2</v>
      </c>
    </row>
    <row r="1789" spans="6:7" x14ac:dyDescent="0.35">
      <c r="F1789">
        <v>1784</v>
      </c>
      <c r="G1789" s="102">
        <f t="shared" ca="1" si="31"/>
        <v>-6.8215238010619447E-2</v>
      </c>
    </row>
    <row r="1790" spans="6:7" x14ac:dyDescent="0.35">
      <c r="F1790">
        <v>1785</v>
      </c>
      <c r="G1790" s="102">
        <f t="shared" ca="1" si="31"/>
        <v>-0.11233353912062126</v>
      </c>
    </row>
    <row r="1791" spans="6:7" x14ac:dyDescent="0.35">
      <c r="F1791">
        <v>1786</v>
      </c>
      <c r="G1791" s="102">
        <f t="shared" ca="1" si="31"/>
        <v>2.5323657606083159E-2</v>
      </c>
    </row>
    <row r="1792" spans="6:7" x14ac:dyDescent="0.35">
      <c r="F1792">
        <v>1787</v>
      </c>
      <c r="G1792" s="102">
        <f t="shared" ca="1" si="31"/>
        <v>8.6807833280787269E-2</v>
      </c>
    </row>
    <row r="1793" spans="6:7" x14ac:dyDescent="0.35">
      <c r="F1793">
        <v>1788</v>
      </c>
      <c r="G1793" s="102">
        <f t="shared" ca="1" si="31"/>
        <v>2.23880675418964E-2</v>
      </c>
    </row>
    <row r="1794" spans="6:7" x14ac:dyDescent="0.35">
      <c r="F1794">
        <v>1789</v>
      </c>
      <c r="G1794" s="102">
        <f t="shared" ca="1" si="31"/>
        <v>-1.4715681528496503E-2</v>
      </c>
    </row>
    <row r="1795" spans="6:7" x14ac:dyDescent="0.35">
      <c r="F1795">
        <v>1790</v>
      </c>
      <c r="G1795" s="102">
        <f t="shared" ca="1" si="31"/>
        <v>2.8577602574329706E-2</v>
      </c>
    </row>
    <row r="1796" spans="6:7" x14ac:dyDescent="0.35">
      <c r="F1796">
        <v>1791</v>
      </c>
      <c r="G1796" s="102">
        <f t="shared" ca="1" si="31"/>
        <v>-2.2602969382679802E-2</v>
      </c>
    </row>
    <row r="1797" spans="6:7" x14ac:dyDescent="0.35">
      <c r="F1797">
        <v>1792</v>
      </c>
      <c r="G1797" s="102">
        <f t="shared" ca="1" si="31"/>
        <v>-3.0210480077013161E-2</v>
      </c>
    </row>
    <row r="1798" spans="6:7" x14ac:dyDescent="0.35">
      <c r="F1798">
        <v>1793</v>
      </c>
      <c r="G1798" s="102">
        <f t="shared" ca="1" si="31"/>
        <v>1.7357958214387331E-2</v>
      </c>
    </row>
    <row r="1799" spans="6:7" x14ac:dyDescent="0.35">
      <c r="F1799">
        <v>1794</v>
      </c>
      <c r="G1799" s="102">
        <f t="shared" ref="G1799:G1862" ca="1" si="32">_xlfn.NORM.INV(RAND(),M$9,M$10)</f>
        <v>0.1258763371183291</v>
      </c>
    </row>
    <row r="1800" spans="6:7" x14ac:dyDescent="0.35">
      <c r="F1800">
        <v>1795</v>
      </c>
      <c r="G1800" s="102">
        <f t="shared" ca="1" si="32"/>
        <v>8.1050937488353139E-2</v>
      </c>
    </row>
    <row r="1801" spans="6:7" x14ac:dyDescent="0.35">
      <c r="F1801">
        <v>1796</v>
      </c>
      <c r="G1801" s="102">
        <f t="shared" ca="1" si="32"/>
        <v>6.5495354411967188E-2</v>
      </c>
    </row>
    <row r="1802" spans="6:7" x14ac:dyDescent="0.35">
      <c r="F1802">
        <v>1797</v>
      </c>
      <c r="G1802" s="102">
        <f t="shared" ca="1" si="32"/>
        <v>-6.9195987124638829E-3</v>
      </c>
    </row>
    <row r="1803" spans="6:7" x14ac:dyDescent="0.35">
      <c r="F1803">
        <v>1798</v>
      </c>
      <c r="G1803" s="102">
        <f t="shared" ca="1" si="32"/>
        <v>-8.1493841220160013E-2</v>
      </c>
    </row>
    <row r="1804" spans="6:7" x14ac:dyDescent="0.35">
      <c r="F1804">
        <v>1799</v>
      </c>
      <c r="G1804" s="102">
        <f t="shared" ca="1" si="32"/>
        <v>-3.1317213865970445E-2</v>
      </c>
    </row>
    <row r="1805" spans="6:7" x14ac:dyDescent="0.35">
      <c r="F1805">
        <v>1800</v>
      </c>
      <c r="G1805" s="102">
        <f t="shared" ca="1" si="32"/>
        <v>-5.2975985567395092E-2</v>
      </c>
    </row>
    <row r="1806" spans="6:7" x14ac:dyDescent="0.35">
      <c r="F1806">
        <v>1801</v>
      </c>
      <c r="G1806" s="102">
        <f t="shared" ca="1" si="32"/>
        <v>0.11054443988200741</v>
      </c>
    </row>
    <row r="1807" spans="6:7" x14ac:dyDescent="0.35">
      <c r="F1807">
        <v>1802</v>
      </c>
      <c r="G1807" s="102">
        <f t="shared" ca="1" si="32"/>
        <v>-3.4263162200916603E-2</v>
      </c>
    </row>
    <row r="1808" spans="6:7" x14ac:dyDescent="0.35">
      <c r="F1808">
        <v>1803</v>
      </c>
      <c r="G1808" s="102">
        <f t="shared" ca="1" si="32"/>
        <v>5.2662518970073263E-2</v>
      </c>
    </row>
    <row r="1809" spans="6:7" x14ac:dyDescent="0.35">
      <c r="F1809">
        <v>1804</v>
      </c>
      <c r="G1809" s="102">
        <f t="shared" ca="1" si="32"/>
        <v>3.7064135253996572E-2</v>
      </c>
    </row>
    <row r="1810" spans="6:7" x14ac:dyDescent="0.35">
      <c r="F1810">
        <v>1805</v>
      </c>
      <c r="G1810" s="102">
        <f t="shared" ca="1" si="32"/>
        <v>-6.4322987013542499E-2</v>
      </c>
    </row>
    <row r="1811" spans="6:7" x14ac:dyDescent="0.35">
      <c r="F1811">
        <v>1806</v>
      </c>
      <c r="G1811" s="102">
        <f t="shared" ca="1" si="32"/>
        <v>-4.4151908245863118E-3</v>
      </c>
    </row>
    <row r="1812" spans="6:7" x14ac:dyDescent="0.35">
      <c r="F1812">
        <v>1807</v>
      </c>
      <c r="G1812" s="102">
        <f t="shared" ca="1" si="32"/>
        <v>-3.066846178607056E-2</v>
      </c>
    </row>
    <row r="1813" spans="6:7" x14ac:dyDescent="0.35">
      <c r="F1813">
        <v>1808</v>
      </c>
      <c r="G1813" s="102">
        <f t="shared" ca="1" si="32"/>
        <v>-5.351268431990179E-2</v>
      </c>
    </row>
    <row r="1814" spans="6:7" x14ac:dyDescent="0.35">
      <c r="F1814">
        <v>1809</v>
      </c>
      <c r="G1814" s="102">
        <f t="shared" ca="1" si="32"/>
        <v>7.190094995874477E-2</v>
      </c>
    </row>
    <row r="1815" spans="6:7" x14ac:dyDescent="0.35">
      <c r="F1815">
        <v>1810</v>
      </c>
      <c r="G1815" s="102">
        <f t="shared" ca="1" si="32"/>
        <v>-9.2538509601271204E-2</v>
      </c>
    </row>
    <row r="1816" spans="6:7" x14ac:dyDescent="0.35">
      <c r="F1816">
        <v>1811</v>
      </c>
      <c r="G1816" s="102">
        <f t="shared" ca="1" si="32"/>
        <v>-3.8042928573223949E-3</v>
      </c>
    </row>
    <row r="1817" spans="6:7" x14ac:dyDescent="0.35">
      <c r="F1817">
        <v>1812</v>
      </c>
      <c r="G1817" s="102">
        <f t="shared" ca="1" si="32"/>
        <v>-1.2866339378037132E-2</v>
      </c>
    </row>
    <row r="1818" spans="6:7" x14ac:dyDescent="0.35">
      <c r="F1818">
        <v>1813</v>
      </c>
      <c r="G1818" s="102">
        <f t="shared" ca="1" si="32"/>
        <v>-5.8351079077249804E-2</v>
      </c>
    </row>
    <row r="1819" spans="6:7" x14ac:dyDescent="0.35">
      <c r="F1819">
        <v>1814</v>
      </c>
      <c r="G1819" s="102">
        <f t="shared" ca="1" si="32"/>
        <v>3.2739595917043673E-2</v>
      </c>
    </row>
    <row r="1820" spans="6:7" x14ac:dyDescent="0.35">
      <c r="F1820">
        <v>1815</v>
      </c>
      <c r="G1820" s="102">
        <f t="shared" ca="1" si="32"/>
        <v>-1.6758277949590117E-2</v>
      </c>
    </row>
    <row r="1821" spans="6:7" x14ac:dyDescent="0.35">
      <c r="F1821">
        <v>1816</v>
      </c>
      <c r="G1821" s="102">
        <f t="shared" ca="1" si="32"/>
        <v>-6.3991626057003093E-2</v>
      </c>
    </row>
    <row r="1822" spans="6:7" x14ac:dyDescent="0.35">
      <c r="F1822">
        <v>1817</v>
      </c>
      <c r="G1822" s="102">
        <f t="shared" ca="1" si="32"/>
        <v>2.9087408763109595E-3</v>
      </c>
    </row>
    <row r="1823" spans="6:7" x14ac:dyDescent="0.35">
      <c r="F1823">
        <v>1818</v>
      </c>
      <c r="G1823" s="102">
        <f t="shared" ca="1" si="32"/>
        <v>-2.7203817067493644E-2</v>
      </c>
    </row>
    <row r="1824" spans="6:7" x14ac:dyDescent="0.35">
      <c r="F1824">
        <v>1819</v>
      </c>
      <c r="G1824" s="102">
        <f t="shared" ca="1" si="32"/>
        <v>-5.5448703653018863E-2</v>
      </c>
    </row>
    <row r="1825" spans="6:7" x14ac:dyDescent="0.35">
      <c r="F1825">
        <v>1820</v>
      </c>
      <c r="G1825" s="102">
        <f t="shared" ca="1" si="32"/>
        <v>2.0409025207300004E-2</v>
      </c>
    </row>
    <row r="1826" spans="6:7" x14ac:dyDescent="0.35">
      <c r="F1826">
        <v>1821</v>
      </c>
      <c r="G1826" s="102">
        <f t="shared" ca="1" si="32"/>
        <v>2.2305050962624647E-2</v>
      </c>
    </row>
    <row r="1827" spans="6:7" x14ac:dyDescent="0.35">
      <c r="F1827">
        <v>1822</v>
      </c>
      <c r="G1827" s="102">
        <f t="shared" ca="1" si="32"/>
        <v>4.3541365649446287E-2</v>
      </c>
    </row>
    <row r="1828" spans="6:7" x14ac:dyDescent="0.35">
      <c r="F1828">
        <v>1823</v>
      </c>
      <c r="G1828" s="102">
        <f t="shared" ca="1" si="32"/>
        <v>-4.9032822263616757E-2</v>
      </c>
    </row>
    <row r="1829" spans="6:7" x14ac:dyDescent="0.35">
      <c r="F1829">
        <v>1824</v>
      </c>
      <c r="G1829" s="102">
        <f t="shared" ca="1" si="32"/>
        <v>-0.11193140050805586</v>
      </c>
    </row>
    <row r="1830" spans="6:7" x14ac:dyDescent="0.35">
      <c r="F1830">
        <v>1825</v>
      </c>
      <c r="G1830" s="102">
        <f t="shared" ca="1" si="32"/>
        <v>-2.0887438968441113E-2</v>
      </c>
    </row>
    <row r="1831" spans="6:7" x14ac:dyDescent="0.35">
      <c r="F1831">
        <v>1826</v>
      </c>
      <c r="G1831" s="102">
        <f t="shared" ca="1" si="32"/>
        <v>6.6290214070527695E-2</v>
      </c>
    </row>
    <row r="1832" spans="6:7" x14ac:dyDescent="0.35">
      <c r="F1832">
        <v>1827</v>
      </c>
      <c r="G1832" s="102">
        <f t="shared" ca="1" si="32"/>
        <v>-4.323784107317992E-2</v>
      </c>
    </row>
    <row r="1833" spans="6:7" x14ac:dyDescent="0.35">
      <c r="F1833">
        <v>1828</v>
      </c>
      <c r="G1833" s="102">
        <f t="shared" ca="1" si="32"/>
        <v>-6.9413129210906185E-2</v>
      </c>
    </row>
    <row r="1834" spans="6:7" x14ac:dyDescent="0.35">
      <c r="F1834">
        <v>1829</v>
      </c>
      <c r="G1834" s="102">
        <f t="shared" ca="1" si="32"/>
        <v>-4.2988330353511628E-2</v>
      </c>
    </row>
    <row r="1835" spans="6:7" x14ac:dyDescent="0.35">
      <c r="F1835">
        <v>1830</v>
      </c>
      <c r="G1835" s="102">
        <f t="shared" ca="1" si="32"/>
        <v>-7.3160318718009251E-2</v>
      </c>
    </row>
    <row r="1836" spans="6:7" x14ac:dyDescent="0.35">
      <c r="F1836">
        <v>1831</v>
      </c>
      <c r="G1836" s="102">
        <f t="shared" ca="1" si="32"/>
        <v>-1.4561558603283526E-2</v>
      </c>
    </row>
    <row r="1837" spans="6:7" x14ac:dyDescent="0.35">
      <c r="F1837">
        <v>1832</v>
      </c>
      <c r="G1837" s="102">
        <f t="shared" ca="1" si="32"/>
        <v>0.11544853623602971</v>
      </c>
    </row>
    <row r="1838" spans="6:7" x14ac:dyDescent="0.35">
      <c r="F1838">
        <v>1833</v>
      </c>
      <c r="G1838" s="102">
        <f t="shared" ca="1" si="32"/>
        <v>-4.6940461445034989E-3</v>
      </c>
    </row>
    <row r="1839" spans="6:7" x14ac:dyDescent="0.35">
      <c r="F1839">
        <v>1834</v>
      </c>
      <c r="G1839" s="102">
        <f t="shared" ca="1" si="32"/>
        <v>-0.11096593363307017</v>
      </c>
    </row>
    <row r="1840" spans="6:7" x14ac:dyDescent="0.35">
      <c r="F1840">
        <v>1835</v>
      </c>
      <c r="G1840" s="102">
        <f t="shared" ca="1" si="32"/>
        <v>-5.5930104140089032E-2</v>
      </c>
    </row>
    <row r="1841" spans="6:7" x14ac:dyDescent="0.35">
      <c r="F1841">
        <v>1836</v>
      </c>
      <c r="G1841" s="102">
        <f t="shared" ca="1" si="32"/>
        <v>-4.3469867962500283E-2</v>
      </c>
    </row>
    <row r="1842" spans="6:7" x14ac:dyDescent="0.35">
      <c r="F1842">
        <v>1837</v>
      </c>
      <c r="G1842" s="102">
        <f t="shared" ca="1" si="32"/>
        <v>-6.2803178110164296E-2</v>
      </c>
    </row>
    <row r="1843" spans="6:7" x14ac:dyDescent="0.35">
      <c r="F1843">
        <v>1838</v>
      </c>
      <c r="G1843" s="102">
        <f t="shared" ca="1" si="32"/>
        <v>-6.3932717242441272E-3</v>
      </c>
    </row>
    <row r="1844" spans="6:7" x14ac:dyDescent="0.35">
      <c r="F1844">
        <v>1839</v>
      </c>
      <c r="G1844" s="102">
        <f t="shared" ca="1" si="32"/>
        <v>6.1175119541152304E-2</v>
      </c>
    </row>
    <row r="1845" spans="6:7" x14ac:dyDescent="0.35">
      <c r="F1845">
        <v>1840</v>
      </c>
      <c r="G1845" s="102">
        <f t="shared" ca="1" si="32"/>
        <v>3.5622364231177497E-2</v>
      </c>
    </row>
    <row r="1846" spans="6:7" x14ac:dyDescent="0.35">
      <c r="F1846">
        <v>1841</v>
      </c>
      <c r="G1846" s="102">
        <f t="shared" ca="1" si="32"/>
        <v>2.3539087302906124E-2</v>
      </c>
    </row>
    <row r="1847" spans="6:7" x14ac:dyDescent="0.35">
      <c r="F1847">
        <v>1842</v>
      </c>
      <c r="G1847" s="102">
        <f t="shared" ca="1" si="32"/>
        <v>-1.2098842831588413E-2</v>
      </c>
    </row>
    <row r="1848" spans="6:7" x14ac:dyDescent="0.35">
      <c r="F1848">
        <v>1843</v>
      </c>
      <c r="G1848" s="102">
        <f t="shared" ca="1" si="32"/>
        <v>2.7342812879147981E-2</v>
      </c>
    </row>
    <row r="1849" spans="6:7" x14ac:dyDescent="0.35">
      <c r="F1849">
        <v>1844</v>
      </c>
      <c r="G1849" s="102">
        <f t="shared" ca="1" si="32"/>
        <v>-2.9586403957941113E-2</v>
      </c>
    </row>
    <row r="1850" spans="6:7" x14ac:dyDescent="0.35">
      <c r="F1850">
        <v>1845</v>
      </c>
      <c r="G1850" s="102">
        <f t="shared" ca="1" si="32"/>
        <v>5.4704005330293903E-2</v>
      </c>
    </row>
    <row r="1851" spans="6:7" x14ac:dyDescent="0.35">
      <c r="F1851">
        <v>1846</v>
      </c>
      <c r="G1851" s="102">
        <f t="shared" ca="1" si="32"/>
        <v>-5.4240931702486506E-2</v>
      </c>
    </row>
    <row r="1852" spans="6:7" x14ac:dyDescent="0.35">
      <c r="F1852">
        <v>1847</v>
      </c>
      <c r="G1852" s="102">
        <f t="shared" ca="1" si="32"/>
        <v>-6.26175705890544E-2</v>
      </c>
    </row>
    <row r="1853" spans="6:7" x14ac:dyDescent="0.35">
      <c r="F1853">
        <v>1848</v>
      </c>
      <c r="G1853" s="102">
        <f t="shared" ca="1" si="32"/>
        <v>-8.7537733618555116E-2</v>
      </c>
    </row>
    <row r="1854" spans="6:7" x14ac:dyDescent="0.35">
      <c r="F1854">
        <v>1849</v>
      </c>
      <c r="G1854" s="102">
        <f t="shared" ca="1" si="32"/>
        <v>3.5266345448076442E-3</v>
      </c>
    </row>
    <row r="1855" spans="6:7" x14ac:dyDescent="0.35">
      <c r="F1855">
        <v>1850</v>
      </c>
      <c r="G1855" s="102">
        <f t="shared" ca="1" si="32"/>
        <v>5.3935859276313572E-2</v>
      </c>
    </row>
    <row r="1856" spans="6:7" x14ac:dyDescent="0.35">
      <c r="F1856">
        <v>1851</v>
      </c>
      <c r="G1856" s="102">
        <f t="shared" ca="1" si="32"/>
        <v>6.1522776469770286E-3</v>
      </c>
    </row>
    <row r="1857" spans="6:7" x14ac:dyDescent="0.35">
      <c r="F1857">
        <v>1852</v>
      </c>
      <c r="G1857" s="102">
        <f t="shared" ca="1" si="32"/>
        <v>-4.4042638992791441E-2</v>
      </c>
    </row>
    <row r="1858" spans="6:7" x14ac:dyDescent="0.35">
      <c r="F1858">
        <v>1853</v>
      </c>
      <c r="G1858" s="102">
        <f t="shared" ca="1" si="32"/>
        <v>-5.0772419886940354E-2</v>
      </c>
    </row>
    <row r="1859" spans="6:7" x14ac:dyDescent="0.35">
      <c r="F1859">
        <v>1854</v>
      </c>
      <c r="G1859" s="102">
        <f t="shared" ca="1" si="32"/>
        <v>-2.3959536916186769E-2</v>
      </c>
    </row>
    <row r="1860" spans="6:7" x14ac:dyDescent="0.35">
      <c r="F1860">
        <v>1855</v>
      </c>
      <c r="G1860" s="102">
        <f t="shared" ca="1" si="32"/>
        <v>-0.16933904232668059</v>
      </c>
    </row>
    <row r="1861" spans="6:7" x14ac:dyDescent="0.35">
      <c r="F1861">
        <v>1856</v>
      </c>
      <c r="G1861" s="102">
        <f t="shared" ca="1" si="32"/>
        <v>4.7419534703332003E-2</v>
      </c>
    </row>
    <row r="1862" spans="6:7" x14ac:dyDescent="0.35">
      <c r="F1862">
        <v>1857</v>
      </c>
      <c r="G1862" s="102">
        <f t="shared" ca="1" si="32"/>
        <v>-5.8810272904947711E-2</v>
      </c>
    </row>
    <row r="1863" spans="6:7" x14ac:dyDescent="0.35">
      <c r="F1863">
        <v>1858</v>
      </c>
      <c r="G1863" s="102">
        <f t="shared" ref="G1863:G1926" ca="1" si="33">_xlfn.NORM.INV(RAND(),M$9,M$10)</f>
        <v>7.7966269423351775E-2</v>
      </c>
    </row>
    <row r="1864" spans="6:7" x14ac:dyDescent="0.35">
      <c r="F1864">
        <v>1859</v>
      </c>
      <c r="G1864" s="102">
        <f t="shared" ca="1" si="33"/>
        <v>-6.1196061441061031E-2</v>
      </c>
    </row>
    <row r="1865" spans="6:7" x14ac:dyDescent="0.35">
      <c r="F1865">
        <v>1860</v>
      </c>
      <c r="G1865" s="102">
        <f t="shared" ca="1" si="33"/>
        <v>2.3299211272542586E-2</v>
      </c>
    </row>
    <row r="1866" spans="6:7" x14ac:dyDescent="0.35">
      <c r="F1866">
        <v>1861</v>
      </c>
      <c r="G1866" s="102">
        <f t="shared" ca="1" si="33"/>
        <v>5.4313571663306262E-2</v>
      </c>
    </row>
    <row r="1867" spans="6:7" x14ac:dyDescent="0.35">
      <c r="F1867">
        <v>1862</v>
      </c>
      <c r="G1867" s="102">
        <f t="shared" ca="1" si="33"/>
        <v>7.8136048026400867E-2</v>
      </c>
    </row>
    <row r="1868" spans="6:7" x14ac:dyDescent="0.35">
      <c r="F1868">
        <v>1863</v>
      </c>
      <c r="G1868" s="102">
        <f t="shared" ca="1" si="33"/>
        <v>6.2979373606550197E-3</v>
      </c>
    </row>
    <row r="1869" spans="6:7" x14ac:dyDescent="0.35">
      <c r="F1869">
        <v>1864</v>
      </c>
      <c r="G1869" s="102">
        <f t="shared" ca="1" si="33"/>
        <v>-2.8201490121857752E-2</v>
      </c>
    </row>
    <row r="1870" spans="6:7" x14ac:dyDescent="0.35">
      <c r="F1870">
        <v>1865</v>
      </c>
      <c r="G1870" s="102">
        <f t="shared" ca="1" si="33"/>
        <v>3.6265424850732697E-2</v>
      </c>
    </row>
    <row r="1871" spans="6:7" x14ac:dyDescent="0.35">
      <c r="F1871">
        <v>1866</v>
      </c>
      <c r="G1871" s="102">
        <f t="shared" ca="1" si="33"/>
        <v>2.2440870625083893E-2</v>
      </c>
    </row>
    <row r="1872" spans="6:7" x14ac:dyDescent="0.35">
      <c r="F1872">
        <v>1867</v>
      </c>
      <c r="G1872" s="102">
        <f t="shared" ca="1" si="33"/>
        <v>9.0139695365083691E-2</v>
      </c>
    </row>
    <row r="1873" spans="6:7" x14ac:dyDescent="0.35">
      <c r="F1873">
        <v>1868</v>
      </c>
      <c r="G1873" s="102">
        <f t="shared" ca="1" si="33"/>
        <v>1.541428348746373E-3</v>
      </c>
    </row>
    <row r="1874" spans="6:7" x14ac:dyDescent="0.35">
      <c r="F1874">
        <v>1869</v>
      </c>
      <c r="G1874" s="102">
        <f t="shared" ca="1" si="33"/>
        <v>-7.0989552395232969E-2</v>
      </c>
    </row>
    <row r="1875" spans="6:7" x14ac:dyDescent="0.35">
      <c r="F1875">
        <v>1870</v>
      </c>
      <c r="G1875" s="102">
        <f t="shared" ca="1" si="33"/>
        <v>7.1802467870552208E-2</v>
      </c>
    </row>
    <row r="1876" spans="6:7" x14ac:dyDescent="0.35">
      <c r="F1876">
        <v>1871</v>
      </c>
      <c r="G1876" s="102">
        <f t="shared" ca="1" si="33"/>
        <v>-4.4865538903401253E-2</v>
      </c>
    </row>
    <row r="1877" spans="6:7" x14ac:dyDescent="0.35">
      <c r="F1877">
        <v>1872</v>
      </c>
      <c r="G1877" s="102">
        <f t="shared" ca="1" si="33"/>
        <v>-4.283223306402803E-2</v>
      </c>
    </row>
    <row r="1878" spans="6:7" x14ac:dyDescent="0.35">
      <c r="F1878">
        <v>1873</v>
      </c>
      <c r="G1878" s="102">
        <f t="shared" ca="1" si="33"/>
        <v>4.3120481263671899E-3</v>
      </c>
    </row>
    <row r="1879" spans="6:7" x14ac:dyDescent="0.35">
      <c r="F1879">
        <v>1874</v>
      </c>
      <c r="G1879" s="102">
        <f t="shared" ca="1" si="33"/>
        <v>2.5855507049476732E-2</v>
      </c>
    </row>
    <row r="1880" spans="6:7" x14ac:dyDescent="0.35">
      <c r="F1880">
        <v>1875</v>
      </c>
      <c r="G1880" s="102">
        <f t="shared" ca="1" si="33"/>
        <v>-8.9915485016119678E-2</v>
      </c>
    </row>
    <row r="1881" spans="6:7" x14ac:dyDescent="0.35">
      <c r="F1881">
        <v>1876</v>
      </c>
      <c r="G1881" s="102">
        <f t="shared" ca="1" si="33"/>
        <v>-2.5150608621393511E-2</v>
      </c>
    </row>
    <row r="1882" spans="6:7" x14ac:dyDescent="0.35">
      <c r="F1882">
        <v>1877</v>
      </c>
      <c r="G1882" s="102">
        <f t="shared" ca="1" si="33"/>
        <v>6.7191204288458792E-3</v>
      </c>
    </row>
    <row r="1883" spans="6:7" x14ac:dyDescent="0.35">
      <c r="F1883">
        <v>1878</v>
      </c>
      <c r="G1883" s="102">
        <f t="shared" ca="1" si="33"/>
        <v>-2.8613875806420757E-2</v>
      </c>
    </row>
    <row r="1884" spans="6:7" x14ac:dyDescent="0.35">
      <c r="F1884">
        <v>1879</v>
      </c>
      <c r="G1884" s="102">
        <f t="shared" ca="1" si="33"/>
        <v>1.6975299321460118E-2</v>
      </c>
    </row>
    <row r="1885" spans="6:7" x14ac:dyDescent="0.35">
      <c r="F1885">
        <v>1880</v>
      </c>
      <c r="G1885" s="102">
        <f t="shared" ca="1" si="33"/>
        <v>-4.5858162330289595E-2</v>
      </c>
    </row>
    <row r="1886" spans="6:7" x14ac:dyDescent="0.35">
      <c r="F1886">
        <v>1881</v>
      </c>
      <c r="G1886" s="102">
        <f t="shared" ca="1" si="33"/>
        <v>-4.4993914590557016E-2</v>
      </c>
    </row>
    <row r="1887" spans="6:7" x14ac:dyDescent="0.35">
      <c r="F1887">
        <v>1882</v>
      </c>
      <c r="G1887" s="102">
        <f t="shared" ca="1" si="33"/>
        <v>-0.10096185080521174</v>
      </c>
    </row>
    <row r="1888" spans="6:7" x14ac:dyDescent="0.35">
      <c r="F1888">
        <v>1883</v>
      </c>
      <c r="G1888" s="102">
        <f t="shared" ca="1" si="33"/>
        <v>-0.14184379764658334</v>
      </c>
    </row>
    <row r="1889" spans="6:7" x14ac:dyDescent="0.35">
      <c r="F1889">
        <v>1884</v>
      </c>
      <c r="G1889" s="102">
        <f t="shared" ca="1" si="33"/>
        <v>3.831452564074829E-2</v>
      </c>
    </row>
    <row r="1890" spans="6:7" x14ac:dyDescent="0.35">
      <c r="F1890">
        <v>1885</v>
      </c>
      <c r="G1890" s="102">
        <f t="shared" ca="1" si="33"/>
        <v>-1.934996591801013E-2</v>
      </c>
    </row>
    <row r="1891" spans="6:7" x14ac:dyDescent="0.35">
      <c r="F1891">
        <v>1886</v>
      </c>
      <c r="G1891" s="102">
        <f t="shared" ca="1" si="33"/>
        <v>-9.7961065549969722E-2</v>
      </c>
    </row>
    <row r="1892" spans="6:7" x14ac:dyDescent="0.35">
      <c r="F1892">
        <v>1887</v>
      </c>
      <c r="G1892" s="102">
        <f t="shared" ca="1" si="33"/>
        <v>-1.4327134161801961E-2</v>
      </c>
    </row>
    <row r="1893" spans="6:7" x14ac:dyDescent="0.35">
      <c r="F1893">
        <v>1888</v>
      </c>
      <c r="G1893" s="102">
        <f t="shared" ca="1" si="33"/>
        <v>-4.5000270091523579E-3</v>
      </c>
    </row>
    <row r="1894" spans="6:7" x14ac:dyDescent="0.35">
      <c r="F1894">
        <v>1889</v>
      </c>
      <c r="G1894" s="102">
        <f t="shared" ca="1" si="33"/>
        <v>1.1211889533887853E-2</v>
      </c>
    </row>
    <row r="1895" spans="6:7" x14ac:dyDescent="0.35">
      <c r="F1895">
        <v>1890</v>
      </c>
      <c r="G1895" s="102">
        <f t="shared" ca="1" si="33"/>
        <v>-1.5159689898235877E-2</v>
      </c>
    </row>
    <row r="1896" spans="6:7" x14ac:dyDescent="0.35">
      <c r="F1896">
        <v>1891</v>
      </c>
      <c r="G1896" s="102">
        <f t="shared" ca="1" si="33"/>
        <v>-0.10547144390923348</v>
      </c>
    </row>
    <row r="1897" spans="6:7" x14ac:dyDescent="0.35">
      <c r="F1897">
        <v>1892</v>
      </c>
      <c r="G1897" s="102">
        <f t="shared" ca="1" si="33"/>
        <v>-2.4515106080270226E-2</v>
      </c>
    </row>
    <row r="1898" spans="6:7" x14ac:dyDescent="0.35">
      <c r="F1898">
        <v>1893</v>
      </c>
      <c r="G1898" s="102">
        <f t="shared" ca="1" si="33"/>
        <v>0.10191796823647303</v>
      </c>
    </row>
    <row r="1899" spans="6:7" x14ac:dyDescent="0.35">
      <c r="F1899">
        <v>1894</v>
      </c>
      <c r="G1899" s="102">
        <f t="shared" ca="1" si="33"/>
        <v>1.7802996020899423E-2</v>
      </c>
    </row>
    <row r="1900" spans="6:7" x14ac:dyDescent="0.35">
      <c r="F1900">
        <v>1895</v>
      </c>
      <c r="G1900" s="102">
        <f t="shared" ca="1" si="33"/>
        <v>-3.0753295779236134E-3</v>
      </c>
    </row>
    <row r="1901" spans="6:7" x14ac:dyDescent="0.35">
      <c r="F1901">
        <v>1896</v>
      </c>
      <c r="G1901" s="102">
        <f t="shared" ca="1" si="33"/>
        <v>3.7936124781878716E-2</v>
      </c>
    </row>
    <row r="1902" spans="6:7" x14ac:dyDescent="0.35">
      <c r="F1902">
        <v>1897</v>
      </c>
      <c r="G1902" s="102">
        <f t="shared" ca="1" si="33"/>
        <v>-3.7776957348901574E-2</v>
      </c>
    </row>
    <row r="1903" spans="6:7" x14ac:dyDescent="0.35">
      <c r="F1903">
        <v>1898</v>
      </c>
      <c r="G1903" s="102">
        <f t="shared" ca="1" si="33"/>
        <v>-4.188453997872961E-2</v>
      </c>
    </row>
    <row r="1904" spans="6:7" x14ac:dyDescent="0.35">
      <c r="F1904">
        <v>1899</v>
      </c>
      <c r="G1904" s="102">
        <f t="shared" ca="1" si="33"/>
        <v>-5.0247667818972885E-2</v>
      </c>
    </row>
    <row r="1905" spans="6:7" x14ac:dyDescent="0.35">
      <c r="F1905">
        <v>1900</v>
      </c>
      <c r="G1905" s="102">
        <f t="shared" ca="1" si="33"/>
        <v>-1.8389553497761769E-2</v>
      </c>
    </row>
    <row r="1906" spans="6:7" x14ac:dyDescent="0.35">
      <c r="F1906">
        <v>1901</v>
      </c>
      <c r="G1906" s="102">
        <f t="shared" ca="1" si="33"/>
        <v>4.0533556422135728E-2</v>
      </c>
    </row>
    <row r="1907" spans="6:7" x14ac:dyDescent="0.35">
      <c r="F1907">
        <v>1902</v>
      </c>
      <c r="G1907" s="102">
        <f t="shared" ca="1" si="33"/>
        <v>1.6812873407561831E-2</v>
      </c>
    </row>
    <row r="1908" spans="6:7" x14ac:dyDescent="0.35">
      <c r="F1908">
        <v>1903</v>
      </c>
      <c r="G1908" s="102">
        <f t="shared" ca="1" si="33"/>
        <v>-0.13738535237296456</v>
      </c>
    </row>
    <row r="1909" spans="6:7" x14ac:dyDescent="0.35">
      <c r="F1909">
        <v>1904</v>
      </c>
      <c r="G1909" s="102">
        <f t="shared" ca="1" si="33"/>
        <v>-9.7708297905825484E-2</v>
      </c>
    </row>
    <row r="1910" spans="6:7" x14ac:dyDescent="0.35">
      <c r="F1910">
        <v>1905</v>
      </c>
      <c r="G1910" s="102">
        <f t="shared" ca="1" si="33"/>
        <v>1.259451401168226E-2</v>
      </c>
    </row>
    <row r="1911" spans="6:7" x14ac:dyDescent="0.35">
      <c r="F1911">
        <v>1906</v>
      </c>
      <c r="G1911" s="102">
        <f t="shared" ca="1" si="33"/>
        <v>4.421425578643616E-2</v>
      </c>
    </row>
    <row r="1912" spans="6:7" x14ac:dyDescent="0.35">
      <c r="F1912">
        <v>1907</v>
      </c>
      <c r="G1912" s="102">
        <f t="shared" ca="1" si="33"/>
        <v>0.10574976626836496</v>
      </c>
    </row>
    <row r="1913" spans="6:7" x14ac:dyDescent="0.35">
      <c r="F1913">
        <v>1908</v>
      </c>
      <c r="G1913" s="102">
        <f t="shared" ca="1" si="33"/>
        <v>-9.8715305292993188E-2</v>
      </c>
    </row>
    <row r="1914" spans="6:7" x14ac:dyDescent="0.35">
      <c r="F1914">
        <v>1909</v>
      </c>
      <c r="G1914" s="102">
        <f t="shared" ca="1" si="33"/>
        <v>-4.8141140590883341E-2</v>
      </c>
    </row>
    <row r="1915" spans="6:7" x14ac:dyDescent="0.35">
      <c r="F1915">
        <v>1910</v>
      </c>
      <c r="G1915" s="102">
        <f t="shared" ca="1" si="33"/>
        <v>-3.9374288596993809E-2</v>
      </c>
    </row>
    <row r="1916" spans="6:7" x14ac:dyDescent="0.35">
      <c r="F1916">
        <v>1911</v>
      </c>
      <c r="G1916" s="102">
        <f t="shared" ca="1" si="33"/>
        <v>-0.11710899104383039</v>
      </c>
    </row>
    <row r="1917" spans="6:7" x14ac:dyDescent="0.35">
      <c r="F1917">
        <v>1912</v>
      </c>
      <c r="G1917" s="102">
        <f t="shared" ca="1" si="33"/>
        <v>-5.4927101904168087E-3</v>
      </c>
    </row>
    <row r="1918" spans="6:7" x14ac:dyDescent="0.35">
      <c r="F1918">
        <v>1913</v>
      </c>
      <c r="G1918" s="102">
        <f t="shared" ca="1" si="33"/>
        <v>4.5869974626155663E-2</v>
      </c>
    </row>
    <row r="1919" spans="6:7" x14ac:dyDescent="0.35">
      <c r="F1919">
        <v>1914</v>
      </c>
      <c r="G1919" s="102">
        <f t="shared" ca="1" si="33"/>
        <v>3.1675529214553896E-2</v>
      </c>
    </row>
    <row r="1920" spans="6:7" x14ac:dyDescent="0.35">
      <c r="F1920">
        <v>1915</v>
      </c>
      <c r="G1920" s="102">
        <f t="shared" ca="1" si="33"/>
        <v>7.8448601448233277E-2</v>
      </c>
    </row>
    <row r="1921" spans="6:7" x14ac:dyDescent="0.35">
      <c r="F1921">
        <v>1916</v>
      </c>
      <c r="G1921" s="102">
        <f t="shared" ca="1" si="33"/>
        <v>-0.12494352001829012</v>
      </c>
    </row>
    <row r="1922" spans="6:7" x14ac:dyDescent="0.35">
      <c r="F1922">
        <v>1917</v>
      </c>
      <c r="G1922" s="102">
        <f t="shared" ca="1" si="33"/>
        <v>2.9384628954028384E-2</v>
      </c>
    </row>
    <row r="1923" spans="6:7" x14ac:dyDescent="0.35">
      <c r="F1923">
        <v>1918</v>
      </c>
      <c r="G1923" s="102">
        <f t="shared" ca="1" si="33"/>
        <v>-0.13329852215917862</v>
      </c>
    </row>
    <row r="1924" spans="6:7" x14ac:dyDescent="0.35">
      <c r="F1924">
        <v>1919</v>
      </c>
      <c r="G1924" s="102">
        <f t="shared" ca="1" si="33"/>
        <v>1.6092324257952151E-2</v>
      </c>
    </row>
    <row r="1925" spans="6:7" x14ac:dyDescent="0.35">
      <c r="F1925">
        <v>1920</v>
      </c>
      <c r="G1925" s="102">
        <f t="shared" ca="1" si="33"/>
        <v>5.0470428807980444E-2</v>
      </c>
    </row>
    <row r="1926" spans="6:7" x14ac:dyDescent="0.35">
      <c r="F1926">
        <v>1921</v>
      </c>
      <c r="G1926" s="102">
        <f t="shared" ca="1" si="33"/>
        <v>2.1112166578634219E-2</v>
      </c>
    </row>
    <row r="1927" spans="6:7" x14ac:dyDescent="0.35">
      <c r="F1927">
        <v>1922</v>
      </c>
      <c r="G1927" s="102">
        <f t="shared" ref="G1927:G1990" ca="1" si="34">_xlfn.NORM.INV(RAND(),M$9,M$10)</f>
        <v>0.20184327096879373</v>
      </c>
    </row>
    <row r="1928" spans="6:7" x14ac:dyDescent="0.35">
      <c r="F1928">
        <v>1923</v>
      </c>
      <c r="G1928" s="102">
        <f t="shared" ca="1" si="34"/>
        <v>-5.6149809544699864E-2</v>
      </c>
    </row>
    <row r="1929" spans="6:7" x14ac:dyDescent="0.35">
      <c r="F1929">
        <v>1924</v>
      </c>
      <c r="G1929" s="102">
        <f t="shared" ca="1" si="34"/>
        <v>-2.003799521545311E-2</v>
      </c>
    </row>
    <row r="1930" spans="6:7" x14ac:dyDescent="0.35">
      <c r="F1930">
        <v>1925</v>
      </c>
      <c r="G1930" s="102">
        <f t="shared" ca="1" si="34"/>
        <v>8.7033088665451536E-2</v>
      </c>
    </row>
    <row r="1931" spans="6:7" x14ac:dyDescent="0.35">
      <c r="F1931">
        <v>1926</v>
      </c>
      <c r="G1931" s="102">
        <f t="shared" ca="1" si="34"/>
        <v>-1.5448012102111068E-2</v>
      </c>
    </row>
    <row r="1932" spans="6:7" x14ac:dyDescent="0.35">
      <c r="F1932">
        <v>1927</v>
      </c>
      <c r="G1932" s="102">
        <f t="shared" ca="1" si="34"/>
        <v>-3.8022629533609492E-2</v>
      </c>
    </row>
    <row r="1933" spans="6:7" x14ac:dyDescent="0.35">
      <c r="F1933">
        <v>1928</v>
      </c>
      <c r="G1933" s="102">
        <f t="shared" ca="1" si="34"/>
        <v>1.6804086217469837E-2</v>
      </c>
    </row>
    <row r="1934" spans="6:7" x14ac:dyDescent="0.35">
      <c r="F1934">
        <v>1929</v>
      </c>
      <c r="G1934" s="102">
        <f t="shared" ca="1" si="34"/>
        <v>2.1749153925005631E-2</v>
      </c>
    </row>
    <row r="1935" spans="6:7" x14ac:dyDescent="0.35">
      <c r="F1935">
        <v>1930</v>
      </c>
      <c r="G1935" s="102">
        <f t="shared" ca="1" si="34"/>
        <v>-1.4758436275702067E-2</v>
      </c>
    </row>
    <row r="1936" spans="6:7" x14ac:dyDescent="0.35">
      <c r="F1936">
        <v>1931</v>
      </c>
      <c r="G1936" s="102">
        <f t="shared" ca="1" si="34"/>
        <v>0.11026571669876856</v>
      </c>
    </row>
    <row r="1937" spans="6:7" x14ac:dyDescent="0.35">
      <c r="F1937">
        <v>1932</v>
      </c>
      <c r="G1937" s="102">
        <f t="shared" ca="1" si="34"/>
        <v>-3.6898250680008723E-2</v>
      </c>
    </row>
    <row r="1938" spans="6:7" x14ac:dyDescent="0.35">
      <c r="F1938">
        <v>1933</v>
      </c>
      <c r="G1938" s="102">
        <f t="shared" ca="1" si="34"/>
        <v>-3.8574021176958392E-2</v>
      </c>
    </row>
    <row r="1939" spans="6:7" x14ac:dyDescent="0.35">
      <c r="F1939">
        <v>1934</v>
      </c>
      <c r="G1939" s="102">
        <f t="shared" ca="1" si="34"/>
        <v>0.11565082366789103</v>
      </c>
    </row>
    <row r="1940" spans="6:7" x14ac:dyDescent="0.35">
      <c r="F1940">
        <v>1935</v>
      </c>
      <c r="G1940" s="102">
        <f t="shared" ca="1" si="34"/>
        <v>8.2763174357215849E-2</v>
      </c>
    </row>
    <row r="1941" spans="6:7" x14ac:dyDescent="0.35">
      <c r="F1941">
        <v>1936</v>
      </c>
      <c r="G1941" s="102">
        <f t="shared" ca="1" si="34"/>
        <v>-5.0117258265102674E-2</v>
      </c>
    </row>
    <row r="1942" spans="6:7" x14ac:dyDescent="0.35">
      <c r="F1942">
        <v>1937</v>
      </c>
      <c r="G1942" s="102">
        <f t="shared" ca="1" si="34"/>
        <v>7.5660718322120204E-3</v>
      </c>
    </row>
    <row r="1943" spans="6:7" x14ac:dyDescent="0.35">
      <c r="F1943">
        <v>1938</v>
      </c>
      <c r="G1943" s="102">
        <f t="shared" ca="1" si="34"/>
        <v>1.7276548540186995E-2</v>
      </c>
    </row>
    <row r="1944" spans="6:7" x14ac:dyDescent="0.35">
      <c r="F1944">
        <v>1939</v>
      </c>
      <c r="G1944" s="102">
        <f t="shared" ca="1" si="34"/>
        <v>9.3895309687434439E-2</v>
      </c>
    </row>
    <row r="1945" spans="6:7" x14ac:dyDescent="0.35">
      <c r="F1945">
        <v>1940</v>
      </c>
      <c r="G1945" s="102">
        <f t="shared" ca="1" si="34"/>
        <v>4.9274836401199396E-3</v>
      </c>
    </row>
    <row r="1946" spans="6:7" x14ac:dyDescent="0.35">
      <c r="F1946">
        <v>1941</v>
      </c>
      <c r="G1946" s="102">
        <f t="shared" ca="1" si="34"/>
        <v>2.8267256513760042E-2</v>
      </c>
    </row>
    <row r="1947" spans="6:7" x14ac:dyDescent="0.35">
      <c r="F1947">
        <v>1942</v>
      </c>
      <c r="G1947" s="102">
        <f t="shared" ca="1" si="34"/>
        <v>-9.6809714317446463E-2</v>
      </c>
    </row>
    <row r="1948" spans="6:7" x14ac:dyDescent="0.35">
      <c r="F1948">
        <v>1943</v>
      </c>
      <c r="G1948" s="102">
        <f t="shared" ca="1" si="34"/>
        <v>3.8392559964372436E-2</v>
      </c>
    </row>
    <row r="1949" spans="6:7" x14ac:dyDescent="0.35">
      <c r="F1949">
        <v>1944</v>
      </c>
      <c r="G1949" s="102">
        <f t="shared" ca="1" si="34"/>
        <v>4.1080814084416523E-2</v>
      </c>
    </row>
    <row r="1950" spans="6:7" x14ac:dyDescent="0.35">
      <c r="F1950">
        <v>1945</v>
      </c>
      <c r="G1950" s="102">
        <f t="shared" ca="1" si="34"/>
        <v>-3.9703464196317775E-2</v>
      </c>
    </row>
    <row r="1951" spans="6:7" x14ac:dyDescent="0.35">
      <c r="F1951">
        <v>1946</v>
      </c>
      <c r="G1951" s="102">
        <f t="shared" ca="1" si="34"/>
        <v>6.058496050562967E-2</v>
      </c>
    </row>
    <row r="1952" spans="6:7" x14ac:dyDescent="0.35">
      <c r="F1952">
        <v>1947</v>
      </c>
      <c r="G1952" s="102">
        <f t="shared" ca="1" si="34"/>
        <v>-4.847233267083491E-3</v>
      </c>
    </row>
    <row r="1953" spans="6:7" x14ac:dyDescent="0.35">
      <c r="F1953">
        <v>1948</v>
      </c>
      <c r="G1953" s="102">
        <f t="shared" ca="1" si="34"/>
        <v>-2.2926604852540031E-2</v>
      </c>
    </row>
    <row r="1954" spans="6:7" x14ac:dyDescent="0.35">
      <c r="F1954">
        <v>1949</v>
      </c>
      <c r="G1954" s="102">
        <f t="shared" ca="1" si="34"/>
        <v>2.9844782288828281E-3</v>
      </c>
    </row>
    <row r="1955" spans="6:7" x14ac:dyDescent="0.35">
      <c r="F1955">
        <v>1950</v>
      </c>
      <c r="G1955" s="102">
        <f t="shared" ca="1" si="34"/>
        <v>-9.9813369840421787E-2</v>
      </c>
    </row>
    <row r="1956" spans="6:7" x14ac:dyDescent="0.35">
      <c r="F1956">
        <v>1951</v>
      </c>
      <c r="G1956" s="102">
        <f t="shared" ca="1" si="34"/>
        <v>-9.5003302132426453E-3</v>
      </c>
    </row>
    <row r="1957" spans="6:7" x14ac:dyDescent="0.35">
      <c r="F1957">
        <v>1952</v>
      </c>
      <c r="G1957" s="102">
        <f t="shared" ca="1" si="34"/>
        <v>-8.0058944890355921E-2</v>
      </c>
    </row>
    <row r="1958" spans="6:7" x14ac:dyDescent="0.35">
      <c r="F1958">
        <v>1953</v>
      </c>
      <c r="G1958" s="102">
        <f t="shared" ca="1" si="34"/>
        <v>-3.1804483816501605E-3</v>
      </c>
    </row>
    <row r="1959" spans="6:7" x14ac:dyDescent="0.35">
      <c r="F1959">
        <v>1954</v>
      </c>
      <c r="G1959" s="102">
        <f t="shared" ca="1" si="34"/>
        <v>-9.8181883478937026E-2</v>
      </c>
    </row>
    <row r="1960" spans="6:7" x14ac:dyDescent="0.35">
      <c r="F1960">
        <v>1955</v>
      </c>
      <c r="G1960" s="102">
        <f t="shared" ca="1" si="34"/>
        <v>6.0842177102884157E-2</v>
      </c>
    </row>
    <row r="1961" spans="6:7" x14ac:dyDescent="0.35">
      <c r="F1961">
        <v>1956</v>
      </c>
      <c r="G1961" s="102">
        <f t="shared" ca="1" si="34"/>
        <v>-6.4279216561480723E-2</v>
      </c>
    </row>
    <row r="1962" spans="6:7" x14ac:dyDescent="0.35">
      <c r="F1962">
        <v>1957</v>
      </c>
      <c r="G1962" s="102">
        <f t="shared" ca="1" si="34"/>
        <v>5.9679129488842741E-2</v>
      </c>
    </row>
    <row r="1963" spans="6:7" x14ac:dyDescent="0.35">
      <c r="F1963">
        <v>1958</v>
      </c>
      <c r="G1963" s="102">
        <f t="shared" ca="1" si="34"/>
        <v>-1.7917212854066028E-2</v>
      </c>
    </row>
    <row r="1964" spans="6:7" x14ac:dyDescent="0.35">
      <c r="F1964">
        <v>1959</v>
      </c>
      <c r="G1964" s="102">
        <f t="shared" ca="1" si="34"/>
        <v>4.2641114861488319E-2</v>
      </c>
    </row>
    <row r="1965" spans="6:7" x14ac:dyDescent="0.35">
      <c r="F1965">
        <v>1960</v>
      </c>
      <c r="G1965" s="102">
        <f t="shared" ca="1" si="34"/>
        <v>2.6634662659974304E-2</v>
      </c>
    </row>
    <row r="1966" spans="6:7" x14ac:dyDescent="0.35">
      <c r="F1966">
        <v>1961</v>
      </c>
      <c r="G1966" s="102">
        <f t="shared" ca="1" si="34"/>
        <v>-5.7030633289297028E-2</v>
      </c>
    </row>
    <row r="1967" spans="6:7" x14ac:dyDescent="0.35">
      <c r="F1967">
        <v>1962</v>
      </c>
      <c r="G1967" s="102">
        <f t="shared" ca="1" si="34"/>
        <v>9.9485142993692627E-2</v>
      </c>
    </row>
    <row r="1968" spans="6:7" x14ac:dyDescent="0.35">
      <c r="F1968">
        <v>1963</v>
      </c>
      <c r="G1968" s="102">
        <f t="shared" ca="1" si="34"/>
        <v>-4.928444898740704E-2</v>
      </c>
    </row>
    <row r="1969" spans="6:7" x14ac:dyDescent="0.35">
      <c r="F1969">
        <v>1964</v>
      </c>
      <c r="G1969" s="102">
        <f t="shared" ca="1" si="34"/>
        <v>-2.0306406321988938E-2</v>
      </c>
    </row>
    <row r="1970" spans="6:7" x14ac:dyDescent="0.35">
      <c r="F1970">
        <v>1965</v>
      </c>
      <c r="G1970" s="102">
        <f t="shared" ca="1" si="34"/>
        <v>7.5285717214059987E-3</v>
      </c>
    </row>
    <row r="1971" spans="6:7" x14ac:dyDescent="0.35">
      <c r="F1971">
        <v>1966</v>
      </c>
      <c r="G1971" s="102">
        <f t="shared" ca="1" si="34"/>
        <v>7.4617556693850007E-2</v>
      </c>
    </row>
    <row r="1972" spans="6:7" x14ac:dyDescent="0.35">
      <c r="F1972">
        <v>1967</v>
      </c>
      <c r="G1972" s="102">
        <f t="shared" ca="1" si="34"/>
        <v>-3.1795715962902774E-2</v>
      </c>
    </row>
    <row r="1973" spans="6:7" x14ac:dyDescent="0.35">
      <c r="F1973">
        <v>1968</v>
      </c>
      <c r="G1973" s="102">
        <f t="shared" ca="1" si="34"/>
        <v>8.6605164381210898E-3</v>
      </c>
    </row>
    <row r="1974" spans="6:7" x14ac:dyDescent="0.35">
      <c r="F1974">
        <v>1969</v>
      </c>
      <c r="G1974" s="102">
        <f t="shared" ca="1" si="34"/>
        <v>-4.2947436511808226E-2</v>
      </c>
    </row>
    <row r="1975" spans="6:7" x14ac:dyDescent="0.35">
      <c r="F1975">
        <v>1970</v>
      </c>
      <c r="G1975" s="102">
        <f t="shared" ca="1" si="34"/>
        <v>-3.2376029814949192E-2</v>
      </c>
    </row>
    <row r="1976" spans="6:7" x14ac:dyDescent="0.35">
      <c r="F1976">
        <v>1971</v>
      </c>
      <c r="G1976" s="102">
        <f t="shared" ca="1" si="34"/>
        <v>3.924031298045234E-3</v>
      </c>
    </row>
    <row r="1977" spans="6:7" x14ac:dyDescent="0.35">
      <c r="F1977">
        <v>1972</v>
      </c>
      <c r="G1977" s="102">
        <f t="shared" ca="1" si="34"/>
        <v>-1.0206074723006839E-2</v>
      </c>
    </row>
    <row r="1978" spans="6:7" x14ac:dyDescent="0.35">
      <c r="F1978">
        <v>1973</v>
      </c>
      <c r="G1978" s="102">
        <f t="shared" ca="1" si="34"/>
        <v>4.6561330506282653E-3</v>
      </c>
    </row>
    <row r="1979" spans="6:7" x14ac:dyDescent="0.35">
      <c r="F1979">
        <v>1974</v>
      </c>
      <c r="G1979" s="102">
        <f t="shared" ca="1" si="34"/>
        <v>7.4581894263988299E-2</v>
      </c>
    </row>
    <row r="1980" spans="6:7" x14ac:dyDescent="0.35">
      <c r="F1980">
        <v>1975</v>
      </c>
      <c r="G1980" s="102">
        <f t="shared" ca="1" si="34"/>
        <v>3.1852942808567861E-2</v>
      </c>
    </row>
    <row r="1981" spans="6:7" x14ac:dyDescent="0.35">
      <c r="F1981">
        <v>1976</v>
      </c>
      <c r="G1981" s="102">
        <f t="shared" ca="1" si="34"/>
        <v>9.2557045871278512E-2</v>
      </c>
    </row>
    <row r="1982" spans="6:7" x14ac:dyDescent="0.35">
      <c r="F1982">
        <v>1977</v>
      </c>
      <c r="G1982" s="102">
        <f t="shared" ca="1" si="34"/>
        <v>5.0193010521644946E-2</v>
      </c>
    </row>
    <row r="1983" spans="6:7" x14ac:dyDescent="0.35">
      <c r="F1983">
        <v>1978</v>
      </c>
      <c r="G1983" s="102">
        <f t="shared" ca="1" si="34"/>
        <v>-7.328733336588443E-2</v>
      </c>
    </row>
    <row r="1984" spans="6:7" x14ac:dyDescent="0.35">
      <c r="F1984">
        <v>1979</v>
      </c>
      <c r="G1984" s="102">
        <f t="shared" ca="1" si="34"/>
        <v>-6.7346941915213551E-2</v>
      </c>
    </row>
    <row r="1985" spans="6:7" x14ac:dyDescent="0.35">
      <c r="F1985">
        <v>1980</v>
      </c>
      <c r="G1985" s="102">
        <f t="shared" ca="1" si="34"/>
        <v>-5.5604623179364404E-2</v>
      </c>
    </row>
    <row r="1986" spans="6:7" x14ac:dyDescent="0.35">
      <c r="F1986">
        <v>1981</v>
      </c>
      <c r="G1986" s="102">
        <f t="shared" ca="1" si="34"/>
        <v>-9.174086779499048E-2</v>
      </c>
    </row>
    <row r="1987" spans="6:7" x14ac:dyDescent="0.35">
      <c r="F1987">
        <v>1982</v>
      </c>
      <c r="G1987" s="102">
        <f t="shared" ca="1" si="34"/>
        <v>-8.2800947780358208E-2</v>
      </c>
    </row>
    <row r="1988" spans="6:7" x14ac:dyDescent="0.35">
      <c r="F1988">
        <v>1983</v>
      </c>
      <c r="G1988" s="102">
        <f t="shared" ca="1" si="34"/>
        <v>8.9825359318265921E-2</v>
      </c>
    </row>
    <row r="1989" spans="6:7" x14ac:dyDescent="0.35">
      <c r="F1989">
        <v>1984</v>
      </c>
      <c r="G1989" s="102">
        <f t="shared" ca="1" si="34"/>
        <v>-1.2483517437565849E-2</v>
      </c>
    </row>
    <row r="1990" spans="6:7" x14ac:dyDescent="0.35">
      <c r="F1990">
        <v>1985</v>
      </c>
      <c r="G1990" s="102">
        <f t="shared" ca="1" si="34"/>
        <v>4.3823954394466069E-2</v>
      </c>
    </row>
    <row r="1991" spans="6:7" x14ac:dyDescent="0.35">
      <c r="F1991">
        <v>1986</v>
      </c>
      <c r="G1991" s="102">
        <f t="shared" ref="G1991:G2054" ca="1" si="35">_xlfn.NORM.INV(RAND(),M$9,M$10)</f>
        <v>7.288759056374175E-2</v>
      </c>
    </row>
    <row r="1992" spans="6:7" x14ac:dyDescent="0.35">
      <c r="F1992">
        <v>1987</v>
      </c>
      <c r="G1992" s="102">
        <f t="shared" ca="1" si="35"/>
        <v>8.3239382302952331E-2</v>
      </c>
    </row>
    <row r="1993" spans="6:7" x14ac:dyDescent="0.35">
      <c r="F1993">
        <v>1988</v>
      </c>
      <c r="G1993" s="102">
        <f t="shared" ca="1" si="35"/>
        <v>-7.9925568468818074E-3</v>
      </c>
    </row>
    <row r="1994" spans="6:7" x14ac:dyDescent="0.35">
      <c r="F1994">
        <v>1989</v>
      </c>
      <c r="G1994" s="102">
        <f t="shared" ca="1" si="35"/>
        <v>8.6212988823020281E-2</v>
      </c>
    </row>
    <row r="1995" spans="6:7" x14ac:dyDescent="0.35">
      <c r="F1995">
        <v>1990</v>
      </c>
      <c r="G1995" s="102">
        <f t="shared" ca="1" si="35"/>
        <v>-7.0643809044469624E-2</v>
      </c>
    </row>
    <row r="1996" spans="6:7" x14ac:dyDescent="0.35">
      <c r="F1996">
        <v>1991</v>
      </c>
      <c r="G1996" s="102">
        <f t="shared" ca="1" si="35"/>
        <v>7.5416119903537943E-2</v>
      </c>
    </row>
    <row r="1997" spans="6:7" x14ac:dyDescent="0.35">
      <c r="F1997">
        <v>1992</v>
      </c>
      <c r="G1997" s="102">
        <f t="shared" ca="1" si="35"/>
        <v>1.4470089317470024E-2</v>
      </c>
    </row>
    <row r="1998" spans="6:7" x14ac:dyDescent="0.35">
      <c r="F1998">
        <v>1993</v>
      </c>
      <c r="G1998" s="102">
        <f t="shared" ca="1" si="35"/>
        <v>-3.93356223390324E-2</v>
      </c>
    </row>
    <row r="1999" spans="6:7" x14ac:dyDescent="0.35">
      <c r="F1999">
        <v>1994</v>
      </c>
      <c r="G1999" s="102">
        <f t="shared" ca="1" si="35"/>
        <v>6.8608910835439491E-2</v>
      </c>
    </row>
    <row r="2000" spans="6:7" x14ac:dyDescent="0.35">
      <c r="F2000">
        <v>1995</v>
      </c>
      <c r="G2000" s="102">
        <f t="shared" ca="1" si="35"/>
        <v>1.073029029129648E-2</v>
      </c>
    </row>
    <row r="2001" spans="6:7" x14ac:dyDescent="0.35">
      <c r="F2001">
        <v>1996</v>
      </c>
      <c r="G2001" s="102">
        <f t="shared" ca="1" si="35"/>
        <v>-4.09430508531054E-2</v>
      </c>
    </row>
    <row r="2002" spans="6:7" x14ac:dyDescent="0.35">
      <c r="F2002">
        <v>1997</v>
      </c>
      <c r="G2002" s="102">
        <f t="shared" ca="1" si="35"/>
        <v>2.1995638316365789E-2</v>
      </c>
    </row>
    <row r="2003" spans="6:7" x14ac:dyDescent="0.35">
      <c r="F2003">
        <v>1998</v>
      </c>
      <c r="G2003" s="102">
        <f t="shared" ca="1" si="35"/>
        <v>6.9093703607409657E-2</v>
      </c>
    </row>
    <row r="2004" spans="6:7" x14ac:dyDescent="0.35">
      <c r="F2004">
        <v>1999</v>
      </c>
      <c r="G2004" s="102">
        <f t="shared" ca="1" si="35"/>
        <v>3.5614322351438313E-2</v>
      </c>
    </row>
    <row r="2005" spans="6:7" x14ac:dyDescent="0.35">
      <c r="F2005">
        <v>2000</v>
      </c>
      <c r="G2005" s="102">
        <f t="shared" ca="1" si="35"/>
        <v>-5.5990590860372474E-2</v>
      </c>
    </row>
    <row r="2006" spans="6:7" x14ac:dyDescent="0.35">
      <c r="F2006">
        <v>2001</v>
      </c>
      <c r="G2006" s="102">
        <f t="shared" ca="1" si="35"/>
        <v>4.8586698382709473E-2</v>
      </c>
    </row>
    <row r="2007" spans="6:7" x14ac:dyDescent="0.35">
      <c r="F2007">
        <v>2002</v>
      </c>
      <c r="G2007" s="102">
        <f t="shared" ca="1" si="35"/>
        <v>1.4062266946280454E-2</v>
      </c>
    </row>
    <row r="2008" spans="6:7" x14ac:dyDescent="0.35">
      <c r="F2008">
        <v>2003</v>
      </c>
      <c r="G2008" s="102">
        <f t="shared" ca="1" si="35"/>
        <v>-7.0474820885384246E-2</v>
      </c>
    </row>
    <row r="2009" spans="6:7" x14ac:dyDescent="0.35">
      <c r="F2009">
        <v>2004</v>
      </c>
      <c r="G2009" s="102">
        <f t="shared" ca="1" si="35"/>
        <v>9.6600827732045251E-3</v>
      </c>
    </row>
    <row r="2010" spans="6:7" x14ac:dyDescent="0.35">
      <c r="F2010">
        <v>2005</v>
      </c>
      <c r="G2010" s="102">
        <f t="shared" ca="1" si="35"/>
        <v>-1.1613976329321792E-2</v>
      </c>
    </row>
    <row r="2011" spans="6:7" x14ac:dyDescent="0.35">
      <c r="F2011">
        <v>2006</v>
      </c>
      <c r="G2011" s="102">
        <f t="shared" ca="1" si="35"/>
        <v>-8.7920925598032051E-3</v>
      </c>
    </row>
    <row r="2012" spans="6:7" x14ac:dyDescent="0.35">
      <c r="F2012">
        <v>2007</v>
      </c>
      <c r="G2012" s="102">
        <f t="shared" ca="1" si="35"/>
        <v>-4.0424835288395009E-2</v>
      </c>
    </row>
    <row r="2013" spans="6:7" x14ac:dyDescent="0.35">
      <c r="F2013">
        <v>2008</v>
      </c>
      <c r="G2013" s="102">
        <f t="shared" ca="1" si="35"/>
        <v>-8.898710570882265E-2</v>
      </c>
    </row>
    <row r="2014" spans="6:7" x14ac:dyDescent="0.35">
      <c r="F2014">
        <v>2009</v>
      </c>
      <c r="G2014" s="102">
        <f t="shared" ca="1" si="35"/>
        <v>-0.11204816373978171</v>
      </c>
    </row>
    <row r="2015" spans="6:7" x14ac:dyDescent="0.35">
      <c r="F2015">
        <v>2010</v>
      </c>
      <c r="G2015" s="102">
        <f t="shared" ca="1" si="35"/>
        <v>-4.9078757027084642E-3</v>
      </c>
    </row>
    <row r="2016" spans="6:7" x14ac:dyDescent="0.35">
      <c r="F2016">
        <v>2011</v>
      </c>
      <c r="G2016" s="102">
        <f t="shared" ca="1" si="35"/>
        <v>6.1647797645132847E-3</v>
      </c>
    </row>
    <row r="2017" spans="6:7" x14ac:dyDescent="0.35">
      <c r="F2017">
        <v>2012</v>
      </c>
      <c r="G2017" s="102">
        <f t="shared" ca="1" si="35"/>
        <v>-0.10126065567363787</v>
      </c>
    </row>
    <row r="2018" spans="6:7" x14ac:dyDescent="0.35">
      <c r="F2018">
        <v>2013</v>
      </c>
      <c r="G2018" s="102">
        <f t="shared" ca="1" si="35"/>
        <v>4.3256357888189947E-2</v>
      </c>
    </row>
    <row r="2019" spans="6:7" x14ac:dyDescent="0.35">
      <c r="F2019">
        <v>2014</v>
      </c>
      <c r="G2019" s="102">
        <f t="shared" ca="1" si="35"/>
        <v>-6.7105630185126247E-3</v>
      </c>
    </row>
    <row r="2020" spans="6:7" x14ac:dyDescent="0.35">
      <c r="F2020">
        <v>2015</v>
      </c>
      <c r="G2020" s="102">
        <f t="shared" ca="1" si="35"/>
        <v>-3.0743384370064474E-2</v>
      </c>
    </row>
    <row r="2021" spans="6:7" x14ac:dyDescent="0.35">
      <c r="F2021">
        <v>2016</v>
      </c>
      <c r="G2021" s="102">
        <f t="shared" ca="1" si="35"/>
        <v>-4.2484719865954271E-2</v>
      </c>
    </row>
    <row r="2022" spans="6:7" x14ac:dyDescent="0.35">
      <c r="F2022">
        <v>2017</v>
      </c>
      <c r="G2022" s="102">
        <f t="shared" ca="1" si="35"/>
        <v>1.0765738190396407E-2</v>
      </c>
    </row>
    <row r="2023" spans="6:7" x14ac:dyDescent="0.35">
      <c r="F2023">
        <v>2018</v>
      </c>
      <c r="G2023" s="102">
        <f t="shared" ca="1" si="35"/>
        <v>-2.6874261960429836E-2</v>
      </c>
    </row>
    <row r="2024" spans="6:7" x14ac:dyDescent="0.35">
      <c r="F2024">
        <v>2019</v>
      </c>
      <c r="G2024" s="102">
        <f t="shared" ca="1" si="35"/>
        <v>1.7275606644847511E-2</v>
      </c>
    </row>
    <row r="2025" spans="6:7" x14ac:dyDescent="0.35">
      <c r="F2025">
        <v>2020</v>
      </c>
      <c r="G2025" s="102">
        <f t="shared" ca="1" si="35"/>
        <v>-4.6841520126001714E-4</v>
      </c>
    </row>
    <row r="2026" spans="6:7" x14ac:dyDescent="0.35">
      <c r="F2026">
        <v>2021</v>
      </c>
      <c r="G2026" s="102">
        <f t="shared" ca="1" si="35"/>
        <v>8.7235649794426051E-2</v>
      </c>
    </row>
    <row r="2027" spans="6:7" x14ac:dyDescent="0.35">
      <c r="F2027">
        <v>2022</v>
      </c>
      <c r="G2027" s="102">
        <f t="shared" ca="1" si="35"/>
        <v>8.9464889775571627E-2</v>
      </c>
    </row>
    <row r="2028" spans="6:7" x14ac:dyDescent="0.35">
      <c r="F2028">
        <v>2023</v>
      </c>
      <c r="G2028" s="102">
        <f t="shared" ca="1" si="35"/>
        <v>-5.0827457642316942E-2</v>
      </c>
    </row>
    <row r="2029" spans="6:7" x14ac:dyDescent="0.35">
      <c r="F2029">
        <v>2024</v>
      </c>
      <c r="G2029" s="102">
        <f t="shared" ca="1" si="35"/>
        <v>-5.3731084678697947E-3</v>
      </c>
    </row>
    <row r="2030" spans="6:7" x14ac:dyDescent="0.35">
      <c r="F2030">
        <v>2025</v>
      </c>
      <c r="G2030" s="102">
        <f t="shared" ca="1" si="35"/>
        <v>-4.4273063196148932E-2</v>
      </c>
    </row>
    <row r="2031" spans="6:7" x14ac:dyDescent="0.35">
      <c r="F2031">
        <v>2026</v>
      </c>
      <c r="G2031" s="102">
        <f t="shared" ca="1" si="35"/>
        <v>2.0337178161411926E-2</v>
      </c>
    </row>
    <row r="2032" spans="6:7" x14ac:dyDescent="0.35">
      <c r="F2032">
        <v>2027</v>
      </c>
      <c r="G2032" s="102">
        <f t="shared" ca="1" si="35"/>
        <v>3.3935255883134743E-2</v>
      </c>
    </row>
    <row r="2033" spans="6:7" x14ac:dyDescent="0.35">
      <c r="F2033">
        <v>2028</v>
      </c>
      <c r="G2033" s="102">
        <f t="shared" ca="1" si="35"/>
        <v>-6.5905376684682578E-3</v>
      </c>
    </row>
    <row r="2034" spans="6:7" x14ac:dyDescent="0.35">
      <c r="F2034">
        <v>2029</v>
      </c>
      <c r="G2034" s="102">
        <f t="shared" ca="1" si="35"/>
        <v>-6.5977521205323689E-3</v>
      </c>
    </row>
    <row r="2035" spans="6:7" x14ac:dyDescent="0.35">
      <c r="F2035">
        <v>2030</v>
      </c>
      <c r="G2035" s="102">
        <f t="shared" ca="1" si="35"/>
        <v>2.806139317891514E-2</v>
      </c>
    </row>
    <row r="2036" spans="6:7" x14ac:dyDescent="0.35">
      <c r="F2036">
        <v>2031</v>
      </c>
      <c r="G2036" s="102">
        <f t="shared" ca="1" si="35"/>
        <v>-6.9002018134715062E-3</v>
      </c>
    </row>
    <row r="2037" spans="6:7" x14ac:dyDescent="0.35">
      <c r="F2037">
        <v>2032</v>
      </c>
      <c r="G2037" s="102">
        <f t="shared" ca="1" si="35"/>
        <v>-3.1456906430928536E-2</v>
      </c>
    </row>
    <row r="2038" spans="6:7" x14ac:dyDescent="0.35">
      <c r="F2038">
        <v>2033</v>
      </c>
      <c r="G2038" s="102">
        <f t="shared" ca="1" si="35"/>
        <v>6.9384704786638732E-2</v>
      </c>
    </row>
    <row r="2039" spans="6:7" x14ac:dyDescent="0.35">
      <c r="F2039">
        <v>2034</v>
      </c>
      <c r="G2039" s="102">
        <f t="shared" ca="1" si="35"/>
        <v>3.8197346376768471E-4</v>
      </c>
    </row>
    <row r="2040" spans="6:7" x14ac:dyDescent="0.35">
      <c r="F2040">
        <v>2035</v>
      </c>
      <c r="G2040" s="102">
        <f t="shared" ca="1" si="35"/>
        <v>5.3883317961774493E-2</v>
      </c>
    </row>
    <row r="2041" spans="6:7" x14ac:dyDescent="0.35">
      <c r="F2041">
        <v>2036</v>
      </c>
      <c r="G2041" s="102">
        <f t="shared" ca="1" si="35"/>
        <v>-0.12661972476317029</v>
      </c>
    </row>
    <row r="2042" spans="6:7" x14ac:dyDescent="0.35">
      <c r="F2042">
        <v>2037</v>
      </c>
      <c r="G2042" s="102">
        <f t="shared" ca="1" si="35"/>
        <v>-5.7653990227280072E-2</v>
      </c>
    </row>
    <row r="2043" spans="6:7" x14ac:dyDescent="0.35">
      <c r="F2043">
        <v>2038</v>
      </c>
      <c r="G2043" s="102">
        <f t="shared" ca="1" si="35"/>
        <v>6.8350804630037381E-3</v>
      </c>
    </row>
    <row r="2044" spans="6:7" x14ac:dyDescent="0.35">
      <c r="F2044">
        <v>2039</v>
      </c>
      <c r="G2044" s="102">
        <f t="shared" ca="1" si="35"/>
        <v>1.5948685522238878E-2</v>
      </c>
    </row>
    <row r="2045" spans="6:7" x14ac:dyDescent="0.35">
      <c r="F2045">
        <v>2040</v>
      </c>
      <c r="G2045" s="102">
        <f t="shared" ca="1" si="35"/>
        <v>-1.878241674245194E-2</v>
      </c>
    </row>
    <row r="2046" spans="6:7" x14ac:dyDescent="0.35">
      <c r="F2046">
        <v>2041</v>
      </c>
      <c r="G2046" s="102">
        <f t="shared" ca="1" si="35"/>
        <v>9.5039498137950387E-2</v>
      </c>
    </row>
    <row r="2047" spans="6:7" x14ac:dyDescent="0.35">
      <c r="F2047">
        <v>2042</v>
      </c>
      <c r="G2047" s="102">
        <f t="shared" ca="1" si="35"/>
        <v>7.0563720147131401E-2</v>
      </c>
    </row>
    <row r="2048" spans="6:7" x14ac:dyDescent="0.35">
      <c r="F2048">
        <v>2043</v>
      </c>
      <c r="G2048" s="102">
        <f t="shared" ca="1" si="35"/>
        <v>2.8707343225037377E-2</v>
      </c>
    </row>
    <row r="2049" spans="6:7" x14ac:dyDescent="0.35">
      <c r="F2049">
        <v>2044</v>
      </c>
      <c r="G2049" s="102">
        <f t="shared" ca="1" si="35"/>
        <v>-3.4405274506778619E-3</v>
      </c>
    </row>
    <row r="2050" spans="6:7" x14ac:dyDescent="0.35">
      <c r="F2050">
        <v>2045</v>
      </c>
      <c r="G2050" s="102">
        <f t="shared" ca="1" si="35"/>
        <v>8.6985385456476189E-2</v>
      </c>
    </row>
    <row r="2051" spans="6:7" x14ac:dyDescent="0.35">
      <c r="F2051">
        <v>2046</v>
      </c>
      <c r="G2051" s="102">
        <f t="shared" ca="1" si="35"/>
        <v>-4.5002368634922046E-2</v>
      </c>
    </row>
    <row r="2052" spans="6:7" x14ac:dyDescent="0.35">
      <c r="F2052">
        <v>2047</v>
      </c>
      <c r="G2052" s="102">
        <f t="shared" ca="1" si="35"/>
        <v>3.771480993459625E-2</v>
      </c>
    </row>
    <row r="2053" spans="6:7" x14ac:dyDescent="0.35">
      <c r="F2053">
        <v>2048</v>
      </c>
      <c r="G2053" s="102">
        <f t="shared" ca="1" si="35"/>
        <v>1.3449034770033761E-2</v>
      </c>
    </row>
    <row r="2054" spans="6:7" x14ac:dyDescent="0.35">
      <c r="F2054">
        <v>2049</v>
      </c>
      <c r="G2054" s="102">
        <f t="shared" ca="1" si="35"/>
        <v>7.9120191174155002E-2</v>
      </c>
    </row>
    <row r="2055" spans="6:7" x14ac:dyDescent="0.35">
      <c r="F2055">
        <v>2050</v>
      </c>
      <c r="G2055" s="102">
        <f t="shared" ref="G2055:G2118" ca="1" si="36">_xlfn.NORM.INV(RAND(),M$9,M$10)</f>
        <v>-5.5828686473987005E-2</v>
      </c>
    </row>
    <row r="2056" spans="6:7" x14ac:dyDescent="0.35">
      <c r="F2056">
        <v>2051</v>
      </c>
      <c r="G2056" s="102">
        <f t="shared" ca="1" si="36"/>
        <v>0.14089223860886776</v>
      </c>
    </row>
    <row r="2057" spans="6:7" x14ac:dyDescent="0.35">
      <c r="F2057">
        <v>2052</v>
      </c>
      <c r="G2057" s="102">
        <f t="shared" ca="1" si="36"/>
        <v>5.3513220509438603E-2</v>
      </c>
    </row>
    <row r="2058" spans="6:7" x14ac:dyDescent="0.35">
      <c r="F2058">
        <v>2053</v>
      </c>
      <c r="G2058" s="102">
        <f t="shared" ca="1" si="36"/>
        <v>-8.5342424088053107E-2</v>
      </c>
    </row>
    <row r="2059" spans="6:7" x14ac:dyDescent="0.35">
      <c r="F2059">
        <v>2054</v>
      </c>
      <c r="G2059" s="102">
        <f t="shared" ca="1" si="36"/>
        <v>-6.0396047723105615E-3</v>
      </c>
    </row>
    <row r="2060" spans="6:7" x14ac:dyDescent="0.35">
      <c r="F2060">
        <v>2055</v>
      </c>
      <c r="G2060" s="102">
        <f t="shared" ca="1" si="36"/>
        <v>5.4721245826167192E-2</v>
      </c>
    </row>
    <row r="2061" spans="6:7" x14ac:dyDescent="0.35">
      <c r="F2061">
        <v>2056</v>
      </c>
      <c r="G2061" s="102">
        <f t="shared" ca="1" si="36"/>
        <v>-6.6516121135713965E-2</v>
      </c>
    </row>
    <row r="2062" spans="6:7" x14ac:dyDescent="0.35">
      <c r="F2062">
        <v>2057</v>
      </c>
      <c r="G2062" s="102">
        <f t="shared" ca="1" si="36"/>
        <v>-1.0359376959844822E-2</v>
      </c>
    </row>
    <row r="2063" spans="6:7" x14ac:dyDescent="0.35">
      <c r="F2063">
        <v>2058</v>
      </c>
      <c r="G2063" s="102">
        <f t="shared" ca="1" si="36"/>
        <v>6.052454104584137E-3</v>
      </c>
    </row>
    <row r="2064" spans="6:7" x14ac:dyDescent="0.35">
      <c r="F2064">
        <v>2059</v>
      </c>
      <c r="G2064" s="102">
        <f t="shared" ca="1" si="36"/>
        <v>-5.2825696066962878E-3</v>
      </c>
    </row>
    <row r="2065" spans="6:7" x14ac:dyDescent="0.35">
      <c r="F2065">
        <v>2060</v>
      </c>
      <c r="G2065" s="102">
        <f t="shared" ca="1" si="36"/>
        <v>-6.1544867049167576E-2</v>
      </c>
    </row>
    <row r="2066" spans="6:7" x14ac:dyDescent="0.35">
      <c r="F2066">
        <v>2061</v>
      </c>
      <c r="G2066" s="102">
        <f t="shared" ca="1" si="36"/>
        <v>3.6519514405240358E-2</v>
      </c>
    </row>
    <row r="2067" spans="6:7" x14ac:dyDescent="0.35">
      <c r="F2067">
        <v>2062</v>
      </c>
      <c r="G2067" s="102">
        <f t="shared" ca="1" si="36"/>
        <v>9.5117813155945724E-2</v>
      </c>
    </row>
    <row r="2068" spans="6:7" x14ac:dyDescent="0.35">
      <c r="F2068">
        <v>2063</v>
      </c>
      <c r="G2068" s="102">
        <f t="shared" ca="1" si="36"/>
        <v>1.0947656484271616E-2</v>
      </c>
    </row>
    <row r="2069" spans="6:7" x14ac:dyDescent="0.35">
      <c r="F2069">
        <v>2064</v>
      </c>
      <c r="G2069" s="102">
        <f t="shared" ca="1" si="36"/>
        <v>4.3536320664912559E-2</v>
      </c>
    </row>
    <row r="2070" spans="6:7" x14ac:dyDescent="0.35">
      <c r="F2070">
        <v>2065</v>
      </c>
      <c r="G2070" s="102">
        <f t="shared" ca="1" si="36"/>
        <v>-3.4058294770625809E-2</v>
      </c>
    </row>
    <row r="2071" spans="6:7" x14ac:dyDescent="0.35">
      <c r="F2071">
        <v>2066</v>
      </c>
      <c r="G2071" s="102">
        <f t="shared" ca="1" si="36"/>
        <v>-0.10593501311487401</v>
      </c>
    </row>
    <row r="2072" spans="6:7" x14ac:dyDescent="0.35">
      <c r="F2072">
        <v>2067</v>
      </c>
      <c r="G2072" s="102">
        <f t="shared" ca="1" si="36"/>
        <v>5.6921936277295179E-2</v>
      </c>
    </row>
    <row r="2073" spans="6:7" x14ac:dyDescent="0.35">
      <c r="F2073">
        <v>2068</v>
      </c>
      <c r="G2073" s="102">
        <f t="shared" ca="1" si="36"/>
        <v>-0.10147411228729421</v>
      </c>
    </row>
    <row r="2074" spans="6:7" x14ac:dyDescent="0.35">
      <c r="F2074">
        <v>2069</v>
      </c>
      <c r="G2074" s="102">
        <f t="shared" ca="1" si="36"/>
        <v>0.11027802961646632</v>
      </c>
    </row>
    <row r="2075" spans="6:7" x14ac:dyDescent="0.35">
      <c r="F2075">
        <v>2070</v>
      </c>
      <c r="G2075" s="102">
        <f t="shared" ca="1" si="36"/>
        <v>5.4296575134849645E-2</v>
      </c>
    </row>
    <row r="2076" spans="6:7" x14ac:dyDescent="0.35">
      <c r="F2076">
        <v>2071</v>
      </c>
      <c r="G2076" s="102">
        <f t="shared" ca="1" si="36"/>
        <v>9.4532784687607046E-3</v>
      </c>
    </row>
    <row r="2077" spans="6:7" x14ac:dyDescent="0.35">
      <c r="F2077">
        <v>2072</v>
      </c>
      <c r="G2077" s="102">
        <f t="shared" ca="1" si="36"/>
        <v>8.8736394311410338E-2</v>
      </c>
    </row>
    <row r="2078" spans="6:7" x14ac:dyDescent="0.35">
      <c r="F2078">
        <v>2073</v>
      </c>
      <c r="G2078" s="102">
        <f t="shared" ca="1" si="36"/>
        <v>-5.9580535625812392E-2</v>
      </c>
    </row>
    <row r="2079" spans="6:7" x14ac:dyDescent="0.35">
      <c r="F2079">
        <v>2074</v>
      </c>
      <c r="G2079" s="102">
        <f t="shared" ca="1" si="36"/>
        <v>7.6499971910218789E-2</v>
      </c>
    </row>
    <row r="2080" spans="6:7" x14ac:dyDescent="0.35">
      <c r="F2080">
        <v>2075</v>
      </c>
      <c r="G2080" s="102">
        <f t="shared" ca="1" si="36"/>
        <v>5.8636728289488141E-2</v>
      </c>
    </row>
    <row r="2081" spans="6:7" x14ac:dyDescent="0.35">
      <c r="F2081">
        <v>2076</v>
      </c>
      <c r="G2081" s="102">
        <f t="shared" ca="1" si="36"/>
        <v>7.9745034238237103E-2</v>
      </c>
    </row>
    <row r="2082" spans="6:7" x14ac:dyDescent="0.35">
      <c r="F2082">
        <v>2077</v>
      </c>
      <c r="G2082" s="102">
        <f t="shared" ca="1" si="36"/>
        <v>-6.5350569686897522E-2</v>
      </c>
    </row>
    <row r="2083" spans="6:7" x14ac:dyDescent="0.35">
      <c r="F2083">
        <v>2078</v>
      </c>
      <c r="G2083" s="102">
        <f t="shared" ca="1" si="36"/>
        <v>-1.0733017638443886E-2</v>
      </c>
    </row>
    <row r="2084" spans="6:7" x14ac:dyDescent="0.35">
      <c r="F2084">
        <v>2079</v>
      </c>
      <c r="G2084" s="102">
        <f t="shared" ca="1" si="36"/>
        <v>1.0210653650006484E-2</v>
      </c>
    </row>
    <row r="2085" spans="6:7" x14ac:dyDescent="0.35">
      <c r="F2085">
        <v>2080</v>
      </c>
      <c r="G2085" s="102">
        <f t="shared" ca="1" si="36"/>
        <v>-8.8200360578748443E-2</v>
      </c>
    </row>
    <row r="2086" spans="6:7" x14ac:dyDescent="0.35">
      <c r="F2086">
        <v>2081</v>
      </c>
      <c r="G2086" s="102">
        <f t="shared" ca="1" si="36"/>
        <v>1.8080006316146268E-2</v>
      </c>
    </row>
    <row r="2087" spans="6:7" x14ac:dyDescent="0.35">
      <c r="F2087">
        <v>2082</v>
      </c>
      <c r="G2087" s="102">
        <f t="shared" ca="1" si="36"/>
        <v>1.1166704383831782E-2</v>
      </c>
    </row>
    <row r="2088" spans="6:7" x14ac:dyDescent="0.35">
      <c r="F2088">
        <v>2083</v>
      </c>
      <c r="G2088" s="102">
        <f t="shared" ca="1" si="36"/>
        <v>4.83215678190628E-2</v>
      </c>
    </row>
    <row r="2089" spans="6:7" x14ac:dyDescent="0.35">
      <c r="F2089">
        <v>2084</v>
      </c>
      <c r="G2089" s="102">
        <f t="shared" ca="1" si="36"/>
        <v>-8.1088187195742803E-2</v>
      </c>
    </row>
    <row r="2090" spans="6:7" x14ac:dyDescent="0.35">
      <c r="F2090">
        <v>2085</v>
      </c>
      <c r="G2090" s="102">
        <f t="shared" ca="1" si="36"/>
        <v>5.904039859845675E-2</v>
      </c>
    </row>
    <row r="2091" spans="6:7" x14ac:dyDescent="0.35">
      <c r="F2091">
        <v>2086</v>
      </c>
      <c r="G2091" s="102">
        <f t="shared" ca="1" si="36"/>
        <v>-6.1088649623889699E-2</v>
      </c>
    </row>
    <row r="2092" spans="6:7" x14ac:dyDescent="0.35">
      <c r="F2092">
        <v>2087</v>
      </c>
      <c r="G2092" s="102">
        <f t="shared" ca="1" si="36"/>
        <v>-3.1393959262083077E-2</v>
      </c>
    </row>
    <row r="2093" spans="6:7" x14ac:dyDescent="0.35">
      <c r="F2093">
        <v>2088</v>
      </c>
      <c r="G2093" s="102">
        <f t="shared" ca="1" si="36"/>
        <v>-7.9965192848024072E-2</v>
      </c>
    </row>
    <row r="2094" spans="6:7" x14ac:dyDescent="0.35">
      <c r="F2094">
        <v>2089</v>
      </c>
      <c r="G2094" s="102">
        <f t="shared" ca="1" si="36"/>
        <v>-5.5134484725000737E-2</v>
      </c>
    </row>
    <row r="2095" spans="6:7" x14ac:dyDescent="0.35">
      <c r="F2095">
        <v>2090</v>
      </c>
      <c r="G2095" s="102">
        <f t="shared" ca="1" si="36"/>
        <v>-1.6217040118303584E-2</v>
      </c>
    </row>
    <row r="2096" spans="6:7" x14ac:dyDescent="0.35">
      <c r="F2096">
        <v>2091</v>
      </c>
      <c r="G2096" s="102">
        <f t="shared" ca="1" si="36"/>
        <v>1.6617330414652607E-2</v>
      </c>
    </row>
    <row r="2097" spans="6:7" x14ac:dyDescent="0.35">
      <c r="F2097">
        <v>2092</v>
      </c>
      <c r="G2097" s="102">
        <f t="shared" ca="1" si="36"/>
        <v>2.3701578328590021E-2</v>
      </c>
    </row>
    <row r="2098" spans="6:7" x14ac:dyDescent="0.35">
      <c r="F2098">
        <v>2093</v>
      </c>
      <c r="G2098" s="102">
        <f t="shared" ca="1" si="36"/>
        <v>-3.3958995893410907E-2</v>
      </c>
    </row>
    <row r="2099" spans="6:7" x14ac:dyDescent="0.35">
      <c r="F2099">
        <v>2094</v>
      </c>
      <c r="G2099" s="102">
        <f t="shared" ca="1" si="36"/>
        <v>9.338180686832849E-2</v>
      </c>
    </row>
    <row r="2100" spans="6:7" x14ac:dyDescent="0.35">
      <c r="F2100">
        <v>2095</v>
      </c>
      <c r="G2100" s="102">
        <f t="shared" ca="1" si="36"/>
        <v>-9.793455468494365E-2</v>
      </c>
    </row>
    <row r="2101" spans="6:7" x14ac:dyDescent="0.35">
      <c r="F2101">
        <v>2096</v>
      </c>
      <c r="G2101" s="102">
        <f t="shared" ca="1" si="36"/>
        <v>1.2272022073928975E-2</v>
      </c>
    </row>
    <row r="2102" spans="6:7" x14ac:dyDescent="0.35">
      <c r="F2102">
        <v>2097</v>
      </c>
      <c r="G2102" s="102">
        <f t="shared" ca="1" si="36"/>
        <v>-9.8564534176419152E-3</v>
      </c>
    </row>
    <row r="2103" spans="6:7" x14ac:dyDescent="0.35">
      <c r="F2103">
        <v>2098</v>
      </c>
      <c r="G2103" s="102">
        <f t="shared" ca="1" si="36"/>
        <v>-4.9547636202046511E-2</v>
      </c>
    </row>
    <row r="2104" spans="6:7" x14ac:dyDescent="0.35">
      <c r="F2104">
        <v>2099</v>
      </c>
      <c r="G2104" s="102">
        <f t="shared" ca="1" si="36"/>
        <v>-4.0749156662578528E-2</v>
      </c>
    </row>
    <row r="2105" spans="6:7" x14ac:dyDescent="0.35">
      <c r="F2105">
        <v>2100</v>
      </c>
      <c r="G2105" s="102">
        <f t="shared" ca="1" si="36"/>
        <v>1.7016636649758804E-2</v>
      </c>
    </row>
    <row r="2106" spans="6:7" x14ac:dyDescent="0.35">
      <c r="F2106">
        <v>2101</v>
      </c>
      <c r="G2106" s="102">
        <f t="shared" ca="1" si="36"/>
        <v>-3.2741820330992925E-2</v>
      </c>
    </row>
    <row r="2107" spans="6:7" x14ac:dyDescent="0.35">
      <c r="F2107">
        <v>2102</v>
      </c>
      <c r="G2107" s="102">
        <f t="shared" ca="1" si="36"/>
        <v>-1.0553026086428649E-2</v>
      </c>
    </row>
    <row r="2108" spans="6:7" x14ac:dyDescent="0.35">
      <c r="F2108">
        <v>2103</v>
      </c>
      <c r="G2108" s="102">
        <f t="shared" ca="1" si="36"/>
        <v>-0.14881373922155611</v>
      </c>
    </row>
    <row r="2109" spans="6:7" x14ac:dyDescent="0.35">
      <c r="F2109">
        <v>2104</v>
      </c>
      <c r="G2109" s="102">
        <f t="shared" ca="1" si="36"/>
        <v>-3.6413408715967365E-3</v>
      </c>
    </row>
    <row r="2110" spans="6:7" x14ac:dyDescent="0.35">
      <c r="F2110">
        <v>2105</v>
      </c>
      <c r="G2110" s="102">
        <f t="shared" ca="1" si="36"/>
        <v>5.5393196809503512E-2</v>
      </c>
    </row>
    <row r="2111" spans="6:7" x14ac:dyDescent="0.35">
      <c r="F2111">
        <v>2106</v>
      </c>
      <c r="G2111" s="102">
        <f t="shared" ca="1" si="36"/>
        <v>-9.6040436692613751E-2</v>
      </c>
    </row>
    <row r="2112" spans="6:7" x14ac:dyDescent="0.35">
      <c r="F2112">
        <v>2107</v>
      </c>
      <c r="G2112" s="102">
        <f t="shared" ca="1" si="36"/>
        <v>-1.9754252380991121E-2</v>
      </c>
    </row>
    <row r="2113" spans="6:7" x14ac:dyDescent="0.35">
      <c r="F2113">
        <v>2108</v>
      </c>
      <c r="G2113" s="102">
        <f t="shared" ca="1" si="36"/>
        <v>-2.3401895416199189E-2</v>
      </c>
    </row>
    <row r="2114" spans="6:7" x14ac:dyDescent="0.35">
      <c r="F2114">
        <v>2109</v>
      </c>
      <c r="G2114" s="102">
        <f t="shared" ca="1" si="36"/>
        <v>1.1636962303161302E-2</v>
      </c>
    </row>
    <row r="2115" spans="6:7" x14ac:dyDescent="0.35">
      <c r="F2115">
        <v>2110</v>
      </c>
      <c r="G2115" s="102">
        <f t="shared" ca="1" si="36"/>
        <v>-1.6404044239756839E-2</v>
      </c>
    </row>
    <row r="2116" spans="6:7" x14ac:dyDescent="0.35">
      <c r="F2116">
        <v>2111</v>
      </c>
      <c r="G2116" s="102">
        <f t="shared" ca="1" si="36"/>
        <v>5.3482578655216828E-2</v>
      </c>
    </row>
    <row r="2117" spans="6:7" x14ac:dyDescent="0.35">
      <c r="F2117">
        <v>2112</v>
      </c>
      <c r="G2117" s="102">
        <f t="shared" ca="1" si="36"/>
        <v>-0.11793205258929201</v>
      </c>
    </row>
    <row r="2118" spans="6:7" x14ac:dyDescent="0.35">
      <c r="F2118">
        <v>2113</v>
      </c>
      <c r="G2118" s="102">
        <f t="shared" ca="1" si="36"/>
        <v>0.20016135660942638</v>
      </c>
    </row>
    <row r="2119" spans="6:7" x14ac:dyDescent="0.35">
      <c r="F2119">
        <v>2114</v>
      </c>
      <c r="G2119" s="102">
        <f t="shared" ref="G2119:G2182" ca="1" si="37">_xlfn.NORM.INV(RAND(),M$9,M$10)</f>
        <v>-2.8006307412164984E-2</v>
      </c>
    </row>
    <row r="2120" spans="6:7" x14ac:dyDescent="0.35">
      <c r="F2120">
        <v>2115</v>
      </c>
      <c r="G2120" s="102">
        <f t="shared" ca="1" si="37"/>
        <v>-9.2864224120236552E-2</v>
      </c>
    </row>
    <row r="2121" spans="6:7" x14ac:dyDescent="0.35">
      <c r="F2121">
        <v>2116</v>
      </c>
      <c r="G2121" s="102">
        <f t="shared" ca="1" si="37"/>
        <v>-9.541632081806295E-2</v>
      </c>
    </row>
    <row r="2122" spans="6:7" x14ac:dyDescent="0.35">
      <c r="F2122">
        <v>2117</v>
      </c>
      <c r="G2122" s="102">
        <f t="shared" ca="1" si="37"/>
        <v>3.8123481010822191E-3</v>
      </c>
    </row>
    <row r="2123" spans="6:7" x14ac:dyDescent="0.35">
      <c r="F2123">
        <v>2118</v>
      </c>
      <c r="G2123" s="102">
        <f t="shared" ca="1" si="37"/>
        <v>0.14237796927748561</v>
      </c>
    </row>
    <row r="2124" spans="6:7" x14ac:dyDescent="0.35">
      <c r="F2124">
        <v>2119</v>
      </c>
      <c r="G2124" s="102">
        <f t="shared" ca="1" si="37"/>
        <v>-6.7628872524996178E-2</v>
      </c>
    </row>
    <row r="2125" spans="6:7" x14ac:dyDescent="0.35">
      <c r="F2125">
        <v>2120</v>
      </c>
      <c r="G2125" s="102">
        <f t="shared" ca="1" si="37"/>
        <v>-1.6338486388676007E-2</v>
      </c>
    </row>
    <row r="2126" spans="6:7" x14ac:dyDescent="0.35">
      <c r="F2126">
        <v>2121</v>
      </c>
      <c r="G2126" s="102">
        <f t="shared" ca="1" si="37"/>
        <v>2.9015448977369403E-2</v>
      </c>
    </row>
    <row r="2127" spans="6:7" x14ac:dyDescent="0.35">
      <c r="F2127">
        <v>2122</v>
      </c>
      <c r="G2127" s="102">
        <f t="shared" ca="1" si="37"/>
        <v>-2.2047672891030219E-2</v>
      </c>
    </row>
    <row r="2128" spans="6:7" x14ac:dyDescent="0.35">
      <c r="F2128">
        <v>2123</v>
      </c>
      <c r="G2128" s="102">
        <f t="shared" ca="1" si="37"/>
        <v>5.6196119218151666E-2</v>
      </c>
    </row>
    <row r="2129" spans="6:7" x14ac:dyDescent="0.35">
      <c r="F2129">
        <v>2124</v>
      </c>
      <c r="G2129" s="102">
        <f t="shared" ca="1" si="37"/>
        <v>-3.4312996440518995E-2</v>
      </c>
    </row>
    <row r="2130" spans="6:7" x14ac:dyDescent="0.35">
      <c r="F2130">
        <v>2125</v>
      </c>
      <c r="G2130" s="102">
        <f t="shared" ca="1" si="37"/>
        <v>-1.9473214103445435E-2</v>
      </c>
    </row>
    <row r="2131" spans="6:7" x14ac:dyDescent="0.35">
      <c r="F2131">
        <v>2126</v>
      </c>
      <c r="G2131" s="102">
        <f t="shared" ca="1" si="37"/>
        <v>-0.10838681981194198</v>
      </c>
    </row>
    <row r="2132" spans="6:7" x14ac:dyDescent="0.35">
      <c r="F2132">
        <v>2127</v>
      </c>
      <c r="G2132" s="102">
        <f t="shared" ca="1" si="37"/>
        <v>0.10914214246161129</v>
      </c>
    </row>
    <row r="2133" spans="6:7" x14ac:dyDescent="0.35">
      <c r="F2133">
        <v>2128</v>
      </c>
      <c r="G2133" s="102">
        <f t="shared" ca="1" si="37"/>
        <v>5.5533567220308777E-2</v>
      </c>
    </row>
    <row r="2134" spans="6:7" x14ac:dyDescent="0.35">
      <c r="F2134">
        <v>2129</v>
      </c>
      <c r="G2134" s="102">
        <f t="shared" ca="1" si="37"/>
        <v>-1.5555201086716295E-2</v>
      </c>
    </row>
    <row r="2135" spans="6:7" x14ac:dyDescent="0.35">
      <c r="F2135">
        <v>2130</v>
      </c>
      <c r="G2135" s="102">
        <f t="shared" ca="1" si="37"/>
        <v>0.14640443190958444</v>
      </c>
    </row>
    <row r="2136" spans="6:7" x14ac:dyDescent="0.35">
      <c r="F2136">
        <v>2131</v>
      </c>
      <c r="G2136" s="102">
        <f t="shared" ca="1" si="37"/>
        <v>-2.1655419312778191E-2</v>
      </c>
    </row>
    <row r="2137" spans="6:7" x14ac:dyDescent="0.35">
      <c r="F2137">
        <v>2132</v>
      </c>
      <c r="G2137" s="102">
        <f t="shared" ca="1" si="37"/>
        <v>9.9069189491307833E-3</v>
      </c>
    </row>
    <row r="2138" spans="6:7" x14ac:dyDescent="0.35">
      <c r="F2138">
        <v>2133</v>
      </c>
      <c r="G2138" s="102">
        <f t="shared" ca="1" si="37"/>
        <v>0.14459667313656058</v>
      </c>
    </row>
    <row r="2139" spans="6:7" x14ac:dyDescent="0.35">
      <c r="F2139">
        <v>2134</v>
      </c>
      <c r="G2139" s="102">
        <f t="shared" ca="1" si="37"/>
        <v>6.781972214884217E-3</v>
      </c>
    </row>
    <row r="2140" spans="6:7" x14ac:dyDescent="0.35">
      <c r="F2140">
        <v>2135</v>
      </c>
      <c r="G2140" s="102">
        <f t="shared" ca="1" si="37"/>
        <v>-0.11362224405958352</v>
      </c>
    </row>
    <row r="2141" spans="6:7" x14ac:dyDescent="0.35">
      <c r="F2141">
        <v>2136</v>
      </c>
      <c r="G2141" s="102">
        <f t="shared" ca="1" si="37"/>
        <v>-1.5091587725105458E-2</v>
      </c>
    </row>
    <row r="2142" spans="6:7" x14ac:dyDescent="0.35">
      <c r="F2142">
        <v>2137</v>
      </c>
      <c r="G2142" s="102">
        <f t="shared" ca="1" si="37"/>
        <v>6.0787454574242079E-3</v>
      </c>
    </row>
    <row r="2143" spans="6:7" x14ac:dyDescent="0.35">
      <c r="F2143">
        <v>2138</v>
      </c>
      <c r="G2143" s="102">
        <f t="shared" ca="1" si="37"/>
        <v>3.5639158385695674E-2</v>
      </c>
    </row>
    <row r="2144" spans="6:7" x14ac:dyDescent="0.35">
      <c r="F2144">
        <v>2139</v>
      </c>
      <c r="G2144" s="102">
        <f t="shared" ca="1" si="37"/>
        <v>6.2660253298480781E-2</v>
      </c>
    </row>
    <row r="2145" spans="6:7" x14ac:dyDescent="0.35">
      <c r="F2145">
        <v>2140</v>
      </c>
      <c r="G2145" s="102">
        <f t="shared" ca="1" si="37"/>
        <v>-5.4080876998732222E-2</v>
      </c>
    </row>
    <row r="2146" spans="6:7" x14ac:dyDescent="0.35">
      <c r="F2146">
        <v>2141</v>
      </c>
      <c r="G2146" s="102">
        <f t="shared" ca="1" si="37"/>
        <v>1.791810483104973E-2</v>
      </c>
    </row>
    <row r="2147" spans="6:7" x14ac:dyDescent="0.35">
      <c r="F2147">
        <v>2142</v>
      </c>
      <c r="G2147" s="102">
        <f t="shared" ca="1" si="37"/>
        <v>-7.6887396100872845E-3</v>
      </c>
    </row>
    <row r="2148" spans="6:7" x14ac:dyDescent="0.35">
      <c r="F2148">
        <v>2143</v>
      </c>
      <c r="G2148" s="102">
        <f t="shared" ca="1" si="37"/>
        <v>-4.8156968379345744E-2</v>
      </c>
    </row>
    <row r="2149" spans="6:7" x14ac:dyDescent="0.35">
      <c r="F2149">
        <v>2144</v>
      </c>
      <c r="G2149" s="102">
        <f t="shared" ca="1" si="37"/>
        <v>-5.3723229263829775E-2</v>
      </c>
    </row>
    <row r="2150" spans="6:7" x14ac:dyDescent="0.35">
      <c r="F2150">
        <v>2145</v>
      </c>
      <c r="G2150" s="102">
        <f t="shared" ca="1" si="37"/>
        <v>1.0869660764646738E-2</v>
      </c>
    </row>
    <row r="2151" spans="6:7" x14ac:dyDescent="0.35">
      <c r="F2151">
        <v>2146</v>
      </c>
      <c r="G2151" s="102">
        <f t="shared" ca="1" si="37"/>
        <v>-0.14982627647866165</v>
      </c>
    </row>
    <row r="2152" spans="6:7" x14ac:dyDescent="0.35">
      <c r="F2152">
        <v>2147</v>
      </c>
      <c r="G2152" s="102">
        <f t="shared" ca="1" si="37"/>
        <v>1.5157579921535928E-2</v>
      </c>
    </row>
    <row r="2153" spans="6:7" x14ac:dyDescent="0.35">
      <c r="F2153">
        <v>2148</v>
      </c>
      <c r="G2153" s="102">
        <f t="shared" ca="1" si="37"/>
        <v>-2.8533463568564909E-2</v>
      </c>
    </row>
    <row r="2154" spans="6:7" x14ac:dyDescent="0.35">
      <c r="F2154">
        <v>2149</v>
      </c>
      <c r="G2154" s="102">
        <f t="shared" ca="1" si="37"/>
        <v>-2.8831664073209438E-2</v>
      </c>
    </row>
    <row r="2155" spans="6:7" x14ac:dyDescent="0.35">
      <c r="F2155">
        <v>2150</v>
      </c>
      <c r="G2155" s="102">
        <f t="shared" ca="1" si="37"/>
        <v>-4.968373383833101E-2</v>
      </c>
    </row>
    <row r="2156" spans="6:7" x14ac:dyDescent="0.35">
      <c r="F2156">
        <v>2151</v>
      </c>
      <c r="G2156" s="102">
        <f t="shared" ca="1" si="37"/>
        <v>7.1697671138093652E-2</v>
      </c>
    </row>
    <row r="2157" spans="6:7" x14ac:dyDescent="0.35">
      <c r="F2157">
        <v>2152</v>
      </c>
      <c r="G2157" s="102">
        <f t="shared" ca="1" si="37"/>
        <v>-8.3960302188089031E-2</v>
      </c>
    </row>
    <row r="2158" spans="6:7" x14ac:dyDescent="0.35">
      <c r="F2158">
        <v>2153</v>
      </c>
      <c r="G2158" s="102">
        <f t="shared" ca="1" si="37"/>
        <v>9.4549744396571923E-3</v>
      </c>
    </row>
    <row r="2159" spans="6:7" x14ac:dyDescent="0.35">
      <c r="F2159">
        <v>2154</v>
      </c>
      <c r="G2159" s="102">
        <f t="shared" ca="1" si="37"/>
        <v>-8.4759023032250136E-2</v>
      </c>
    </row>
    <row r="2160" spans="6:7" x14ac:dyDescent="0.35">
      <c r="F2160">
        <v>2155</v>
      </c>
      <c r="G2160" s="102">
        <f t="shared" ca="1" si="37"/>
        <v>3.1325447296204085E-3</v>
      </c>
    </row>
    <row r="2161" spans="6:7" x14ac:dyDescent="0.35">
      <c r="F2161">
        <v>2156</v>
      </c>
      <c r="G2161" s="102">
        <f t="shared" ca="1" si="37"/>
        <v>-1.6238977895806389E-2</v>
      </c>
    </row>
    <row r="2162" spans="6:7" x14ac:dyDescent="0.35">
      <c r="F2162">
        <v>2157</v>
      </c>
      <c r="G2162" s="102">
        <f t="shared" ca="1" si="37"/>
        <v>-4.1371126753043025E-2</v>
      </c>
    </row>
    <row r="2163" spans="6:7" x14ac:dyDescent="0.35">
      <c r="F2163">
        <v>2158</v>
      </c>
      <c r="G2163" s="102">
        <f t="shared" ca="1" si="37"/>
        <v>-6.5001945640359479E-2</v>
      </c>
    </row>
    <row r="2164" spans="6:7" x14ac:dyDescent="0.35">
      <c r="F2164">
        <v>2159</v>
      </c>
      <c r="G2164" s="102">
        <f t="shared" ca="1" si="37"/>
        <v>3.0015678929365495E-2</v>
      </c>
    </row>
    <row r="2165" spans="6:7" x14ac:dyDescent="0.35">
      <c r="F2165">
        <v>2160</v>
      </c>
      <c r="G2165" s="102">
        <f t="shared" ca="1" si="37"/>
        <v>-1.4403545129305922E-2</v>
      </c>
    </row>
    <row r="2166" spans="6:7" x14ac:dyDescent="0.35">
      <c r="F2166">
        <v>2161</v>
      </c>
      <c r="G2166" s="102">
        <f t="shared" ca="1" si="37"/>
        <v>-1.8415223962065949E-2</v>
      </c>
    </row>
    <row r="2167" spans="6:7" x14ac:dyDescent="0.35">
      <c r="F2167">
        <v>2162</v>
      </c>
      <c r="G2167" s="102">
        <f t="shared" ca="1" si="37"/>
        <v>-9.1125975023006144E-3</v>
      </c>
    </row>
    <row r="2168" spans="6:7" x14ac:dyDescent="0.35">
      <c r="F2168">
        <v>2163</v>
      </c>
      <c r="G2168" s="102">
        <f t="shared" ca="1" si="37"/>
        <v>-5.2051349814893622E-2</v>
      </c>
    </row>
    <row r="2169" spans="6:7" x14ac:dyDescent="0.35">
      <c r="F2169">
        <v>2164</v>
      </c>
      <c r="G2169" s="102">
        <f t="shared" ca="1" si="37"/>
        <v>4.8002655141646783E-2</v>
      </c>
    </row>
    <row r="2170" spans="6:7" x14ac:dyDescent="0.35">
      <c r="F2170">
        <v>2165</v>
      </c>
      <c r="G2170" s="102">
        <f t="shared" ca="1" si="37"/>
        <v>-2.6312789952862313E-2</v>
      </c>
    </row>
    <row r="2171" spans="6:7" x14ac:dyDescent="0.35">
      <c r="F2171">
        <v>2166</v>
      </c>
      <c r="G2171" s="102">
        <f t="shared" ca="1" si="37"/>
        <v>-7.7945110631775102E-2</v>
      </c>
    </row>
    <row r="2172" spans="6:7" x14ac:dyDescent="0.35">
      <c r="F2172">
        <v>2167</v>
      </c>
      <c r="G2172" s="102">
        <f t="shared" ca="1" si="37"/>
        <v>4.5334047822389853E-2</v>
      </c>
    </row>
    <row r="2173" spans="6:7" x14ac:dyDescent="0.35">
      <c r="F2173">
        <v>2168</v>
      </c>
      <c r="G2173" s="102">
        <f t="shared" ca="1" si="37"/>
        <v>-5.8126365978872871E-2</v>
      </c>
    </row>
    <row r="2174" spans="6:7" x14ac:dyDescent="0.35">
      <c r="F2174">
        <v>2169</v>
      </c>
      <c r="G2174" s="102">
        <f t="shared" ca="1" si="37"/>
        <v>0.10840613877903404</v>
      </c>
    </row>
    <row r="2175" spans="6:7" x14ac:dyDescent="0.35">
      <c r="F2175">
        <v>2170</v>
      </c>
      <c r="G2175" s="102">
        <f t="shared" ca="1" si="37"/>
        <v>-4.2374454724698534E-3</v>
      </c>
    </row>
    <row r="2176" spans="6:7" x14ac:dyDescent="0.35">
      <c r="F2176">
        <v>2171</v>
      </c>
      <c r="G2176" s="102">
        <f t="shared" ca="1" si="37"/>
        <v>-0.10461519348689567</v>
      </c>
    </row>
    <row r="2177" spans="6:7" x14ac:dyDescent="0.35">
      <c r="F2177">
        <v>2172</v>
      </c>
      <c r="G2177" s="102">
        <f t="shared" ca="1" si="37"/>
        <v>9.0200533672046973E-3</v>
      </c>
    </row>
    <row r="2178" spans="6:7" x14ac:dyDescent="0.35">
      <c r="F2178">
        <v>2173</v>
      </c>
      <c r="G2178" s="102">
        <f t="shared" ca="1" si="37"/>
        <v>5.6077642952029431E-3</v>
      </c>
    </row>
    <row r="2179" spans="6:7" x14ac:dyDescent="0.35">
      <c r="F2179">
        <v>2174</v>
      </c>
      <c r="G2179" s="102">
        <f t="shared" ca="1" si="37"/>
        <v>7.8125860945475481E-2</v>
      </c>
    </row>
    <row r="2180" spans="6:7" x14ac:dyDescent="0.35">
      <c r="F2180">
        <v>2175</v>
      </c>
      <c r="G2180" s="102">
        <f t="shared" ca="1" si="37"/>
        <v>3.904882237945051E-2</v>
      </c>
    </row>
    <row r="2181" spans="6:7" x14ac:dyDescent="0.35">
      <c r="F2181">
        <v>2176</v>
      </c>
      <c r="G2181" s="102">
        <f t="shared" ca="1" si="37"/>
        <v>-5.951031853134732E-2</v>
      </c>
    </row>
    <row r="2182" spans="6:7" x14ac:dyDescent="0.35">
      <c r="F2182">
        <v>2177</v>
      </c>
      <c r="G2182" s="102">
        <f t="shared" ca="1" si="37"/>
        <v>4.896499772236565E-3</v>
      </c>
    </row>
    <row r="2183" spans="6:7" x14ac:dyDescent="0.35">
      <c r="F2183">
        <v>2178</v>
      </c>
      <c r="G2183" s="102">
        <f t="shared" ref="G2183:G2246" ca="1" si="38">_xlfn.NORM.INV(RAND(),M$9,M$10)</f>
        <v>2.785573295585644E-2</v>
      </c>
    </row>
    <row r="2184" spans="6:7" x14ac:dyDescent="0.35">
      <c r="F2184">
        <v>2179</v>
      </c>
      <c r="G2184" s="102">
        <f t="shared" ca="1" si="38"/>
        <v>-3.3343211985567681E-2</v>
      </c>
    </row>
    <row r="2185" spans="6:7" x14ac:dyDescent="0.35">
      <c r="F2185">
        <v>2180</v>
      </c>
      <c r="G2185" s="102">
        <f t="shared" ca="1" si="38"/>
        <v>-0.10923224479362484</v>
      </c>
    </row>
    <row r="2186" spans="6:7" x14ac:dyDescent="0.35">
      <c r="F2186">
        <v>2181</v>
      </c>
      <c r="G2186" s="102">
        <f t="shared" ca="1" si="38"/>
        <v>3.893716577886534E-3</v>
      </c>
    </row>
    <row r="2187" spans="6:7" x14ac:dyDescent="0.35">
      <c r="F2187">
        <v>2182</v>
      </c>
      <c r="G2187" s="102">
        <f t="shared" ca="1" si="38"/>
        <v>8.0981442825479907E-2</v>
      </c>
    </row>
    <row r="2188" spans="6:7" x14ac:dyDescent="0.35">
      <c r="F2188">
        <v>2183</v>
      </c>
      <c r="G2188" s="102">
        <f t="shared" ca="1" si="38"/>
        <v>0.14507719296476029</v>
      </c>
    </row>
    <row r="2189" spans="6:7" x14ac:dyDescent="0.35">
      <c r="F2189">
        <v>2184</v>
      </c>
      <c r="G2189" s="102">
        <f t="shared" ca="1" si="38"/>
        <v>-8.1595600423546938E-2</v>
      </c>
    </row>
    <row r="2190" spans="6:7" x14ac:dyDescent="0.35">
      <c r="F2190">
        <v>2185</v>
      </c>
      <c r="G2190" s="102">
        <f t="shared" ca="1" si="38"/>
        <v>3.957777624418013E-2</v>
      </c>
    </row>
    <row r="2191" spans="6:7" x14ac:dyDescent="0.35">
      <c r="F2191">
        <v>2186</v>
      </c>
      <c r="G2191" s="102">
        <f t="shared" ca="1" si="38"/>
        <v>-2.4683038639485365E-2</v>
      </c>
    </row>
    <row r="2192" spans="6:7" x14ac:dyDescent="0.35">
      <c r="F2192">
        <v>2187</v>
      </c>
      <c r="G2192" s="102">
        <f t="shared" ca="1" si="38"/>
        <v>-2.3349084644429249E-2</v>
      </c>
    </row>
    <row r="2193" spans="6:7" x14ac:dyDescent="0.35">
      <c r="F2193">
        <v>2188</v>
      </c>
      <c r="G2193" s="102">
        <f t="shared" ca="1" si="38"/>
        <v>6.3414002019697505E-3</v>
      </c>
    </row>
    <row r="2194" spans="6:7" x14ac:dyDescent="0.35">
      <c r="F2194">
        <v>2189</v>
      </c>
      <c r="G2194" s="102">
        <f t="shared" ca="1" si="38"/>
        <v>7.7542535021488945E-2</v>
      </c>
    </row>
    <row r="2195" spans="6:7" x14ac:dyDescent="0.35">
      <c r="F2195">
        <v>2190</v>
      </c>
      <c r="G2195" s="102">
        <f t="shared" ca="1" si="38"/>
        <v>8.1574735791101124E-2</v>
      </c>
    </row>
    <row r="2196" spans="6:7" x14ac:dyDescent="0.35">
      <c r="F2196">
        <v>2191</v>
      </c>
      <c r="G2196" s="102">
        <f t="shared" ca="1" si="38"/>
        <v>3.8678699113065776E-2</v>
      </c>
    </row>
    <row r="2197" spans="6:7" x14ac:dyDescent="0.35">
      <c r="F2197">
        <v>2192</v>
      </c>
      <c r="G2197" s="102">
        <f t="shared" ca="1" si="38"/>
        <v>6.0967088750671014E-2</v>
      </c>
    </row>
    <row r="2198" spans="6:7" x14ac:dyDescent="0.35">
      <c r="F2198">
        <v>2193</v>
      </c>
      <c r="G2198" s="102">
        <f t="shared" ca="1" si="38"/>
        <v>1.9095892063608295E-2</v>
      </c>
    </row>
    <row r="2199" spans="6:7" x14ac:dyDescent="0.35">
      <c r="F2199">
        <v>2194</v>
      </c>
      <c r="G2199" s="102">
        <f t="shared" ca="1" si="38"/>
        <v>-0.10142946123849295</v>
      </c>
    </row>
    <row r="2200" spans="6:7" x14ac:dyDescent="0.35">
      <c r="F2200">
        <v>2195</v>
      </c>
      <c r="G2200" s="102">
        <f t="shared" ca="1" si="38"/>
        <v>-1.2368246420211391E-2</v>
      </c>
    </row>
    <row r="2201" spans="6:7" x14ac:dyDescent="0.35">
      <c r="F2201">
        <v>2196</v>
      </c>
      <c r="G2201" s="102">
        <f t="shared" ca="1" si="38"/>
        <v>-5.5698970689847735E-2</v>
      </c>
    </row>
    <row r="2202" spans="6:7" x14ac:dyDescent="0.35">
      <c r="F2202">
        <v>2197</v>
      </c>
      <c r="G2202" s="102">
        <f t="shared" ca="1" si="38"/>
        <v>-2.691143209692928E-2</v>
      </c>
    </row>
    <row r="2203" spans="6:7" x14ac:dyDescent="0.35">
      <c r="F2203">
        <v>2198</v>
      </c>
      <c r="G2203" s="102">
        <f t="shared" ca="1" si="38"/>
        <v>-5.430929269686015E-3</v>
      </c>
    </row>
    <row r="2204" spans="6:7" x14ac:dyDescent="0.35">
      <c r="F2204">
        <v>2199</v>
      </c>
      <c r="G2204" s="102">
        <f t="shared" ca="1" si="38"/>
        <v>-6.121934179237376E-2</v>
      </c>
    </row>
    <row r="2205" spans="6:7" x14ac:dyDescent="0.35">
      <c r="F2205">
        <v>2200</v>
      </c>
      <c r="G2205" s="102">
        <f t="shared" ca="1" si="38"/>
        <v>-4.6789936156509337E-2</v>
      </c>
    </row>
    <row r="2206" spans="6:7" x14ac:dyDescent="0.35">
      <c r="F2206">
        <v>2201</v>
      </c>
      <c r="G2206" s="102">
        <f t="shared" ca="1" si="38"/>
        <v>4.7019574149566229E-2</v>
      </c>
    </row>
    <row r="2207" spans="6:7" x14ac:dyDescent="0.35">
      <c r="F2207">
        <v>2202</v>
      </c>
      <c r="G2207" s="102">
        <f t="shared" ca="1" si="38"/>
        <v>-2.8174813701615019E-2</v>
      </c>
    </row>
    <row r="2208" spans="6:7" x14ac:dyDescent="0.35">
      <c r="F2208">
        <v>2203</v>
      </c>
      <c r="G2208" s="102">
        <f t="shared" ca="1" si="38"/>
        <v>-3.8503037213553998E-2</v>
      </c>
    </row>
    <row r="2209" spans="6:7" x14ac:dyDescent="0.35">
      <c r="F2209">
        <v>2204</v>
      </c>
      <c r="G2209" s="102">
        <f t="shared" ca="1" si="38"/>
        <v>-1.4552908343652532E-3</v>
      </c>
    </row>
    <row r="2210" spans="6:7" x14ac:dyDescent="0.35">
      <c r="F2210">
        <v>2205</v>
      </c>
      <c r="G2210" s="102">
        <f t="shared" ca="1" si="38"/>
        <v>-4.6006742883029153E-2</v>
      </c>
    </row>
    <row r="2211" spans="6:7" x14ac:dyDescent="0.35">
      <c r="F2211">
        <v>2206</v>
      </c>
      <c r="G2211" s="102">
        <f t="shared" ca="1" si="38"/>
        <v>-4.1402230301832127E-2</v>
      </c>
    </row>
    <row r="2212" spans="6:7" x14ac:dyDescent="0.35">
      <c r="F2212">
        <v>2207</v>
      </c>
      <c r="G2212" s="102">
        <f t="shared" ca="1" si="38"/>
        <v>0.133782664062913</v>
      </c>
    </row>
    <row r="2213" spans="6:7" x14ac:dyDescent="0.35">
      <c r="F2213">
        <v>2208</v>
      </c>
      <c r="G2213" s="102">
        <f t="shared" ca="1" si="38"/>
        <v>-7.4649083004412989E-2</v>
      </c>
    </row>
    <row r="2214" spans="6:7" x14ac:dyDescent="0.35">
      <c r="F2214">
        <v>2209</v>
      </c>
      <c r="G2214" s="102">
        <f t="shared" ca="1" si="38"/>
        <v>0.1096687635309366</v>
      </c>
    </row>
    <row r="2215" spans="6:7" x14ac:dyDescent="0.35">
      <c r="F2215">
        <v>2210</v>
      </c>
      <c r="G2215" s="102">
        <f t="shared" ca="1" si="38"/>
        <v>-4.7956934180116888E-3</v>
      </c>
    </row>
    <row r="2216" spans="6:7" x14ac:dyDescent="0.35">
      <c r="F2216">
        <v>2211</v>
      </c>
      <c r="G2216" s="102">
        <f t="shared" ca="1" si="38"/>
        <v>7.2089413943042108E-2</v>
      </c>
    </row>
    <row r="2217" spans="6:7" x14ac:dyDescent="0.35">
      <c r="F2217">
        <v>2212</v>
      </c>
      <c r="G2217" s="102">
        <f t="shared" ca="1" si="38"/>
        <v>-8.5188077543162044E-2</v>
      </c>
    </row>
    <row r="2218" spans="6:7" x14ac:dyDescent="0.35">
      <c r="F2218">
        <v>2213</v>
      </c>
      <c r="G2218" s="102">
        <f t="shared" ca="1" si="38"/>
        <v>4.4046241623628662E-2</v>
      </c>
    </row>
    <row r="2219" spans="6:7" x14ac:dyDescent="0.35">
      <c r="F2219">
        <v>2214</v>
      </c>
      <c r="G2219" s="102">
        <f t="shared" ca="1" si="38"/>
        <v>-1.2897003822753987E-2</v>
      </c>
    </row>
    <row r="2220" spans="6:7" x14ac:dyDescent="0.35">
      <c r="F2220">
        <v>2215</v>
      </c>
      <c r="G2220" s="102">
        <f t="shared" ca="1" si="38"/>
        <v>-3.1713503879849704E-2</v>
      </c>
    </row>
    <row r="2221" spans="6:7" x14ac:dyDescent="0.35">
      <c r="F2221">
        <v>2216</v>
      </c>
      <c r="G2221" s="102">
        <f t="shared" ca="1" si="38"/>
        <v>2.6780820170847059E-2</v>
      </c>
    </row>
    <row r="2222" spans="6:7" x14ac:dyDescent="0.35">
      <c r="F2222">
        <v>2217</v>
      </c>
      <c r="G2222" s="102">
        <f t="shared" ca="1" si="38"/>
        <v>-5.6112382718377193E-2</v>
      </c>
    </row>
    <row r="2223" spans="6:7" x14ac:dyDescent="0.35">
      <c r="F2223">
        <v>2218</v>
      </c>
      <c r="G2223" s="102">
        <f t="shared" ca="1" si="38"/>
        <v>-1.4803634702073215E-2</v>
      </c>
    </row>
    <row r="2224" spans="6:7" x14ac:dyDescent="0.35">
      <c r="F2224">
        <v>2219</v>
      </c>
      <c r="G2224" s="102">
        <f t="shared" ca="1" si="38"/>
        <v>-4.3982588271051296E-2</v>
      </c>
    </row>
    <row r="2225" spans="6:7" x14ac:dyDescent="0.35">
      <c r="F2225">
        <v>2220</v>
      </c>
      <c r="G2225" s="102">
        <f t="shared" ca="1" si="38"/>
        <v>-5.6965170596648462E-2</v>
      </c>
    </row>
    <row r="2226" spans="6:7" x14ac:dyDescent="0.35">
      <c r="F2226">
        <v>2221</v>
      </c>
      <c r="G2226" s="102">
        <f t="shared" ca="1" si="38"/>
        <v>0.10163967227368925</v>
      </c>
    </row>
    <row r="2227" spans="6:7" x14ac:dyDescent="0.35">
      <c r="F2227">
        <v>2222</v>
      </c>
      <c r="G2227" s="102">
        <f t="shared" ca="1" si="38"/>
        <v>9.1107359789512621E-2</v>
      </c>
    </row>
    <row r="2228" spans="6:7" x14ac:dyDescent="0.35">
      <c r="F2228">
        <v>2223</v>
      </c>
      <c r="G2228" s="102">
        <f t="shared" ca="1" si="38"/>
        <v>-9.9424007726433249E-3</v>
      </c>
    </row>
    <row r="2229" spans="6:7" x14ac:dyDescent="0.35">
      <c r="F2229">
        <v>2224</v>
      </c>
      <c r="G2229" s="102">
        <f t="shared" ca="1" si="38"/>
        <v>-1.8283182883357438E-2</v>
      </c>
    </row>
    <row r="2230" spans="6:7" x14ac:dyDescent="0.35">
      <c r="F2230">
        <v>2225</v>
      </c>
      <c r="G2230" s="102">
        <f t="shared" ca="1" si="38"/>
        <v>0.10879432936863226</v>
      </c>
    </row>
    <row r="2231" spans="6:7" x14ac:dyDescent="0.35">
      <c r="F2231">
        <v>2226</v>
      </c>
      <c r="G2231" s="102">
        <f t="shared" ca="1" si="38"/>
        <v>-0.10446247113023224</v>
      </c>
    </row>
    <row r="2232" spans="6:7" x14ac:dyDescent="0.35">
      <c r="F2232">
        <v>2227</v>
      </c>
      <c r="G2232" s="102">
        <f t="shared" ca="1" si="38"/>
        <v>3.8463597346740361E-2</v>
      </c>
    </row>
    <row r="2233" spans="6:7" x14ac:dyDescent="0.35">
      <c r="F2233">
        <v>2228</v>
      </c>
      <c r="G2233" s="102">
        <f t="shared" ca="1" si="38"/>
        <v>1.0461801236909714E-2</v>
      </c>
    </row>
    <row r="2234" spans="6:7" x14ac:dyDescent="0.35">
      <c r="F2234">
        <v>2229</v>
      </c>
      <c r="G2234" s="102">
        <f t="shared" ca="1" si="38"/>
        <v>-0.10504258650291065</v>
      </c>
    </row>
    <row r="2235" spans="6:7" x14ac:dyDescent="0.35">
      <c r="F2235">
        <v>2230</v>
      </c>
      <c r="G2235" s="102">
        <f t="shared" ca="1" si="38"/>
        <v>6.82589442490079E-2</v>
      </c>
    </row>
    <row r="2236" spans="6:7" x14ac:dyDescent="0.35">
      <c r="F2236">
        <v>2231</v>
      </c>
      <c r="G2236" s="102">
        <f t="shared" ca="1" si="38"/>
        <v>-0.10441844485646128</v>
      </c>
    </row>
    <row r="2237" spans="6:7" x14ac:dyDescent="0.35">
      <c r="F2237">
        <v>2232</v>
      </c>
      <c r="G2237" s="102">
        <f t="shared" ca="1" si="38"/>
        <v>-7.4957414127869326E-2</v>
      </c>
    </row>
    <row r="2238" spans="6:7" x14ac:dyDescent="0.35">
      <c r="F2238">
        <v>2233</v>
      </c>
      <c r="G2238" s="102">
        <f t="shared" ca="1" si="38"/>
        <v>-5.4018713618507491E-2</v>
      </c>
    </row>
    <row r="2239" spans="6:7" x14ac:dyDescent="0.35">
      <c r="F2239">
        <v>2234</v>
      </c>
      <c r="G2239" s="102">
        <f t="shared" ca="1" si="38"/>
        <v>-6.0336228792594232E-2</v>
      </c>
    </row>
    <row r="2240" spans="6:7" x14ac:dyDescent="0.35">
      <c r="F2240">
        <v>2235</v>
      </c>
      <c r="G2240" s="102">
        <f t="shared" ca="1" si="38"/>
        <v>3.4205586146462449E-2</v>
      </c>
    </row>
    <row r="2241" spans="6:7" x14ac:dyDescent="0.35">
      <c r="F2241">
        <v>2236</v>
      </c>
      <c r="G2241" s="102">
        <f t="shared" ca="1" si="38"/>
        <v>2.9502338124714731E-2</v>
      </c>
    </row>
    <row r="2242" spans="6:7" x14ac:dyDescent="0.35">
      <c r="F2242">
        <v>2237</v>
      </c>
      <c r="G2242" s="102">
        <f t="shared" ca="1" si="38"/>
        <v>-0.10631994484249299</v>
      </c>
    </row>
    <row r="2243" spans="6:7" x14ac:dyDescent="0.35">
      <c r="F2243">
        <v>2238</v>
      </c>
      <c r="G2243" s="102">
        <f t="shared" ca="1" si="38"/>
        <v>-3.9889333078128128E-2</v>
      </c>
    </row>
    <row r="2244" spans="6:7" x14ac:dyDescent="0.35">
      <c r="F2244">
        <v>2239</v>
      </c>
      <c r="G2244" s="102">
        <f t="shared" ca="1" si="38"/>
        <v>-0.10004858067545776</v>
      </c>
    </row>
    <row r="2245" spans="6:7" x14ac:dyDescent="0.35">
      <c r="F2245">
        <v>2240</v>
      </c>
      <c r="G2245" s="102">
        <f t="shared" ca="1" si="38"/>
        <v>-0.1112294932179413</v>
      </c>
    </row>
    <row r="2246" spans="6:7" x14ac:dyDescent="0.35">
      <c r="F2246">
        <v>2241</v>
      </c>
      <c r="G2246" s="102">
        <f t="shared" ca="1" si="38"/>
        <v>-6.1456179467340825E-5</v>
      </c>
    </row>
    <row r="2247" spans="6:7" x14ac:dyDescent="0.35">
      <c r="F2247">
        <v>2242</v>
      </c>
      <c r="G2247" s="102">
        <f t="shared" ref="G2247:G2310" ca="1" si="39">_xlfn.NORM.INV(RAND(),M$9,M$10)</f>
        <v>-6.3843679469554909E-2</v>
      </c>
    </row>
    <row r="2248" spans="6:7" x14ac:dyDescent="0.35">
      <c r="F2248">
        <v>2243</v>
      </c>
      <c r="G2248" s="102">
        <f t="shared" ca="1" si="39"/>
        <v>8.393736578533198E-2</v>
      </c>
    </row>
    <row r="2249" spans="6:7" x14ac:dyDescent="0.35">
      <c r="F2249">
        <v>2244</v>
      </c>
      <c r="G2249" s="102">
        <f t="shared" ca="1" si="39"/>
        <v>-0.22809845485011018</v>
      </c>
    </row>
    <row r="2250" spans="6:7" x14ac:dyDescent="0.35">
      <c r="F2250">
        <v>2245</v>
      </c>
      <c r="G2250" s="102">
        <f t="shared" ca="1" si="39"/>
        <v>6.1993864261885301E-2</v>
      </c>
    </row>
    <row r="2251" spans="6:7" x14ac:dyDescent="0.35">
      <c r="F2251">
        <v>2246</v>
      </c>
      <c r="G2251" s="102">
        <f t="shared" ca="1" si="39"/>
        <v>2.4532744402776686E-2</v>
      </c>
    </row>
    <row r="2252" spans="6:7" x14ac:dyDescent="0.35">
      <c r="F2252">
        <v>2247</v>
      </c>
      <c r="G2252" s="102">
        <f t="shared" ca="1" si="39"/>
        <v>2.5517719061224516E-2</v>
      </c>
    </row>
    <row r="2253" spans="6:7" x14ac:dyDescent="0.35">
      <c r="F2253">
        <v>2248</v>
      </c>
      <c r="G2253" s="102">
        <f t="shared" ca="1" si="39"/>
        <v>-4.7245118069964273E-2</v>
      </c>
    </row>
    <row r="2254" spans="6:7" x14ac:dyDescent="0.35">
      <c r="F2254">
        <v>2249</v>
      </c>
      <c r="G2254" s="102">
        <f t="shared" ca="1" si="39"/>
        <v>5.454793513332154E-2</v>
      </c>
    </row>
    <row r="2255" spans="6:7" x14ac:dyDescent="0.35">
      <c r="F2255">
        <v>2250</v>
      </c>
      <c r="G2255" s="102">
        <f t="shared" ca="1" si="39"/>
        <v>-8.5311158995188437E-3</v>
      </c>
    </row>
    <row r="2256" spans="6:7" x14ac:dyDescent="0.35">
      <c r="F2256">
        <v>2251</v>
      </c>
      <c r="G2256" s="102">
        <f t="shared" ca="1" si="39"/>
        <v>-1.1764853836795958E-2</v>
      </c>
    </row>
    <row r="2257" spans="6:7" x14ac:dyDescent="0.35">
      <c r="F2257">
        <v>2252</v>
      </c>
      <c r="G2257" s="102">
        <f t="shared" ca="1" si="39"/>
        <v>5.4765899113742147E-2</v>
      </c>
    </row>
    <row r="2258" spans="6:7" x14ac:dyDescent="0.35">
      <c r="F2258">
        <v>2253</v>
      </c>
      <c r="G2258" s="102">
        <f t="shared" ca="1" si="39"/>
        <v>5.4219318674861045E-2</v>
      </c>
    </row>
    <row r="2259" spans="6:7" x14ac:dyDescent="0.35">
      <c r="F2259">
        <v>2254</v>
      </c>
      <c r="G2259" s="102">
        <f t="shared" ca="1" si="39"/>
        <v>-0.13274698128823356</v>
      </c>
    </row>
    <row r="2260" spans="6:7" x14ac:dyDescent="0.35">
      <c r="F2260">
        <v>2255</v>
      </c>
      <c r="G2260" s="102">
        <f t="shared" ca="1" si="39"/>
        <v>-1.3114742738213973E-2</v>
      </c>
    </row>
    <row r="2261" spans="6:7" x14ac:dyDescent="0.35">
      <c r="F2261">
        <v>2256</v>
      </c>
      <c r="G2261" s="102">
        <f t="shared" ca="1" si="39"/>
        <v>-2.9019974891900918E-2</v>
      </c>
    </row>
    <row r="2262" spans="6:7" x14ac:dyDescent="0.35">
      <c r="F2262">
        <v>2257</v>
      </c>
      <c r="G2262" s="102">
        <f t="shared" ca="1" si="39"/>
        <v>-3.1428482261323262E-2</v>
      </c>
    </row>
    <row r="2263" spans="6:7" x14ac:dyDescent="0.35">
      <c r="F2263">
        <v>2258</v>
      </c>
      <c r="G2263" s="102">
        <f t="shared" ca="1" si="39"/>
        <v>-7.4198238476029438E-2</v>
      </c>
    </row>
    <row r="2264" spans="6:7" x14ac:dyDescent="0.35">
      <c r="F2264">
        <v>2259</v>
      </c>
      <c r="G2264" s="102">
        <f t="shared" ca="1" si="39"/>
        <v>-4.0339561471057023E-2</v>
      </c>
    </row>
    <row r="2265" spans="6:7" x14ac:dyDescent="0.35">
      <c r="F2265">
        <v>2260</v>
      </c>
      <c r="G2265" s="102">
        <f t="shared" ca="1" si="39"/>
        <v>-4.5678835640631507E-2</v>
      </c>
    </row>
    <row r="2266" spans="6:7" x14ac:dyDescent="0.35">
      <c r="F2266">
        <v>2261</v>
      </c>
      <c r="G2266" s="102">
        <f t="shared" ca="1" si="39"/>
        <v>-8.3971514285869464E-2</v>
      </c>
    </row>
    <row r="2267" spans="6:7" x14ac:dyDescent="0.35">
      <c r="F2267">
        <v>2262</v>
      </c>
      <c r="G2267" s="102">
        <f t="shared" ca="1" si="39"/>
        <v>-4.0749102542032956E-2</v>
      </c>
    </row>
    <row r="2268" spans="6:7" x14ac:dyDescent="0.35">
      <c r="F2268">
        <v>2263</v>
      </c>
      <c r="G2268" s="102">
        <f t="shared" ca="1" si="39"/>
        <v>-3.8053744228369627E-3</v>
      </c>
    </row>
    <row r="2269" spans="6:7" x14ac:dyDescent="0.35">
      <c r="F2269">
        <v>2264</v>
      </c>
      <c r="G2269" s="102">
        <f t="shared" ca="1" si="39"/>
        <v>5.3952274383794088E-2</v>
      </c>
    </row>
    <row r="2270" spans="6:7" x14ac:dyDescent="0.35">
      <c r="F2270">
        <v>2265</v>
      </c>
      <c r="G2270" s="102">
        <f t="shared" ca="1" si="39"/>
        <v>2.2886611473960244E-2</v>
      </c>
    </row>
    <row r="2271" spans="6:7" x14ac:dyDescent="0.35">
      <c r="F2271">
        <v>2266</v>
      </c>
      <c r="G2271" s="102">
        <f t="shared" ca="1" si="39"/>
        <v>-2.0414741025184459E-2</v>
      </c>
    </row>
    <row r="2272" spans="6:7" x14ac:dyDescent="0.35">
      <c r="F2272">
        <v>2267</v>
      </c>
      <c r="G2272" s="102">
        <f t="shared" ca="1" si="39"/>
        <v>-5.3500047201937781E-2</v>
      </c>
    </row>
    <row r="2273" spans="6:7" x14ac:dyDescent="0.35">
      <c r="F2273">
        <v>2268</v>
      </c>
      <c r="G2273" s="102">
        <f t="shared" ca="1" si="39"/>
        <v>2.5696781892567567E-3</v>
      </c>
    </row>
    <row r="2274" spans="6:7" x14ac:dyDescent="0.35">
      <c r="F2274">
        <v>2269</v>
      </c>
      <c r="G2274" s="102">
        <f t="shared" ca="1" si="39"/>
        <v>1.4296737969436528E-2</v>
      </c>
    </row>
    <row r="2275" spans="6:7" x14ac:dyDescent="0.35">
      <c r="F2275">
        <v>2270</v>
      </c>
      <c r="G2275" s="102">
        <f t="shared" ca="1" si="39"/>
        <v>0.11712381822300499</v>
      </c>
    </row>
    <row r="2276" spans="6:7" x14ac:dyDescent="0.35">
      <c r="F2276">
        <v>2271</v>
      </c>
      <c r="G2276" s="102">
        <f t="shared" ca="1" si="39"/>
        <v>-2.9931097220155321E-2</v>
      </c>
    </row>
    <row r="2277" spans="6:7" x14ac:dyDescent="0.35">
      <c r="F2277">
        <v>2272</v>
      </c>
      <c r="G2277" s="102">
        <f t="shared" ca="1" si="39"/>
        <v>-1.9265008250370884E-2</v>
      </c>
    </row>
    <row r="2278" spans="6:7" x14ac:dyDescent="0.35">
      <c r="F2278">
        <v>2273</v>
      </c>
      <c r="G2278" s="102">
        <f t="shared" ca="1" si="39"/>
        <v>-5.1624458754715302E-2</v>
      </c>
    </row>
    <row r="2279" spans="6:7" x14ac:dyDescent="0.35">
      <c r="F2279">
        <v>2274</v>
      </c>
      <c r="G2279" s="102">
        <f t="shared" ca="1" si="39"/>
        <v>9.9027176056975651E-3</v>
      </c>
    </row>
    <row r="2280" spans="6:7" x14ac:dyDescent="0.35">
      <c r="F2280">
        <v>2275</v>
      </c>
      <c r="G2280" s="102">
        <f t="shared" ca="1" si="39"/>
        <v>-6.4196549338835229E-2</v>
      </c>
    </row>
    <row r="2281" spans="6:7" x14ac:dyDescent="0.35">
      <c r="F2281">
        <v>2276</v>
      </c>
      <c r="G2281" s="102">
        <f t="shared" ca="1" si="39"/>
        <v>0.13658078158288514</v>
      </c>
    </row>
    <row r="2282" spans="6:7" x14ac:dyDescent="0.35">
      <c r="F2282">
        <v>2277</v>
      </c>
      <c r="G2282" s="102">
        <f t="shared" ca="1" si="39"/>
        <v>-2.6975172255889472E-3</v>
      </c>
    </row>
    <row r="2283" spans="6:7" x14ac:dyDescent="0.35">
      <c r="F2283">
        <v>2278</v>
      </c>
      <c r="G2283" s="102">
        <f t="shared" ca="1" si="39"/>
        <v>-3.8172654961088751E-2</v>
      </c>
    </row>
    <row r="2284" spans="6:7" x14ac:dyDescent="0.35">
      <c r="F2284">
        <v>2279</v>
      </c>
      <c r="G2284" s="102">
        <f t="shared" ca="1" si="39"/>
        <v>0.10711632035707902</v>
      </c>
    </row>
    <row r="2285" spans="6:7" x14ac:dyDescent="0.35">
      <c r="F2285">
        <v>2280</v>
      </c>
      <c r="G2285" s="102">
        <f t="shared" ca="1" si="39"/>
        <v>-0.13189534660651517</v>
      </c>
    </row>
    <row r="2286" spans="6:7" x14ac:dyDescent="0.35">
      <c r="F2286">
        <v>2281</v>
      </c>
      <c r="G2286" s="102">
        <f t="shared" ca="1" si="39"/>
        <v>9.2043636900971254E-2</v>
      </c>
    </row>
    <row r="2287" spans="6:7" x14ac:dyDescent="0.35">
      <c r="F2287">
        <v>2282</v>
      </c>
      <c r="G2287" s="102">
        <f t="shared" ca="1" si="39"/>
        <v>4.3130983198826009E-3</v>
      </c>
    </row>
    <row r="2288" spans="6:7" x14ac:dyDescent="0.35">
      <c r="F2288">
        <v>2283</v>
      </c>
      <c r="G2288" s="102">
        <f t="shared" ca="1" si="39"/>
        <v>-1.9521198036263517E-2</v>
      </c>
    </row>
    <row r="2289" spans="6:7" x14ac:dyDescent="0.35">
      <c r="F2289">
        <v>2284</v>
      </c>
      <c r="G2289" s="102">
        <f t="shared" ca="1" si="39"/>
        <v>-2.0156197040833525E-2</v>
      </c>
    </row>
    <row r="2290" spans="6:7" x14ac:dyDescent="0.35">
      <c r="F2290">
        <v>2285</v>
      </c>
      <c r="G2290" s="102">
        <f t="shared" ca="1" si="39"/>
        <v>-3.7393935161746591E-2</v>
      </c>
    </row>
    <row r="2291" spans="6:7" x14ac:dyDescent="0.35">
      <c r="F2291">
        <v>2286</v>
      </c>
      <c r="G2291" s="102">
        <f t="shared" ca="1" si="39"/>
        <v>0.14323948539331557</v>
      </c>
    </row>
    <row r="2292" spans="6:7" x14ac:dyDescent="0.35">
      <c r="F2292">
        <v>2287</v>
      </c>
      <c r="G2292" s="102">
        <f t="shared" ca="1" si="39"/>
        <v>0.21176516383670285</v>
      </c>
    </row>
    <row r="2293" spans="6:7" x14ac:dyDescent="0.35">
      <c r="F2293">
        <v>2288</v>
      </c>
      <c r="G2293" s="102">
        <f t="shared" ca="1" si="39"/>
        <v>3.9279019787299946E-2</v>
      </c>
    </row>
    <row r="2294" spans="6:7" x14ac:dyDescent="0.35">
      <c r="F2294">
        <v>2289</v>
      </c>
      <c r="G2294" s="102">
        <f t="shared" ca="1" si="39"/>
        <v>-2.6411161367095138E-2</v>
      </c>
    </row>
    <row r="2295" spans="6:7" x14ac:dyDescent="0.35">
      <c r="F2295">
        <v>2290</v>
      </c>
      <c r="G2295" s="102">
        <f t="shared" ca="1" si="39"/>
        <v>4.832621121535996E-2</v>
      </c>
    </row>
    <row r="2296" spans="6:7" x14ac:dyDescent="0.35">
      <c r="F2296">
        <v>2291</v>
      </c>
      <c r="G2296" s="102">
        <f t="shared" ca="1" si="39"/>
        <v>-8.2745619596679712E-2</v>
      </c>
    </row>
    <row r="2297" spans="6:7" x14ac:dyDescent="0.35">
      <c r="F2297">
        <v>2292</v>
      </c>
      <c r="G2297" s="102">
        <f t="shared" ca="1" si="39"/>
        <v>2.2080259204971336E-2</v>
      </c>
    </row>
    <row r="2298" spans="6:7" x14ac:dyDescent="0.35">
      <c r="F2298">
        <v>2293</v>
      </c>
      <c r="G2298" s="102">
        <f t="shared" ca="1" si="39"/>
        <v>1.0457218890199335E-2</v>
      </c>
    </row>
    <row r="2299" spans="6:7" x14ac:dyDescent="0.35">
      <c r="F2299">
        <v>2294</v>
      </c>
      <c r="G2299" s="102">
        <f t="shared" ca="1" si="39"/>
        <v>5.8217218540633098E-3</v>
      </c>
    </row>
    <row r="2300" spans="6:7" x14ac:dyDescent="0.35">
      <c r="F2300">
        <v>2295</v>
      </c>
      <c r="G2300" s="102">
        <f t="shared" ca="1" si="39"/>
        <v>-4.2738493069156544E-2</v>
      </c>
    </row>
    <row r="2301" spans="6:7" x14ac:dyDescent="0.35">
      <c r="F2301">
        <v>2296</v>
      </c>
      <c r="G2301" s="102">
        <f t="shared" ca="1" si="39"/>
        <v>-4.3774305588727164E-2</v>
      </c>
    </row>
    <row r="2302" spans="6:7" x14ac:dyDescent="0.35">
      <c r="F2302">
        <v>2297</v>
      </c>
      <c r="G2302" s="102">
        <f t="shared" ca="1" si="39"/>
        <v>3.6530758187741333E-2</v>
      </c>
    </row>
    <row r="2303" spans="6:7" x14ac:dyDescent="0.35">
      <c r="F2303">
        <v>2298</v>
      </c>
      <c r="G2303" s="102">
        <f t="shared" ca="1" si="39"/>
        <v>-2.115657216432023E-2</v>
      </c>
    </row>
    <row r="2304" spans="6:7" x14ac:dyDescent="0.35">
      <c r="F2304">
        <v>2299</v>
      </c>
      <c r="G2304" s="102">
        <f t="shared" ca="1" si="39"/>
        <v>5.244177185090548E-3</v>
      </c>
    </row>
    <row r="2305" spans="6:7" x14ac:dyDescent="0.35">
      <c r="F2305">
        <v>2300</v>
      </c>
      <c r="G2305" s="102">
        <f t="shared" ca="1" si="39"/>
        <v>4.717878561807469E-2</v>
      </c>
    </row>
    <row r="2306" spans="6:7" x14ac:dyDescent="0.35">
      <c r="F2306">
        <v>2301</v>
      </c>
      <c r="G2306" s="102">
        <f t="shared" ca="1" si="39"/>
        <v>8.5550039250413865E-2</v>
      </c>
    </row>
    <row r="2307" spans="6:7" x14ac:dyDescent="0.35">
      <c r="F2307">
        <v>2302</v>
      </c>
      <c r="G2307" s="102">
        <f t="shared" ca="1" si="39"/>
        <v>-0.12363747366646415</v>
      </c>
    </row>
    <row r="2308" spans="6:7" x14ac:dyDescent="0.35">
      <c r="F2308">
        <v>2303</v>
      </c>
      <c r="G2308" s="102">
        <f t="shared" ca="1" si="39"/>
        <v>-4.1487343521101006E-2</v>
      </c>
    </row>
    <row r="2309" spans="6:7" x14ac:dyDescent="0.35">
      <c r="F2309">
        <v>2304</v>
      </c>
      <c r="G2309" s="102">
        <f t="shared" ca="1" si="39"/>
        <v>1.6300661531284764E-2</v>
      </c>
    </row>
    <row r="2310" spans="6:7" x14ac:dyDescent="0.35">
      <c r="F2310">
        <v>2305</v>
      </c>
      <c r="G2310" s="102">
        <f t="shared" ca="1" si="39"/>
        <v>2.9533076780906758E-2</v>
      </c>
    </row>
    <row r="2311" spans="6:7" x14ac:dyDescent="0.35">
      <c r="F2311">
        <v>2306</v>
      </c>
      <c r="G2311" s="102">
        <f t="shared" ref="G2311:G2374" ca="1" si="40">_xlfn.NORM.INV(RAND(),M$9,M$10)</f>
        <v>2.5893726803816568E-2</v>
      </c>
    </row>
    <row r="2312" spans="6:7" x14ac:dyDescent="0.35">
      <c r="F2312">
        <v>2307</v>
      </c>
      <c r="G2312" s="102">
        <f t="shared" ca="1" si="40"/>
        <v>-1.4094615170175346E-2</v>
      </c>
    </row>
    <row r="2313" spans="6:7" x14ac:dyDescent="0.35">
      <c r="F2313">
        <v>2308</v>
      </c>
      <c r="G2313" s="102">
        <f t="shared" ca="1" si="40"/>
        <v>-0.12438198539315858</v>
      </c>
    </row>
    <row r="2314" spans="6:7" x14ac:dyDescent="0.35">
      <c r="F2314">
        <v>2309</v>
      </c>
      <c r="G2314" s="102">
        <f t="shared" ca="1" si="40"/>
        <v>3.4004069694370791E-3</v>
      </c>
    </row>
    <row r="2315" spans="6:7" x14ac:dyDescent="0.35">
      <c r="F2315">
        <v>2310</v>
      </c>
      <c r="G2315" s="102">
        <f t="shared" ca="1" si="40"/>
        <v>2.7629809531789933E-2</v>
      </c>
    </row>
    <row r="2316" spans="6:7" x14ac:dyDescent="0.35">
      <c r="F2316">
        <v>2311</v>
      </c>
      <c r="G2316" s="102">
        <f t="shared" ca="1" si="40"/>
        <v>4.558509375999964E-2</v>
      </c>
    </row>
    <row r="2317" spans="6:7" x14ac:dyDescent="0.35">
      <c r="F2317">
        <v>2312</v>
      </c>
      <c r="G2317" s="102">
        <f t="shared" ca="1" si="40"/>
        <v>5.0209836899273372E-2</v>
      </c>
    </row>
    <row r="2318" spans="6:7" x14ac:dyDescent="0.35">
      <c r="F2318">
        <v>2313</v>
      </c>
      <c r="G2318" s="102">
        <f t="shared" ca="1" si="40"/>
        <v>-7.3358324947396816E-2</v>
      </c>
    </row>
    <row r="2319" spans="6:7" x14ac:dyDescent="0.35">
      <c r="F2319">
        <v>2314</v>
      </c>
      <c r="G2319" s="102">
        <f t="shared" ca="1" si="40"/>
        <v>-2.6497967225803953E-2</v>
      </c>
    </row>
    <row r="2320" spans="6:7" x14ac:dyDescent="0.35">
      <c r="F2320">
        <v>2315</v>
      </c>
      <c r="G2320" s="102">
        <f t="shared" ca="1" si="40"/>
        <v>5.60558040534338E-2</v>
      </c>
    </row>
    <row r="2321" spans="6:7" x14ac:dyDescent="0.35">
      <c r="F2321">
        <v>2316</v>
      </c>
      <c r="G2321" s="102">
        <f t="shared" ca="1" si="40"/>
        <v>-4.2140886794353027E-4</v>
      </c>
    </row>
    <row r="2322" spans="6:7" x14ac:dyDescent="0.35">
      <c r="F2322">
        <v>2317</v>
      </c>
      <c r="G2322" s="102">
        <f t="shared" ca="1" si="40"/>
        <v>3.581080555946986E-2</v>
      </c>
    </row>
    <row r="2323" spans="6:7" x14ac:dyDescent="0.35">
      <c r="F2323">
        <v>2318</v>
      </c>
      <c r="G2323" s="102">
        <f t="shared" ca="1" si="40"/>
        <v>-0.15297448831418139</v>
      </c>
    </row>
    <row r="2324" spans="6:7" x14ac:dyDescent="0.35">
      <c r="F2324">
        <v>2319</v>
      </c>
      <c r="G2324" s="102">
        <f t="shared" ca="1" si="40"/>
        <v>-9.1941604328497489E-2</v>
      </c>
    </row>
    <row r="2325" spans="6:7" x14ac:dyDescent="0.35">
      <c r="F2325">
        <v>2320</v>
      </c>
      <c r="G2325" s="102">
        <f t="shared" ca="1" si="40"/>
        <v>7.7692564277213175E-2</v>
      </c>
    </row>
    <row r="2326" spans="6:7" x14ac:dyDescent="0.35">
      <c r="F2326">
        <v>2321</v>
      </c>
      <c r="G2326" s="102">
        <f t="shared" ca="1" si="40"/>
        <v>0.14898785788300195</v>
      </c>
    </row>
    <row r="2327" spans="6:7" x14ac:dyDescent="0.35">
      <c r="F2327">
        <v>2322</v>
      </c>
      <c r="G2327" s="102">
        <f t="shared" ca="1" si="40"/>
        <v>-5.8867282722666683E-2</v>
      </c>
    </row>
    <row r="2328" spans="6:7" x14ac:dyDescent="0.35">
      <c r="F2328">
        <v>2323</v>
      </c>
      <c r="G2328" s="102">
        <f t="shared" ca="1" si="40"/>
        <v>-4.9260671056738814E-2</v>
      </c>
    </row>
    <row r="2329" spans="6:7" x14ac:dyDescent="0.35">
      <c r="F2329">
        <v>2324</v>
      </c>
      <c r="G2329" s="102">
        <f t="shared" ca="1" si="40"/>
        <v>3.7657390118021064E-2</v>
      </c>
    </row>
    <row r="2330" spans="6:7" x14ac:dyDescent="0.35">
      <c r="F2330">
        <v>2325</v>
      </c>
      <c r="G2330" s="102">
        <f t="shared" ca="1" si="40"/>
        <v>-4.3804092235198072E-2</v>
      </c>
    </row>
    <row r="2331" spans="6:7" x14ac:dyDescent="0.35">
      <c r="F2331">
        <v>2326</v>
      </c>
      <c r="G2331" s="102">
        <f t="shared" ca="1" si="40"/>
        <v>-6.7225833668053098E-2</v>
      </c>
    </row>
    <row r="2332" spans="6:7" x14ac:dyDescent="0.35">
      <c r="F2332">
        <v>2327</v>
      </c>
      <c r="G2332" s="102">
        <f t="shared" ca="1" si="40"/>
        <v>2.4360725048319484E-2</v>
      </c>
    </row>
    <row r="2333" spans="6:7" x14ac:dyDescent="0.35">
      <c r="F2333">
        <v>2328</v>
      </c>
      <c r="G2333" s="102">
        <f t="shared" ca="1" si="40"/>
        <v>0.12249031981965304</v>
      </c>
    </row>
    <row r="2334" spans="6:7" x14ac:dyDescent="0.35">
      <c r="F2334">
        <v>2329</v>
      </c>
      <c r="G2334" s="102">
        <f t="shared" ca="1" si="40"/>
        <v>1.2389639459481312E-2</v>
      </c>
    </row>
    <row r="2335" spans="6:7" x14ac:dyDescent="0.35">
      <c r="F2335">
        <v>2330</v>
      </c>
      <c r="G2335" s="102">
        <f t="shared" ca="1" si="40"/>
        <v>1.1682169019852775E-2</v>
      </c>
    </row>
    <row r="2336" spans="6:7" x14ac:dyDescent="0.35">
      <c r="F2336">
        <v>2331</v>
      </c>
      <c r="G2336" s="102">
        <f t="shared" ca="1" si="40"/>
        <v>-6.0068727074481833E-3</v>
      </c>
    </row>
    <row r="2337" spans="6:7" x14ac:dyDescent="0.35">
      <c r="F2337">
        <v>2332</v>
      </c>
      <c r="G2337" s="102">
        <f t="shared" ca="1" si="40"/>
        <v>-3.4445207787186044E-2</v>
      </c>
    </row>
    <row r="2338" spans="6:7" x14ac:dyDescent="0.35">
      <c r="F2338">
        <v>2333</v>
      </c>
      <c r="G2338" s="102">
        <f t="shared" ca="1" si="40"/>
        <v>-8.1163111004926958E-2</v>
      </c>
    </row>
    <row r="2339" spans="6:7" x14ac:dyDescent="0.35">
      <c r="F2339">
        <v>2334</v>
      </c>
      <c r="G2339" s="102">
        <f t="shared" ca="1" si="40"/>
        <v>-1.7449953532259171E-2</v>
      </c>
    </row>
    <row r="2340" spans="6:7" x14ac:dyDescent="0.35">
      <c r="F2340">
        <v>2335</v>
      </c>
      <c r="G2340" s="102">
        <f t="shared" ca="1" si="40"/>
        <v>1.0340537380550983E-2</v>
      </c>
    </row>
    <row r="2341" spans="6:7" x14ac:dyDescent="0.35">
      <c r="F2341">
        <v>2336</v>
      </c>
      <c r="G2341" s="102">
        <f t="shared" ca="1" si="40"/>
        <v>6.7266590561264508E-2</v>
      </c>
    </row>
    <row r="2342" spans="6:7" x14ac:dyDescent="0.35">
      <c r="F2342">
        <v>2337</v>
      </c>
      <c r="G2342" s="102">
        <f t="shared" ca="1" si="40"/>
        <v>-2.2124915372976318E-2</v>
      </c>
    </row>
    <row r="2343" spans="6:7" x14ac:dyDescent="0.35">
      <c r="F2343">
        <v>2338</v>
      </c>
      <c r="G2343" s="102">
        <f t="shared" ca="1" si="40"/>
        <v>-8.5817781379411238E-3</v>
      </c>
    </row>
    <row r="2344" spans="6:7" x14ac:dyDescent="0.35">
      <c r="F2344">
        <v>2339</v>
      </c>
      <c r="G2344" s="102">
        <f t="shared" ca="1" si="40"/>
        <v>-6.6320108437417161E-2</v>
      </c>
    </row>
    <row r="2345" spans="6:7" x14ac:dyDescent="0.35">
      <c r="F2345">
        <v>2340</v>
      </c>
      <c r="G2345" s="102">
        <f t="shared" ca="1" si="40"/>
        <v>3.2264872437745465E-2</v>
      </c>
    </row>
    <row r="2346" spans="6:7" x14ac:dyDescent="0.35">
      <c r="F2346">
        <v>2341</v>
      </c>
      <c r="G2346" s="102">
        <f t="shared" ca="1" si="40"/>
        <v>-0.12169565171846256</v>
      </c>
    </row>
    <row r="2347" spans="6:7" x14ac:dyDescent="0.35">
      <c r="F2347">
        <v>2342</v>
      </c>
      <c r="G2347" s="102">
        <f t="shared" ca="1" si="40"/>
        <v>1.6074929294764482E-2</v>
      </c>
    </row>
    <row r="2348" spans="6:7" x14ac:dyDescent="0.35">
      <c r="F2348">
        <v>2343</v>
      </c>
      <c r="G2348" s="102">
        <f t="shared" ca="1" si="40"/>
        <v>-0.13146126817921522</v>
      </c>
    </row>
    <row r="2349" spans="6:7" x14ac:dyDescent="0.35">
      <c r="F2349">
        <v>2344</v>
      </c>
      <c r="G2349" s="102">
        <f t="shared" ca="1" si="40"/>
        <v>9.7289203836798302E-2</v>
      </c>
    </row>
    <row r="2350" spans="6:7" x14ac:dyDescent="0.35">
      <c r="F2350">
        <v>2345</v>
      </c>
      <c r="G2350" s="102">
        <f t="shared" ca="1" si="40"/>
        <v>4.2648448301485474E-3</v>
      </c>
    </row>
    <row r="2351" spans="6:7" x14ac:dyDescent="0.35">
      <c r="F2351">
        <v>2346</v>
      </c>
      <c r="G2351" s="102">
        <f t="shared" ca="1" si="40"/>
        <v>-7.9106223947293983E-2</v>
      </c>
    </row>
    <row r="2352" spans="6:7" x14ac:dyDescent="0.35">
      <c r="F2352">
        <v>2347</v>
      </c>
      <c r="G2352" s="102">
        <f t="shared" ca="1" si="40"/>
        <v>-1.5303763585960445E-2</v>
      </c>
    </row>
    <row r="2353" spans="6:7" x14ac:dyDescent="0.35">
      <c r="F2353">
        <v>2348</v>
      </c>
      <c r="G2353" s="102">
        <f t="shared" ca="1" si="40"/>
        <v>7.7442568885789223E-2</v>
      </c>
    </row>
    <row r="2354" spans="6:7" x14ac:dyDescent="0.35">
      <c r="F2354">
        <v>2349</v>
      </c>
      <c r="G2354" s="102">
        <f t="shared" ca="1" si="40"/>
        <v>3.6567873778970597E-2</v>
      </c>
    </row>
    <row r="2355" spans="6:7" x14ac:dyDescent="0.35">
      <c r="F2355">
        <v>2350</v>
      </c>
      <c r="G2355" s="102">
        <f t="shared" ca="1" si="40"/>
        <v>6.333159513988669E-2</v>
      </c>
    </row>
    <row r="2356" spans="6:7" x14ac:dyDescent="0.35">
      <c r="F2356">
        <v>2351</v>
      </c>
      <c r="G2356" s="102">
        <f t="shared" ca="1" si="40"/>
        <v>5.8288108750053705E-2</v>
      </c>
    </row>
    <row r="2357" spans="6:7" x14ac:dyDescent="0.35">
      <c r="F2357">
        <v>2352</v>
      </c>
      <c r="G2357" s="102">
        <f t="shared" ca="1" si="40"/>
        <v>-5.9553025575748056E-2</v>
      </c>
    </row>
    <row r="2358" spans="6:7" x14ac:dyDescent="0.35">
      <c r="F2358">
        <v>2353</v>
      </c>
      <c r="G2358" s="102">
        <f t="shared" ca="1" si="40"/>
        <v>-2.5402617117016812E-2</v>
      </c>
    </row>
    <row r="2359" spans="6:7" x14ac:dyDescent="0.35">
      <c r="F2359">
        <v>2354</v>
      </c>
      <c r="G2359" s="102">
        <f t="shared" ca="1" si="40"/>
        <v>9.9870806360405576E-3</v>
      </c>
    </row>
    <row r="2360" spans="6:7" x14ac:dyDescent="0.35">
      <c r="F2360">
        <v>2355</v>
      </c>
      <c r="G2360" s="102">
        <f t="shared" ca="1" si="40"/>
        <v>-2.9062920951604138E-2</v>
      </c>
    </row>
    <row r="2361" spans="6:7" x14ac:dyDescent="0.35">
      <c r="F2361">
        <v>2356</v>
      </c>
      <c r="G2361" s="102">
        <f t="shared" ca="1" si="40"/>
        <v>-6.0455336569883167E-2</v>
      </c>
    </row>
    <row r="2362" spans="6:7" x14ac:dyDescent="0.35">
      <c r="F2362">
        <v>2357</v>
      </c>
      <c r="G2362" s="102">
        <f t="shared" ca="1" si="40"/>
        <v>-0.13126435091562944</v>
      </c>
    </row>
    <row r="2363" spans="6:7" x14ac:dyDescent="0.35">
      <c r="F2363">
        <v>2358</v>
      </c>
      <c r="G2363" s="102">
        <f t="shared" ca="1" si="40"/>
        <v>-2.0329181465873342E-2</v>
      </c>
    </row>
    <row r="2364" spans="6:7" x14ac:dyDescent="0.35">
      <c r="F2364">
        <v>2359</v>
      </c>
      <c r="G2364" s="102">
        <f t="shared" ca="1" si="40"/>
        <v>-0.10002920025686117</v>
      </c>
    </row>
    <row r="2365" spans="6:7" x14ac:dyDescent="0.35">
      <c r="F2365">
        <v>2360</v>
      </c>
      <c r="G2365" s="102">
        <f t="shared" ca="1" si="40"/>
        <v>-8.7922750081955658E-2</v>
      </c>
    </row>
    <row r="2366" spans="6:7" x14ac:dyDescent="0.35">
      <c r="F2366">
        <v>2361</v>
      </c>
      <c r="G2366" s="102">
        <f t="shared" ca="1" si="40"/>
        <v>9.0963960650724991E-3</v>
      </c>
    </row>
    <row r="2367" spans="6:7" x14ac:dyDescent="0.35">
      <c r="F2367">
        <v>2362</v>
      </c>
      <c r="G2367" s="102">
        <f t="shared" ca="1" si="40"/>
        <v>-0.11024975872728292</v>
      </c>
    </row>
    <row r="2368" spans="6:7" x14ac:dyDescent="0.35">
      <c r="F2368">
        <v>2363</v>
      </c>
      <c r="G2368" s="102">
        <f t="shared" ca="1" si="40"/>
        <v>-9.6298859115008129E-2</v>
      </c>
    </row>
    <row r="2369" spans="6:7" x14ac:dyDescent="0.35">
      <c r="F2369">
        <v>2364</v>
      </c>
      <c r="G2369" s="102">
        <f t="shared" ca="1" si="40"/>
        <v>5.4478603673320414E-2</v>
      </c>
    </row>
    <row r="2370" spans="6:7" x14ac:dyDescent="0.35">
      <c r="F2370">
        <v>2365</v>
      </c>
      <c r="G2370" s="102">
        <f t="shared" ca="1" si="40"/>
        <v>9.5801832995447856E-3</v>
      </c>
    </row>
    <row r="2371" spans="6:7" x14ac:dyDescent="0.35">
      <c r="F2371">
        <v>2366</v>
      </c>
      <c r="G2371" s="102">
        <f t="shared" ca="1" si="40"/>
        <v>-2.6826964183541947E-2</v>
      </c>
    </row>
    <row r="2372" spans="6:7" x14ac:dyDescent="0.35">
      <c r="F2372">
        <v>2367</v>
      </c>
      <c r="G2372" s="102">
        <f t="shared" ca="1" si="40"/>
        <v>-3.0988038893799048E-2</v>
      </c>
    </row>
    <row r="2373" spans="6:7" x14ac:dyDescent="0.35">
      <c r="F2373">
        <v>2368</v>
      </c>
      <c r="G2373" s="102">
        <f t="shared" ca="1" si="40"/>
        <v>1.2774125014864988E-2</v>
      </c>
    </row>
    <row r="2374" spans="6:7" x14ac:dyDescent="0.35">
      <c r="F2374">
        <v>2369</v>
      </c>
      <c r="G2374" s="102">
        <f t="shared" ca="1" si="40"/>
        <v>-5.3252279602574115E-2</v>
      </c>
    </row>
    <row r="2375" spans="6:7" x14ac:dyDescent="0.35">
      <c r="F2375">
        <v>2370</v>
      </c>
      <c r="G2375" s="102">
        <f t="shared" ref="G2375:G2438" ca="1" si="41">_xlfn.NORM.INV(RAND(),M$9,M$10)</f>
        <v>8.8774146788891006E-2</v>
      </c>
    </row>
    <row r="2376" spans="6:7" x14ac:dyDescent="0.35">
      <c r="F2376">
        <v>2371</v>
      </c>
      <c r="G2376" s="102">
        <f t="shared" ca="1" si="41"/>
        <v>-6.6710786100054612E-2</v>
      </c>
    </row>
    <row r="2377" spans="6:7" x14ac:dyDescent="0.35">
      <c r="F2377">
        <v>2372</v>
      </c>
      <c r="G2377" s="102">
        <f t="shared" ca="1" si="41"/>
        <v>1.937076591944794E-2</v>
      </c>
    </row>
    <row r="2378" spans="6:7" x14ac:dyDescent="0.35">
      <c r="F2378">
        <v>2373</v>
      </c>
      <c r="G2378" s="102">
        <f t="shared" ca="1" si="41"/>
        <v>-6.222666348618372E-2</v>
      </c>
    </row>
    <row r="2379" spans="6:7" x14ac:dyDescent="0.35">
      <c r="F2379">
        <v>2374</v>
      </c>
      <c r="G2379" s="102">
        <f t="shared" ca="1" si="41"/>
        <v>7.5626390961917561E-2</v>
      </c>
    </row>
    <row r="2380" spans="6:7" x14ac:dyDescent="0.35">
      <c r="F2380">
        <v>2375</v>
      </c>
      <c r="G2380" s="102">
        <f t="shared" ca="1" si="41"/>
        <v>2.3582005580864165E-2</v>
      </c>
    </row>
    <row r="2381" spans="6:7" x14ac:dyDescent="0.35">
      <c r="F2381">
        <v>2376</v>
      </c>
      <c r="G2381" s="102">
        <f t="shared" ca="1" si="41"/>
        <v>-3.1343741255063604E-2</v>
      </c>
    </row>
    <row r="2382" spans="6:7" x14ac:dyDescent="0.35">
      <c r="F2382">
        <v>2377</v>
      </c>
      <c r="G2382" s="102">
        <f t="shared" ca="1" si="41"/>
        <v>-0.11381702957948044</v>
      </c>
    </row>
    <row r="2383" spans="6:7" x14ac:dyDescent="0.35">
      <c r="F2383">
        <v>2378</v>
      </c>
      <c r="G2383" s="102">
        <f t="shared" ca="1" si="41"/>
        <v>-1.8191768611270177E-2</v>
      </c>
    </row>
    <row r="2384" spans="6:7" x14ac:dyDescent="0.35">
      <c r="F2384">
        <v>2379</v>
      </c>
      <c r="G2384" s="102">
        <f t="shared" ca="1" si="41"/>
        <v>5.7551825455383704E-2</v>
      </c>
    </row>
    <row r="2385" spans="6:7" x14ac:dyDescent="0.35">
      <c r="F2385">
        <v>2380</v>
      </c>
      <c r="G2385" s="102">
        <f t="shared" ca="1" si="41"/>
        <v>4.1914798659663022E-2</v>
      </c>
    </row>
    <row r="2386" spans="6:7" x14ac:dyDescent="0.35">
      <c r="F2386">
        <v>2381</v>
      </c>
      <c r="G2386" s="102">
        <f t="shared" ca="1" si="41"/>
        <v>6.1663461592779564E-2</v>
      </c>
    </row>
    <row r="2387" spans="6:7" x14ac:dyDescent="0.35">
      <c r="F2387">
        <v>2382</v>
      </c>
      <c r="G2387" s="102">
        <f t="shared" ca="1" si="41"/>
        <v>-7.0510349350213566E-2</v>
      </c>
    </row>
    <row r="2388" spans="6:7" x14ac:dyDescent="0.35">
      <c r="F2388">
        <v>2383</v>
      </c>
      <c r="G2388" s="102">
        <f t="shared" ca="1" si="41"/>
        <v>-4.5458281174083334E-2</v>
      </c>
    </row>
    <row r="2389" spans="6:7" x14ac:dyDescent="0.35">
      <c r="F2389">
        <v>2384</v>
      </c>
      <c r="G2389" s="102">
        <f t="shared" ca="1" si="41"/>
        <v>4.5861683361612282E-2</v>
      </c>
    </row>
    <row r="2390" spans="6:7" x14ac:dyDescent="0.35">
      <c r="F2390">
        <v>2385</v>
      </c>
      <c r="G2390" s="102">
        <f t="shared" ca="1" si="41"/>
        <v>2.4122945175344499E-2</v>
      </c>
    </row>
    <row r="2391" spans="6:7" x14ac:dyDescent="0.35">
      <c r="F2391">
        <v>2386</v>
      </c>
      <c r="G2391" s="102">
        <f t="shared" ca="1" si="41"/>
        <v>-9.5478432274753458E-2</v>
      </c>
    </row>
    <row r="2392" spans="6:7" x14ac:dyDescent="0.35">
      <c r="F2392">
        <v>2387</v>
      </c>
      <c r="G2392" s="102">
        <f t="shared" ca="1" si="41"/>
        <v>2.5542290938607264E-2</v>
      </c>
    </row>
    <row r="2393" spans="6:7" x14ac:dyDescent="0.35">
      <c r="F2393">
        <v>2388</v>
      </c>
      <c r="G2393" s="102">
        <f t="shared" ca="1" si="41"/>
        <v>4.0989016495650052E-2</v>
      </c>
    </row>
    <row r="2394" spans="6:7" x14ac:dyDescent="0.35">
      <c r="F2394">
        <v>2389</v>
      </c>
      <c r="G2394" s="102">
        <f t="shared" ca="1" si="41"/>
        <v>-1.65794988242388E-2</v>
      </c>
    </row>
    <row r="2395" spans="6:7" x14ac:dyDescent="0.35">
      <c r="F2395">
        <v>2390</v>
      </c>
      <c r="G2395" s="102">
        <f t="shared" ca="1" si="41"/>
        <v>-4.1427356535995524E-2</v>
      </c>
    </row>
    <row r="2396" spans="6:7" x14ac:dyDescent="0.35">
      <c r="F2396">
        <v>2391</v>
      </c>
      <c r="G2396" s="102">
        <f t="shared" ca="1" si="41"/>
        <v>1.1136438001562613E-2</v>
      </c>
    </row>
    <row r="2397" spans="6:7" x14ac:dyDescent="0.35">
      <c r="F2397">
        <v>2392</v>
      </c>
      <c r="G2397" s="102">
        <f t="shared" ca="1" si="41"/>
        <v>-5.5771335105590611E-2</v>
      </c>
    </row>
    <row r="2398" spans="6:7" x14ac:dyDescent="0.35">
      <c r="F2398">
        <v>2393</v>
      </c>
      <c r="G2398" s="102">
        <f t="shared" ca="1" si="41"/>
        <v>7.7950828628816471E-2</v>
      </c>
    </row>
    <row r="2399" spans="6:7" x14ac:dyDescent="0.35">
      <c r="F2399">
        <v>2394</v>
      </c>
      <c r="G2399" s="102">
        <f t="shared" ca="1" si="41"/>
        <v>-4.3104774227979606E-2</v>
      </c>
    </row>
    <row r="2400" spans="6:7" x14ac:dyDescent="0.35">
      <c r="F2400">
        <v>2395</v>
      </c>
      <c r="G2400" s="102">
        <f t="shared" ca="1" si="41"/>
        <v>2.3341425220899121E-2</v>
      </c>
    </row>
    <row r="2401" spans="6:7" x14ac:dyDescent="0.35">
      <c r="F2401">
        <v>2396</v>
      </c>
      <c r="G2401" s="102">
        <f t="shared" ca="1" si="41"/>
        <v>-3.159066831554326E-2</v>
      </c>
    </row>
    <row r="2402" spans="6:7" x14ac:dyDescent="0.35">
      <c r="F2402">
        <v>2397</v>
      </c>
      <c r="G2402" s="102">
        <f t="shared" ca="1" si="41"/>
        <v>2.1017983037591843E-2</v>
      </c>
    </row>
    <row r="2403" spans="6:7" x14ac:dyDescent="0.35">
      <c r="F2403">
        <v>2398</v>
      </c>
      <c r="G2403" s="102">
        <f t="shared" ca="1" si="41"/>
        <v>2.4482136960847944E-2</v>
      </c>
    </row>
    <row r="2404" spans="6:7" x14ac:dyDescent="0.35">
      <c r="F2404">
        <v>2399</v>
      </c>
      <c r="G2404" s="102">
        <f t="shared" ca="1" si="41"/>
        <v>9.1676725292678354E-2</v>
      </c>
    </row>
    <row r="2405" spans="6:7" x14ac:dyDescent="0.35">
      <c r="F2405">
        <v>2400</v>
      </c>
      <c r="G2405" s="102">
        <f t="shared" ca="1" si="41"/>
        <v>4.916079493145549E-2</v>
      </c>
    </row>
    <row r="2406" spans="6:7" x14ac:dyDescent="0.35">
      <c r="F2406">
        <v>2401</v>
      </c>
      <c r="G2406" s="102">
        <f t="shared" ca="1" si="41"/>
        <v>7.3973372541688946E-3</v>
      </c>
    </row>
    <row r="2407" spans="6:7" x14ac:dyDescent="0.35">
      <c r="F2407">
        <v>2402</v>
      </c>
      <c r="G2407" s="102">
        <f t="shared" ca="1" si="41"/>
        <v>-6.1513503995253571E-2</v>
      </c>
    </row>
    <row r="2408" spans="6:7" x14ac:dyDescent="0.35">
      <c r="F2408">
        <v>2403</v>
      </c>
      <c r="G2408" s="102">
        <f t="shared" ca="1" si="41"/>
        <v>2.4686849073659253E-2</v>
      </c>
    </row>
    <row r="2409" spans="6:7" x14ac:dyDescent="0.35">
      <c r="F2409">
        <v>2404</v>
      </c>
      <c r="G2409" s="102">
        <f t="shared" ca="1" si="41"/>
        <v>0.10765280420899523</v>
      </c>
    </row>
    <row r="2410" spans="6:7" x14ac:dyDescent="0.35">
      <c r="F2410">
        <v>2405</v>
      </c>
      <c r="G2410" s="102">
        <f t="shared" ca="1" si="41"/>
        <v>-5.4333557257437437E-2</v>
      </c>
    </row>
    <row r="2411" spans="6:7" x14ac:dyDescent="0.35">
      <c r="F2411">
        <v>2406</v>
      </c>
      <c r="G2411" s="102">
        <f t="shared" ca="1" si="41"/>
        <v>1.91387646040782E-2</v>
      </c>
    </row>
    <row r="2412" spans="6:7" x14ac:dyDescent="0.35">
      <c r="F2412">
        <v>2407</v>
      </c>
      <c r="G2412" s="102">
        <f t="shared" ca="1" si="41"/>
        <v>-3.5856597319279433E-2</v>
      </c>
    </row>
    <row r="2413" spans="6:7" x14ac:dyDescent="0.35">
      <c r="F2413">
        <v>2408</v>
      </c>
      <c r="G2413" s="102">
        <f t="shared" ca="1" si="41"/>
        <v>-5.3520024778508377E-3</v>
      </c>
    </row>
    <row r="2414" spans="6:7" x14ac:dyDescent="0.35">
      <c r="F2414">
        <v>2409</v>
      </c>
      <c r="G2414" s="102">
        <f t="shared" ca="1" si="41"/>
        <v>-4.3755110207123818E-3</v>
      </c>
    </row>
    <row r="2415" spans="6:7" x14ac:dyDescent="0.35">
      <c r="F2415">
        <v>2410</v>
      </c>
      <c r="G2415" s="102">
        <f t="shared" ca="1" si="41"/>
        <v>-4.3425289073101073E-2</v>
      </c>
    </row>
    <row r="2416" spans="6:7" x14ac:dyDescent="0.35">
      <c r="F2416">
        <v>2411</v>
      </c>
      <c r="G2416" s="102">
        <f t="shared" ca="1" si="41"/>
        <v>2.6147327628369341E-3</v>
      </c>
    </row>
    <row r="2417" spans="6:7" x14ac:dyDescent="0.35">
      <c r="F2417">
        <v>2412</v>
      </c>
      <c r="G2417" s="102">
        <f t="shared" ca="1" si="41"/>
        <v>-2.3234817256722728E-2</v>
      </c>
    </row>
    <row r="2418" spans="6:7" x14ac:dyDescent="0.35">
      <c r="F2418">
        <v>2413</v>
      </c>
      <c r="G2418" s="102">
        <f t="shared" ca="1" si="41"/>
        <v>-8.5252380224832128E-2</v>
      </c>
    </row>
    <row r="2419" spans="6:7" x14ac:dyDescent="0.35">
      <c r="F2419">
        <v>2414</v>
      </c>
      <c r="G2419" s="102">
        <f t="shared" ca="1" si="41"/>
        <v>-9.9737756287643559E-2</v>
      </c>
    </row>
    <row r="2420" spans="6:7" x14ac:dyDescent="0.35">
      <c r="F2420">
        <v>2415</v>
      </c>
      <c r="G2420" s="102">
        <f t="shared" ca="1" si="41"/>
        <v>3.269985302336903E-2</v>
      </c>
    </row>
    <row r="2421" spans="6:7" x14ac:dyDescent="0.35">
      <c r="F2421">
        <v>2416</v>
      </c>
      <c r="G2421" s="102">
        <f t="shared" ca="1" si="41"/>
        <v>6.6976852151821673E-3</v>
      </c>
    </row>
    <row r="2422" spans="6:7" x14ac:dyDescent="0.35">
      <c r="F2422">
        <v>2417</v>
      </c>
      <c r="G2422" s="102">
        <f t="shared" ca="1" si="41"/>
        <v>-4.3735145186398955E-2</v>
      </c>
    </row>
    <row r="2423" spans="6:7" x14ac:dyDescent="0.35">
      <c r="F2423">
        <v>2418</v>
      </c>
      <c r="G2423" s="102">
        <f t="shared" ca="1" si="41"/>
        <v>2.8280983389593683E-2</v>
      </c>
    </row>
    <row r="2424" spans="6:7" x14ac:dyDescent="0.35">
      <c r="F2424">
        <v>2419</v>
      </c>
      <c r="G2424" s="102">
        <f t="shared" ca="1" si="41"/>
        <v>-7.1110184475970062E-2</v>
      </c>
    </row>
    <row r="2425" spans="6:7" x14ac:dyDescent="0.35">
      <c r="F2425">
        <v>2420</v>
      </c>
      <c r="G2425" s="102">
        <f t="shared" ca="1" si="41"/>
        <v>6.2956133790722679E-2</v>
      </c>
    </row>
    <row r="2426" spans="6:7" x14ac:dyDescent="0.35">
      <c r="F2426">
        <v>2421</v>
      </c>
      <c r="G2426" s="102">
        <f t="shared" ca="1" si="41"/>
        <v>5.3022702307405391E-3</v>
      </c>
    </row>
    <row r="2427" spans="6:7" x14ac:dyDescent="0.35">
      <c r="F2427">
        <v>2422</v>
      </c>
      <c r="G2427" s="102">
        <f t="shared" ca="1" si="41"/>
        <v>-2.2257460326489759E-2</v>
      </c>
    </row>
    <row r="2428" spans="6:7" x14ac:dyDescent="0.35">
      <c r="F2428">
        <v>2423</v>
      </c>
      <c r="G2428" s="102">
        <f t="shared" ca="1" si="41"/>
        <v>3.5884091919966762E-2</v>
      </c>
    </row>
    <row r="2429" spans="6:7" x14ac:dyDescent="0.35">
      <c r="F2429">
        <v>2424</v>
      </c>
      <c r="G2429" s="102">
        <f t="shared" ca="1" si="41"/>
        <v>-5.7539181526230915E-2</v>
      </c>
    </row>
    <row r="2430" spans="6:7" x14ac:dyDescent="0.35">
      <c r="F2430">
        <v>2425</v>
      </c>
      <c r="G2430" s="102">
        <f t="shared" ca="1" si="41"/>
        <v>-1.1177601888452782E-2</v>
      </c>
    </row>
    <row r="2431" spans="6:7" x14ac:dyDescent="0.35">
      <c r="F2431">
        <v>2426</v>
      </c>
      <c r="G2431" s="102">
        <f t="shared" ca="1" si="41"/>
        <v>4.7065838074836441E-2</v>
      </c>
    </row>
    <row r="2432" spans="6:7" x14ac:dyDescent="0.35">
      <c r="F2432">
        <v>2427</v>
      </c>
      <c r="G2432" s="102">
        <f t="shared" ca="1" si="41"/>
        <v>-5.2188334320152671E-2</v>
      </c>
    </row>
    <row r="2433" spans="6:7" x14ac:dyDescent="0.35">
      <c r="F2433">
        <v>2428</v>
      </c>
      <c r="G2433" s="102">
        <f t="shared" ca="1" si="41"/>
        <v>6.0721046207681401E-2</v>
      </c>
    </row>
    <row r="2434" spans="6:7" x14ac:dyDescent="0.35">
      <c r="F2434">
        <v>2429</v>
      </c>
      <c r="G2434" s="102">
        <f t="shared" ca="1" si="41"/>
        <v>9.561854544403928E-3</v>
      </c>
    </row>
    <row r="2435" spans="6:7" x14ac:dyDescent="0.35">
      <c r="F2435">
        <v>2430</v>
      </c>
      <c r="G2435" s="102">
        <f t="shared" ca="1" si="41"/>
        <v>7.0777657442018263E-2</v>
      </c>
    </row>
    <row r="2436" spans="6:7" x14ac:dyDescent="0.35">
      <c r="F2436">
        <v>2431</v>
      </c>
      <c r="G2436" s="102">
        <f t="shared" ca="1" si="41"/>
        <v>-1.019988556739642E-2</v>
      </c>
    </row>
    <row r="2437" spans="6:7" x14ac:dyDescent="0.35">
      <c r="F2437">
        <v>2432</v>
      </c>
      <c r="G2437" s="102">
        <f t="shared" ca="1" si="41"/>
        <v>3.1113949066334131E-2</v>
      </c>
    </row>
    <row r="2438" spans="6:7" x14ac:dyDescent="0.35">
      <c r="F2438">
        <v>2433</v>
      </c>
      <c r="G2438" s="102">
        <f t="shared" ca="1" si="41"/>
        <v>3.6989003504103113E-2</v>
      </c>
    </row>
    <row r="2439" spans="6:7" x14ac:dyDescent="0.35">
      <c r="F2439">
        <v>2434</v>
      </c>
      <c r="G2439" s="102">
        <f t="shared" ref="G2439:G2502" ca="1" si="42">_xlfn.NORM.INV(RAND(),M$9,M$10)</f>
        <v>0.1174707224424411</v>
      </c>
    </row>
    <row r="2440" spans="6:7" x14ac:dyDescent="0.35">
      <c r="F2440">
        <v>2435</v>
      </c>
      <c r="G2440" s="102">
        <f t="shared" ca="1" si="42"/>
        <v>0.15015183419318637</v>
      </c>
    </row>
    <row r="2441" spans="6:7" x14ac:dyDescent="0.35">
      <c r="F2441">
        <v>2436</v>
      </c>
      <c r="G2441" s="102">
        <f t="shared" ca="1" si="42"/>
        <v>5.5853623309098897E-3</v>
      </c>
    </row>
    <row r="2442" spans="6:7" x14ac:dyDescent="0.35">
      <c r="F2442">
        <v>2437</v>
      </c>
      <c r="G2442" s="102">
        <f t="shared" ca="1" si="42"/>
        <v>-8.1217164865594646E-2</v>
      </c>
    </row>
    <row r="2443" spans="6:7" x14ac:dyDescent="0.35">
      <c r="F2443">
        <v>2438</v>
      </c>
      <c r="G2443" s="102">
        <f t="shared" ca="1" si="42"/>
        <v>9.8336053721595734E-2</v>
      </c>
    </row>
    <row r="2444" spans="6:7" x14ac:dyDescent="0.35">
      <c r="F2444">
        <v>2439</v>
      </c>
      <c r="G2444" s="102">
        <f t="shared" ca="1" si="42"/>
        <v>-2.9908150906614712E-2</v>
      </c>
    </row>
    <row r="2445" spans="6:7" x14ac:dyDescent="0.35">
      <c r="F2445">
        <v>2440</v>
      </c>
      <c r="G2445" s="102">
        <f t="shared" ca="1" si="42"/>
        <v>2.9419975200770849E-2</v>
      </c>
    </row>
    <row r="2446" spans="6:7" x14ac:dyDescent="0.35">
      <c r="F2446">
        <v>2441</v>
      </c>
      <c r="G2446" s="102">
        <f t="shared" ca="1" si="42"/>
        <v>-3.3853827451487392E-2</v>
      </c>
    </row>
    <row r="2447" spans="6:7" x14ac:dyDescent="0.35">
      <c r="F2447">
        <v>2442</v>
      </c>
      <c r="G2447" s="102">
        <f t="shared" ca="1" si="42"/>
        <v>3.4351112998993266E-2</v>
      </c>
    </row>
    <row r="2448" spans="6:7" x14ac:dyDescent="0.35">
      <c r="F2448">
        <v>2443</v>
      </c>
      <c r="G2448" s="102">
        <f t="shared" ca="1" si="42"/>
        <v>-6.4743089064216806E-3</v>
      </c>
    </row>
    <row r="2449" spans="6:7" x14ac:dyDescent="0.35">
      <c r="F2449">
        <v>2444</v>
      </c>
      <c r="G2449" s="102">
        <f t="shared" ca="1" si="42"/>
        <v>-9.3045119255659101E-2</v>
      </c>
    </row>
    <row r="2450" spans="6:7" x14ac:dyDescent="0.35">
      <c r="F2450">
        <v>2445</v>
      </c>
      <c r="G2450" s="102">
        <f t="shared" ca="1" si="42"/>
        <v>-7.59553305741794E-2</v>
      </c>
    </row>
    <row r="2451" spans="6:7" x14ac:dyDescent="0.35">
      <c r="F2451">
        <v>2446</v>
      </c>
      <c r="G2451" s="102">
        <f t="shared" ca="1" si="42"/>
        <v>-6.730683690851065E-2</v>
      </c>
    </row>
    <row r="2452" spans="6:7" x14ac:dyDescent="0.35">
      <c r="F2452">
        <v>2447</v>
      </c>
      <c r="G2452" s="102">
        <f t="shared" ca="1" si="42"/>
        <v>7.7112888008044368E-4</v>
      </c>
    </row>
    <row r="2453" spans="6:7" x14ac:dyDescent="0.35">
      <c r="F2453">
        <v>2448</v>
      </c>
      <c r="G2453" s="102">
        <f t="shared" ca="1" si="42"/>
        <v>-2.7021046796207586E-2</v>
      </c>
    </row>
    <row r="2454" spans="6:7" x14ac:dyDescent="0.35">
      <c r="F2454">
        <v>2449</v>
      </c>
      <c r="G2454" s="102">
        <f t="shared" ca="1" si="42"/>
        <v>7.5594283131267842E-2</v>
      </c>
    </row>
    <row r="2455" spans="6:7" x14ac:dyDescent="0.35">
      <c r="F2455">
        <v>2450</v>
      </c>
      <c r="G2455" s="102">
        <f t="shared" ca="1" si="42"/>
        <v>-3.4791716879843365E-2</v>
      </c>
    </row>
    <row r="2456" spans="6:7" x14ac:dyDescent="0.35">
      <c r="F2456">
        <v>2451</v>
      </c>
      <c r="G2456" s="102">
        <f t="shared" ca="1" si="42"/>
        <v>-9.691707645089559E-2</v>
      </c>
    </row>
    <row r="2457" spans="6:7" x14ac:dyDescent="0.35">
      <c r="F2457">
        <v>2452</v>
      </c>
      <c r="G2457" s="102">
        <f t="shared" ca="1" si="42"/>
        <v>3.1421811210663991E-3</v>
      </c>
    </row>
    <row r="2458" spans="6:7" x14ac:dyDescent="0.35">
      <c r="F2458">
        <v>2453</v>
      </c>
      <c r="G2458" s="102">
        <f t="shared" ca="1" si="42"/>
        <v>-4.0770596140777948E-3</v>
      </c>
    </row>
    <row r="2459" spans="6:7" x14ac:dyDescent="0.35">
      <c r="F2459">
        <v>2454</v>
      </c>
      <c r="G2459" s="102">
        <f t="shared" ca="1" si="42"/>
        <v>-1.2775801469303915E-2</v>
      </c>
    </row>
    <row r="2460" spans="6:7" x14ac:dyDescent="0.35">
      <c r="F2460">
        <v>2455</v>
      </c>
      <c r="G2460" s="102">
        <f t="shared" ca="1" si="42"/>
        <v>-1.669393082281994E-2</v>
      </c>
    </row>
    <row r="2461" spans="6:7" x14ac:dyDescent="0.35">
      <c r="F2461">
        <v>2456</v>
      </c>
      <c r="G2461" s="102">
        <f t="shared" ca="1" si="42"/>
        <v>9.9284574315471903E-3</v>
      </c>
    </row>
    <row r="2462" spans="6:7" x14ac:dyDescent="0.35">
      <c r="F2462">
        <v>2457</v>
      </c>
      <c r="G2462" s="102">
        <f t="shared" ca="1" si="42"/>
        <v>-1.0951157581615568E-4</v>
      </c>
    </row>
    <row r="2463" spans="6:7" x14ac:dyDescent="0.35">
      <c r="F2463">
        <v>2458</v>
      </c>
      <c r="G2463" s="102">
        <f t="shared" ca="1" si="42"/>
        <v>-0.12331453295863637</v>
      </c>
    </row>
    <row r="2464" spans="6:7" x14ac:dyDescent="0.35">
      <c r="F2464">
        <v>2459</v>
      </c>
      <c r="G2464" s="102">
        <f t="shared" ca="1" si="42"/>
        <v>-7.3678943623798579E-2</v>
      </c>
    </row>
    <row r="2465" spans="6:7" x14ac:dyDescent="0.35">
      <c r="F2465">
        <v>2460</v>
      </c>
      <c r="G2465" s="102">
        <f t="shared" ca="1" si="42"/>
        <v>8.4317896978556312E-3</v>
      </c>
    </row>
    <row r="2466" spans="6:7" x14ac:dyDescent="0.35">
      <c r="F2466">
        <v>2461</v>
      </c>
      <c r="G2466" s="102">
        <f t="shared" ca="1" si="42"/>
        <v>6.6224846796287151E-2</v>
      </c>
    </row>
    <row r="2467" spans="6:7" x14ac:dyDescent="0.35">
      <c r="F2467">
        <v>2462</v>
      </c>
      <c r="G2467" s="102">
        <f t="shared" ca="1" si="42"/>
        <v>4.0169828452158912E-2</v>
      </c>
    </row>
    <row r="2468" spans="6:7" x14ac:dyDescent="0.35">
      <c r="F2468">
        <v>2463</v>
      </c>
      <c r="G2468" s="102">
        <f t="shared" ca="1" si="42"/>
        <v>7.825576898078104E-4</v>
      </c>
    </row>
    <row r="2469" spans="6:7" x14ac:dyDescent="0.35">
      <c r="F2469">
        <v>2464</v>
      </c>
      <c r="G2469" s="102">
        <f t="shared" ca="1" si="42"/>
        <v>-1.3875488500992446E-2</v>
      </c>
    </row>
    <row r="2470" spans="6:7" x14ac:dyDescent="0.35">
      <c r="F2470">
        <v>2465</v>
      </c>
      <c r="G2470" s="102">
        <f t="shared" ca="1" si="42"/>
        <v>2.3984510542429314E-2</v>
      </c>
    </row>
    <row r="2471" spans="6:7" x14ac:dyDescent="0.35">
      <c r="F2471">
        <v>2466</v>
      </c>
      <c r="G2471" s="102">
        <f t="shared" ca="1" si="42"/>
        <v>8.0999450295810724E-2</v>
      </c>
    </row>
    <row r="2472" spans="6:7" x14ac:dyDescent="0.35">
      <c r="F2472">
        <v>2467</v>
      </c>
      <c r="G2472" s="102">
        <f t="shared" ca="1" si="42"/>
        <v>-4.4148115274968411E-2</v>
      </c>
    </row>
    <row r="2473" spans="6:7" x14ac:dyDescent="0.35">
      <c r="F2473">
        <v>2468</v>
      </c>
      <c r="G2473" s="102">
        <f t="shared" ca="1" si="42"/>
        <v>-2.7708561154318939E-2</v>
      </c>
    </row>
    <row r="2474" spans="6:7" x14ac:dyDescent="0.35">
      <c r="F2474">
        <v>2469</v>
      </c>
      <c r="G2474" s="102">
        <f t="shared" ca="1" si="42"/>
        <v>1.8698101568955686E-2</v>
      </c>
    </row>
    <row r="2475" spans="6:7" x14ac:dyDescent="0.35">
      <c r="F2475">
        <v>2470</v>
      </c>
      <c r="G2475" s="102">
        <f t="shared" ca="1" si="42"/>
        <v>1.6668546710720905E-2</v>
      </c>
    </row>
    <row r="2476" spans="6:7" x14ac:dyDescent="0.35">
      <c r="F2476">
        <v>2471</v>
      </c>
      <c r="G2476" s="102">
        <f t="shared" ca="1" si="42"/>
        <v>-9.7653713342279264E-2</v>
      </c>
    </row>
    <row r="2477" spans="6:7" x14ac:dyDescent="0.35">
      <c r="F2477">
        <v>2472</v>
      </c>
      <c r="G2477" s="102">
        <f t="shared" ca="1" si="42"/>
        <v>-1.594836949232472E-2</v>
      </c>
    </row>
    <row r="2478" spans="6:7" x14ac:dyDescent="0.35">
      <c r="F2478">
        <v>2473</v>
      </c>
      <c r="G2478" s="102">
        <f t="shared" ca="1" si="42"/>
        <v>-4.2650227733960142E-2</v>
      </c>
    </row>
    <row r="2479" spans="6:7" x14ac:dyDescent="0.35">
      <c r="F2479">
        <v>2474</v>
      </c>
      <c r="G2479" s="102">
        <f t="shared" ca="1" si="42"/>
        <v>-7.5741326179959073E-2</v>
      </c>
    </row>
    <row r="2480" spans="6:7" x14ac:dyDescent="0.35">
      <c r="F2480">
        <v>2475</v>
      </c>
      <c r="G2480" s="102">
        <f t="shared" ca="1" si="42"/>
        <v>-7.4317025039800949E-2</v>
      </c>
    </row>
    <row r="2481" spans="6:7" x14ac:dyDescent="0.35">
      <c r="F2481">
        <v>2476</v>
      </c>
      <c r="G2481" s="102">
        <f t="shared" ca="1" si="42"/>
        <v>-4.9402687277310023E-2</v>
      </c>
    </row>
    <row r="2482" spans="6:7" x14ac:dyDescent="0.35">
      <c r="F2482">
        <v>2477</v>
      </c>
      <c r="G2482" s="102">
        <f t="shared" ca="1" si="42"/>
        <v>-1.0462370549327553E-2</v>
      </c>
    </row>
    <row r="2483" spans="6:7" x14ac:dyDescent="0.35">
      <c r="F2483">
        <v>2478</v>
      </c>
      <c r="G2483" s="102">
        <f t="shared" ca="1" si="42"/>
        <v>2.5757305438910406E-2</v>
      </c>
    </row>
    <row r="2484" spans="6:7" x14ac:dyDescent="0.35">
      <c r="F2484">
        <v>2479</v>
      </c>
      <c r="G2484" s="102">
        <f t="shared" ca="1" si="42"/>
        <v>-7.2850606853827882E-2</v>
      </c>
    </row>
    <row r="2485" spans="6:7" x14ac:dyDescent="0.35">
      <c r="F2485">
        <v>2480</v>
      </c>
      <c r="G2485" s="102">
        <f t="shared" ca="1" si="42"/>
        <v>-6.7530091043666293E-2</v>
      </c>
    </row>
    <row r="2486" spans="6:7" x14ac:dyDescent="0.35">
      <c r="F2486">
        <v>2481</v>
      </c>
      <c r="G2486" s="102">
        <f t="shared" ca="1" si="42"/>
        <v>1.3695844297970439E-2</v>
      </c>
    </row>
    <row r="2487" spans="6:7" x14ac:dyDescent="0.35">
      <c r="F2487">
        <v>2482</v>
      </c>
      <c r="G2487" s="102">
        <f t="shared" ca="1" si="42"/>
        <v>-6.0114197252297163E-2</v>
      </c>
    </row>
    <row r="2488" spans="6:7" x14ac:dyDescent="0.35">
      <c r="F2488">
        <v>2483</v>
      </c>
      <c r="G2488" s="102">
        <f t="shared" ca="1" si="42"/>
        <v>-5.1421445096176022E-2</v>
      </c>
    </row>
    <row r="2489" spans="6:7" x14ac:dyDescent="0.35">
      <c r="F2489">
        <v>2484</v>
      </c>
      <c r="G2489" s="102">
        <f t="shared" ca="1" si="42"/>
        <v>-3.6427268805721114E-2</v>
      </c>
    </row>
    <row r="2490" spans="6:7" x14ac:dyDescent="0.35">
      <c r="F2490">
        <v>2485</v>
      </c>
      <c r="G2490" s="102">
        <f t="shared" ca="1" si="42"/>
        <v>3.1705741821080893E-2</v>
      </c>
    </row>
    <row r="2491" spans="6:7" x14ac:dyDescent="0.35">
      <c r="F2491">
        <v>2486</v>
      </c>
      <c r="G2491" s="102">
        <f t="shared" ca="1" si="42"/>
        <v>-2.3165990564780498E-2</v>
      </c>
    </row>
    <row r="2492" spans="6:7" x14ac:dyDescent="0.35">
      <c r="F2492">
        <v>2487</v>
      </c>
      <c r="G2492" s="102">
        <f t="shared" ca="1" si="42"/>
        <v>-1.7482802576274208E-2</v>
      </c>
    </row>
    <row r="2493" spans="6:7" x14ac:dyDescent="0.35">
      <c r="F2493">
        <v>2488</v>
      </c>
      <c r="G2493" s="102">
        <f t="shared" ca="1" si="42"/>
        <v>-0.16945079637260793</v>
      </c>
    </row>
    <row r="2494" spans="6:7" x14ac:dyDescent="0.35">
      <c r="F2494">
        <v>2489</v>
      </c>
      <c r="G2494" s="102">
        <f t="shared" ca="1" si="42"/>
        <v>-5.7005122654285548E-2</v>
      </c>
    </row>
    <row r="2495" spans="6:7" x14ac:dyDescent="0.35">
      <c r="F2495">
        <v>2490</v>
      </c>
      <c r="G2495" s="102">
        <f t="shared" ca="1" si="42"/>
        <v>3.0946164163442053E-2</v>
      </c>
    </row>
    <row r="2496" spans="6:7" x14ac:dyDescent="0.35">
      <c r="F2496">
        <v>2491</v>
      </c>
      <c r="G2496" s="102">
        <f t="shared" ca="1" si="42"/>
        <v>-6.9710195477830639E-3</v>
      </c>
    </row>
    <row r="2497" spans="6:7" x14ac:dyDescent="0.35">
      <c r="F2497">
        <v>2492</v>
      </c>
      <c r="G2497" s="102">
        <f t="shared" ca="1" si="42"/>
        <v>-1.4227784537967813E-2</v>
      </c>
    </row>
    <row r="2498" spans="6:7" x14ac:dyDescent="0.35">
      <c r="F2498">
        <v>2493</v>
      </c>
      <c r="G2498" s="102">
        <f t="shared" ca="1" si="42"/>
        <v>-8.0709722937611653E-2</v>
      </c>
    </row>
    <row r="2499" spans="6:7" x14ac:dyDescent="0.35">
      <c r="F2499">
        <v>2494</v>
      </c>
      <c r="G2499" s="102">
        <f t="shared" ca="1" si="42"/>
        <v>-4.8633921250018544E-2</v>
      </c>
    </row>
    <row r="2500" spans="6:7" x14ac:dyDescent="0.35">
      <c r="F2500">
        <v>2495</v>
      </c>
      <c r="G2500" s="102">
        <f t="shared" ca="1" si="42"/>
        <v>-1.7942350162045186E-2</v>
      </c>
    </row>
    <row r="2501" spans="6:7" x14ac:dyDescent="0.35">
      <c r="F2501">
        <v>2496</v>
      </c>
      <c r="G2501" s="102">
        <f t="shared" ca="1" si="42"/>
        <v>-0.11846218255199877</v>
      </c>
    </row>
    <row r="2502" spans="6:7" x14ac:dyDescent="0.35">
      <c r="F2502">
        <v>2497</v>
      </c>
      <c r="G2502" s="102">
        <f t="shared" ca="1" si="42"/>
        <v>-4.6073383622009786E-2</v>
      </c>
    </row>
    <row r="2503" spans="6:7" x14ac:dyDescent="0.35">
      <c r="F2503">
        <v>2498</v>
      </c>
      <c r="G2503" s="102">
        <f t="shared" ref="G2503:G2566" ca="1" si="43">_xlfn.NORM.INV(RAND(),M$9,M$10)</f>
        <v>-2.6413988384434643E-2</v>
      </c>
    </row>
    <row r="2504" spans="6:7" x14ac:dyDescent="0.35">
      <c r="F2504">
        <v>2499</v>
      </c>
      <c r="G2504" s="102">
        <f t="shared" ca="1" si="43"/>
        <v>4.292780967889466E-2</v>
      </c>
    </row>
    <row r="2505" spans="6:7" x14ac:dyDescent="0.35">
      <c r="F2505">
        <v>2500</v>
      </c>
      <c r="G2505" s="102">
        <f t="shared" ca="1" si="43"/>
        <v>-5.1134121383724501E-4</v>
      </c>
    </row>
    <row r="2506" spans="6:7" x14ac:dyDescent="0.35">
      <c r="F2506">
        <v>2501</v>
      </c>
      <c r="G2506" s="102">
        <f t="shared" ca="1" si="43"/>
        <v>7.9109098099449209E-3</v>
      </c>
    </row>
    <row r="2507" spans="6:7" x14ac:dyDescent="0.35">
      <c r="F2507">
        <v>2502</v>
      </c>
      <c r="G2507" s="102">
        <f t="shared" ca="1" si="43"/>
        <v>8.75718321022569E-2</v>
      </c>
    </row>
    <row r="2508" spans="6:7" x14ac:dyDescent="0.35">
      <c r="F2508">
        <v>2503</v>
      </c>
      <c r="G2508" s="102">
        <f t="shared" ca="1" si="43"/>
        <v>1.073758813092587E-2</v>
      </c>
    </row>
    <row r="2509" spans="6:7" x14ac:dyDescent="0.35">
      <c r="F2509">
        <v>2504</v>
      </c>
      <c r="G2509" s="102">
        <f t="shared" ca="1" si="43"/>
        <v>9.3229591078526783E-2</v>
      </c>
    </row>
    <row r="2510" spans="6:7" x14ac:dyDescent="0.35">
      <c r="F2510">
        <v>2505</v>
      </c>
      <c r="G2510" s="102">
        <f t="shared" ca="1" si="43"/>
        <v>-4.2316878990848683E-2</v>
      </c>
    </row>
    <row r="2511" spans="6:7" x14ac:dyDescent="0.35">
      <c r="F2511">
        <v>2506</v>
      </c>
      <c r="G2511" s="102">
        <f t="shared" ca="1" si="43"/>
        <v>9.7781571216496652E-3</v>
      </c>
    </row>
    <row r="2512" spans="6:7" x14ac:dyDescent="0.35">
      <c r="F2512">
        <v>2507</v>
      </c>
      <c r="G2512" s="102">
        <f t="shared" ca="1" si="43"/>
        <v>-1.5276807570942482E-2</v>
      </c>
    </row>
    <row r="2513" spans="6:7" x14ac:dyDescent="0.35">
      <c r="F2513">
        <v>2508</v>
      </c>
      <c r="G2513" s="102">
        <f t="shared" ca="1" si="43"/>
        <v>4.3293294314302233E-2</v>
      </c>
    </row>
    <row r="2514" spans="6:7" x14ac:dyDescent="0.35">
      <c r="F2514">
        <v>2509</v>
      </c>
      <c r="G2514" s="102">
        <f t="shared" ca="1" si="43"/>
        <v>8.1202951407178744E-2</v>
      </c>
    </row>
    <row r="2515" spans="6:7" x14ac:dyDescent="0.35">
      <c r="F2515">
        <v>2510</v>
      </c>
      <c r="G2515" s="102">
        <f t="shared" ca="1" si="43"/>
        <v>5.7336474150371432E-3</v>
      </c>
    </row>
    <row r="2516" spans="6:7" x14ac:dyDescent="0.35">
      <c r="F2516">
        <v>2511</v>
      </c>
      <c r="G2516" s="102">
        <f t="shared" ca="1" si="43"/>
        <v>1.0477498210302628E-2</v>
      </c>
    </row>
    <row r="2517" spans="6:7" x14ac:dyDescent="0.35">
      <c r="F2517">
        <v>2512</v>
      </c>
      <c r="G2517" s="102">
        <f t="shared" ca="1" si="43"/>
        <v>-6.6003312133592326E-2</v>
      </c>
    </row>
    <row r="2518" spans="6:7" x14ac:dyDescent="0.35">
      <c r="F2518">
        <v>2513</v>
      </c>
      <c r="G2518" s="102">
        <f t="shared" ca="1" si="43"/>
        <v>2.5132002040190286E-2</v>
      </c>
    </row>
    <row r="2519" spans="6:7" x14ac:dyDescent="0.35">
      <c r="F2519">
        <v>2514</v>
      </c>
      <c r="G2519" s="102">
        <f t="shared" ca="1" si="43"/>
        <v>-9.1813821428926509E-3</v>
      </c>
    </row>
    <row r="2520" spans="6:7" x14ac:dyDescent="0.35">
      <c r="F2520">
        <v>2515</v>
      </c>
      <c r="G2520" s="102">
        <f t="shared" ca="1" si="43"/>
        <v>4.9183786642753496E-2</v>
      </c>
    </row>
    <row r="2521" spans="6:7" x14ac:dyDescent="0.35">
      <c r="F2521">
        <v>2516</v>
      </c>
      <c r="G2521" s="102">
        <f t="shared" ca="1" si="43"/>
        <v>-7.3509395470349612E-2</v>
      </c>
    </row>
    <row r="2522" spans="6:7" x14ac:dyDescent="0.35">
      <c r="F2522">
        <v>2517</v>
      </c>
      <c r="G2522" s="102">
        <f t="shared" ca="1" si="43"/>
        <v>-3.5627234396283284E-3</v>
      </c>
    </row>
    <row r="2523" spans="6:7" x14ac:dyDescent="0.35">
      <c r="F2523">
        <v>2518</v>
      </c>
      <c r="G2523" s="102">
        <f t="shared" ca="1" si="43"/>
        <v>5.8276507517587672E-2</v>
      </c>
    </row>
    <row r="2524" spans="6:7" x14ac:dyDescent="0.35">
      <c r="F2524">
        <v>2519</v>
      </c>
      <c r="G2524" s="102">
        <f t="shared" ca="1" si="43"/>
        <v>-8.2735245171110847E-2</v>
      </c>
    </row>
    <row r="2525" spans="6:7" x14ac:dyDescent="0.35">
      <c r="F2525">
        <v>2520</v>
      </c>
      <c r="G2525" s="102">
        <f t="shared" ca="1" si="43"/>
        <v>1.251543405878199E-3</v>
      </c>
    </row>
    <row r="2526" spans="6:7" x14ac:dyDescent="0.35">
      <c r="F2526">
        <v>2521</v>
      </c>
      <c r="G2526" s="102">
        <f t="shared" ca="1" si="43"/>
        <v>-2.1165872693717884E-2</v>
      </c>
    </row>
    <row r="2527" spans="6:7" x14ac:dyDescent="0.35">
      <c r="F2527">
        <v>2522</v>
      </c>
      <c r="G2527" s="102">
        <f t="shared" ca="1" si="43"/>
        <v>-4.8244392847402187E-2</v>
      </c>
    </row>
    <row r="2528" spans="6:7" x14ac:dyDescent="0.35">
      <c r="F2528">
        <v>2523</v>
      </c>
      <c r="G2528" s="102">
        <f t="shared" ca="1" si="43"/>
        <v>2.5490224325734698E-3</v>
      </c>
    </row>
    <row r="2529" spans="6:7" x14ac:dyDescent="0.35">
      <c r="F2529">
        <v>2524</v>
      </c>
      <c r="G2529" s="102">
        <f t="shared" ca="1" si="43"/>
        <v>-9.843976009817134E-3</v>
      </c>
    </row>
    <row r="2530" spans="6:7" x14ac:dyDescent="0.35">
      <c r="F2530">
        <v>2525</v>
      </c>
      <c r="G2530" s="102">
        <f t="shared" ca="1" si="43"/>
        <v>3.6935824817155377E-2</v>
      </c>
    </row>
    <row r="2531" spans="6:7" x14ac:dyDescent="0.35">
      <c r="F2531">
        <v>2526</v>
      </c>
      <c r="G2531" s="102">
        <f t="shared" ca="1" si="43"/>
        <v>-3.3772069959293848E-2</v>
      </c>
    </row>
    <row r="2532" spans="6:7" x14ac:dyDescent="0.35">
      <c r="F2532">
        <v>2527</v>
      </c>
      <c r="G2532" s="102">
        <f t="shared" ca="1" si="43"/>
        <v>6.5281612764604174E-2</v>
      </c>
    </row>
    <row r="2533" spans="6:7" x14ac:dyDescent="0.35">
      <c r="F2533">
        <v>2528</v>
      </c>
      <c r="G2533" s="102">
        <f t="shared" ca="1" si="43"/>
        <v>-2.2678710670368984E-2</v>
      </c>
    </row>
    <row r="2534" spans="6:7" x14ac:dyDescent="0.35">
      <c r="F2534">
        <v>2529</v>
      </c>
      <c r="G2534" s="102">
        <f t="shared" ca="1" si="43"/>
        <v>3.3973816840608795E-2</v>
      </c>
    </row>
    <row r="2535" spans="6:7" x14ac:dyDescent="0.35">
      <c r="F2535">
        <v>2530</v>
      </c>
      <c r="G2535" s="102">
        <f t="shared" ca="1" si="43"/>
        <v>-7.4524355981837364E-3</v>
      </c>
    </row>
    <row r="2536" spans="6:7" x14ac:dyDescent="0.35">
      <c r="F2536">
        <v>2531</v>
      </c>
      <c r="G2536" s="102">
        <f t="shared" ca="1" si="43"/>
        <v>3.1334329412610912E-2</v>
      </c>
    </row>
    <row r="2537" spans="6:7" x14ac:dyDescent="0.35">
      <c r="F2537">
        <v>2532</v>
      </c>
      <c r="G2537" s="102">
        <f t="shared" ca="1" si="43"/>
        <v>7.8405629533200918E-2</v>
      </c>
    </row>
    <row r="2538" spans="6:7" x14ac:dyDescent="0.35">
      <c r="F2538">
        <v>2533</v>
      </c>
      <c r="G2538" s="102">
        <f t="shared" ca="1" si="43"/>
        <v>-5.7686162727644028E-2</v>
      </c>
    </row>
    <row r="2539" spans="6:7" x14ac:dyDescent="0.35">
      <c r="F2539">
        <v>2534</v>
      </c>
      <c r="G2539" s="102">
        <f t="shared" ca="1" si="43"/>
        <v>-2.2177118553016507E-2</v>
      </c>
    </row>
    <row r="2540" spans="6:7" x14ac:dyDescent="0.35">
      <c r="F2540">
        <v>2535</v>
      </c>
      <c r="G2540" s="102">
        <f t="shared" ca="1" si="43"/>
        <v>-9.2006905284326826E-2</v>
      </c>
    </row>
    <row r="2541" spans="6:7" x14ac:dyDescent="0.35">
      <c r="F2541">
        <v>2536</v>
      </c>
      <c r="G2541" s="102">
        <f t="shared" ca="1" si="43"/>
        <v>-6.7271717107952031E-2</v>
      </c>
    </row>
    <row r="2542" spans="6:7" x14ac:dyDescent="0.35">
      <c r="F2542">
        <v>2537</v>
      </c>
      <c r="G2542" s="102">
        <f t="shared" ca="1" si="43"/>
        <v>-9.0090582258278082E-3</v>
      </c>
    </row>
    <row r="2543" spans="6:7" x14ac:dyDescent="0.35">
      <c r="F2543">
        <v>2538</v>
      </c>
      <c r="G2543" s="102">
        <f t="shared" ca="1" si="43"/>
        <v>4.325211418946294E-2</v>
      </c>
    </row>
    <row r="2544" spans="6:7" x14ac:dyDescent="0.35">
      <c r="F2544">
        <v>2539</v>
      </c>
      <c r="G2544" s="102">
        <f t="shared" ca="1" si="43"/>
        <v>8.1226489996835353E-3</v>
      </c>
    </row>
    <row r="2545" spans="6:7" x14ac:dyDescent="0.35">
      <c r="F2545">
        <v>2540</v>
      </c>
      <c r="G2545" s="102">
        <f t="shared" ca="1" si="43"/>
        <v>-3.4183649146895589E-2</v>
      </c>
    </row>
    <row r="2546" spans="6:7" x14ac:dyDescent="0.35">
      <c r="F2546">
        <v>2541</v>
      </c>
      <c r="G2546" s="102">
        <f t="shared" ca="1" si="43"/>
        <v>9.5704992487555374E-2</v>
      </c>
    </row>
    <row r="2547" spans="6:7" x14ac:dyDescent="0.35">
      <c r="F2547">
        <v>2542</v>
      </c>
      <c r="G2547" s="102">
        <f t="shared" ca="1" si="43"/>
        <v>-5.3898095563810047E-2</v>
      </c>
    </row>
    <row r="2548" spans="6:7" x14ac:dyDescent="0.35">
      <c r="F2548">
        <v>2543</v>
      </c>
      <c r="G2548" s="102">
        <f t="shared" ca="1" si="43"/>
        <v>1.9924037750345791E-2</v>
      </c>
    </row>
    <row r="2549" spans="6:7" x14ac:dyDescent="0.35">
      <c r="F2549">
        <v>2544</v>
      </c>
      <c r="G2549" s="102">
        <f t="shared" ca="1" si="43"/>
        <v>-4.1625852250613627E-3</v>
      </c>
    </row>
    <row r="2550" spans="6:7" x14ac:dyDescent="0.35">
      <c r="F2550">
        <v>2545</v>
      </c>
      <c r="G2550" s="102">
        <f t="shared" ca="1" si="43"/>
        <v>0.12689672331307614</v>
      </c>
    </row>
    <row r="2551" spans="6:7" x14ac:dyDescent="0.35">
      <c r="F2551">
        <v>2546</v>
      </c>
      <c r="G2551" s="102">
        <f t="shared" ca="1" si="43"/>
        <v>-0.12313042158576029</v>
      </c>
    </row>
    <row r="2552" spans="6:7" x14ac:dyDescent="0.35">
      <c r="F2552">
        <v>2547</v>
      </c>
      <c r="G2552" s="102">
        <f t="shared" ca="1" si="43"/>
        <v>2.1860791734945102E-2</v>
      </c>
    </row>
    <row r="2553" spans="6:7" x14ac:dyDescent="0.35">
      <c r="F2553">
        <v>2548</v>
      </c>
      <c r="G2553" s="102">
        <f t="shared" ca="1" si="43"/>
        <v>4.6209773654431827E-3</v>
      </c>
    </row>
    <row r="2554" spans="6:7" x14ac:dyDescent="0.35">
      <c r="F2554">
        <v>2549</v>
      </c>
      <c r="G2554" s="102">
        <f t="shared" ca="1" si="43"/>
        <v>-3.7686277049046535E-2</v>
      </c>
    </row>
    <row r="2555" spans="6:7" x14ac:dyDescent="0.35">
      <c r="F2555">
        <v>2550</v>
      </c>
      <c r="G2555" s="102">
        <f t="shared" ca="1" si="43"/>
        <v>-3.6127089612565267E-3</v>
      </c>
    </row>
    <row r="2556" spans="6:7" x14ac:dyDescent="0.35">
      <c r="F2556">
        <v>2551</v>
      </c>
      <c r="G2556" s="102">
        <f t="shared" ca="1" si="43"/>
        <v>4.1759310402479211E-2</v>
      </c>
    </row>
    <row r="2557" spans="6:7" x14ac:dyDescent="0.35">
      <c r="F2557">
        <v>2552</v>
      </c>
      <c r="G2557" s="102">
        <f t="shared" ca="1" si="43"/>
        <v>-5.1265900403836592E-2</v>
      </c>
    </row>
    <row r="2558" spans="6:7" x14ac:dyDescent="0.35">
      <c r="F2558">
        <v>2553</v>
      </c>
      <c r="G2558" s="102">
        <f t="shared" ca="1" si="43"/>
        <v>-7.9653529685282276E-2</v>
      </c>
    </row>
    <row r="2559" spans="6:7" x14ac:dyDescent="0.35">
      <c r="F2559">
        <v>2554</v>
      </c>
      <c r="G2559" s="102">
        <f t="shared" ca="1" si="43"/>
        <v>4.3318367788800841E-2</v>
      </c>
    </row>
    <row r="2560" spans="6:7" x14ac:dyDescent="0.35">
      <c r="F2560">
        <v>2555</v>
      </c>
      <c r="G2560" s="102">
        <f t="shared" ca="1" si="43"/>
        <v>-0.11181914306355543</v>
      </c>
    </row>
    <row r="2561" spans="6:7" x14ac:dyDescent="0.35">
      <c r="F2561">
        <v>2556</v>
      </c>
      <c r="G2561" s="102">
        <f t="shared" ca="1" si="43"/>
        <v>8.2568513713293067E-3</v>
      </c>
    </row>
    <row r="2562" spans="6:7" x14ac:dyDescent="0.35">
      <c r="F2562">
        <v>2557</v>
      </c>
      <c r="G2562" s="102">
        <f t="shared" ca="1" si="43"/>
        <v>-3.9992709698744647E-2</v>
      </c>
    </row>
    <row r="2563" spans="6:7" x14ac:dyDescent="0.35">
      <c r="F2563">
        <v>2558</v>
      </c>
      <c r="G2563" s="102">
        <f t="shared" ca="1" si="43"/>
        <v>-3.6860114363736804E-2</v>
      </c>
    </row>
    <row r="2564" spans="6:7" x14ac:dyDescent="0.35">
      <c r="F2564">
        <v>2559</v>
      </c>
      <c r="G2564" s="102">
        <f t="shared" ca="1" si="43"/>
        <v>-7.6308674392625217E-2</v>
      </c>
    </row>
    <row r="2565" spans="6:7" x14ac:dyDescent="0.35">
      <c r="F2565">
        <v>2560</v>
      </c>
      <c r="G2565" s="102">
        <f t="shared" ca="1" si="43"/>
        <v>-7.3740915848017813E-2</v>
      </c>
    </row>
    <row r="2566" spans="6:7" x14ac:dyDescent="0.35">
      <c r="F2566">
        <v>2561</v>
      </c>
      <c r="G2566" s="102">
        <f t="shared" ca="1" si="43"/>
        <v>7.2444681204136066E-2</v>
      </c>
    </row>
    <row r="2567" spans="6:7" x14ac:dyDescent="0.35">
      <c r="F2567">
        <v>2562</v>
      </c>
      <c r="G2567" s="102">
        <f t="shared" ref="G2567:G2630" ca="1" si="44">_xlfn.NORM.INV(RAND(),M$9,M$10)</f>
        <v>-4.2711012806872339E-2</v>
      </c>
    </row>
    <row r="2568" spans="6:7" x14ac:dyDescent="0.35">
      <c r="F2568">
        <v>2563</v>
      </c>
      <c r="G2568" s="102">
        <f t="shared" ca="1" si="44"/>
        <v>0.11268323228032397</v>
      </c>
    </row>
    <row r="2569" spans="6:7" x14ac:dyDescent="0.35">
      <c r="F2569">
        <v>2564</v>
      </c>
      <c r="G2569" s="102">
        <f t="shared" ca="1" si="44"/>
        <v>-0.13431557139303876</v>
      </c>
    </row>
    <row r="2570" spans="6:7" x14ac:dyDescent="0.35">
      <c r="F2570">
        <v>2565</v>
      </c>
      <c r="G2570" s="102">
        <f t="shared" ca="1" si="44"/>
        <v>-8.2322177719860723E-2</v>
      </c>
    </row>
    <row r="2571" spans="6:7" x14ac:dyDescent="0.35">
      <c r="F2571">
        <v>2566</v>
      </c>
      <c r="G2571" s="102">
        <f t="shared" ca="1" si="44"/>
        <v>-3.2287697541251659E-2</v>
      </c>
    </row>
    <row r="2572" spans="6:7" x14ac:dyDescent="0.35">
      <c r="F2572">
        <v>2567</v>
      </c>
      <c r="G2572" s="102">
        <f t="shared" ca="1" si="44"/>
        <v>-1.6677416867037276E-2</v>
      </c>
    </row>
    <row r="2573" spans="6:7" x14ac:dyDescent="0.35">
      <c r="F2573">
        <v>2568</v>
      </c>
      <c r="G2573" s="102">
        <f t="shared" ca="1" si="44"/>
        <v>-6.9659991514116424E-3</v>
      </c>
    </row>
    <row r="2574" spans="6:7" x14ac:dyDescent="0.35">
      <c r="F2574">
        <v>2569</v>
      </c>
      <c r="G2574" s="102">
        <f t="shared" ca="1" si="44"/>
        <v>-4.2916865014957131E-2</v>
      </c>
    </row>
    <row r="2575" spans="6:7" x14ac:dyDescent="0.35">
      <c r="F2575">
        <v>2570</v>
      </c>
      <c r="G2575" s="102">
        <f t="shared" ca="1" si="44"/>
        <v>-5.6628403512920117E-2</v>
      </c>
    </row>
    <row r="2576" spans="6:7" x14ac:dyDescent="0.35">
      <c r="F2576">
        <v>2571</v>
      </c>
      <c r="G2576" s="102">
        <f t="shared" ca="1" si="44"/>
        <v>-4.1321099175387357E-2</v>
      </c>
    </row>
    <row r="2577" spans="6:7" x14ac:dyDescent="0.35">
      <c r="F2577">
        <v>2572</v>
      </c>
      <c r="G2577" s="102">
        <f t="shared" ca="1" si="44"/>
        <v>6.6569345309102398E-2</v>
      </c>
    </row>
    <row r="2578" spans="6:7" x14ac:dyDescent="0.35">
      <c r="F2578">
        <v>2573</v>
      </c>
      <c r="G2578" s="102">
        <f t="shared" ca="1" si="44"/>
        <v>-5.9594011564209709E-2</v>
      </c>
    </row>
    <row r="2579" spans="6:7" x14ac:dyDescent="0.35">
      <c r="F2579">
        <v>2574</v>
      </c>
      <c r="G2579" s="102">
        <f t="shared" ca="1" si="44"/>
        <v>2.0647543844815493E-3</v>
      </c>
    </row>
    <row r="2580" spans="6:7" x14ac:dyDescent="0.35">
      <c r="F2580">
        <v>2575</v>
      </c>
      <c r="G2580" s="102">
        <f t="shared" ca="1" si="44"/>
        <v>-1.784143184464403E-2</v>
      </c>
    </row>
    <row r="2581" spans="6:7" x14ac:dyDescent="0.35">
      <c r="F2581">
        <v>2576</v>
      </c>
      <c r="G2581" s="102">
        <f t="shared" ca="1" si="44"/>
        <v>-3.8145599893795401E-2</v>
      </c>
    </row>
    <row r="2582" spans="6:7" x14ac:dyDescent="0.35">
      <c r="F2582">
        <v>2577</v>
      </c>
      <c r="G2582" s="102">
        <f t="shared" ca="1" si="44"/>
        <v>4.8322716203166846E-2</v>
      </c>
    </row>
    <row r="2583" spans="6:7" x14ac:dyDescent="0.35">
      <c r="F2583">
        <v>2578</v>
      </c>
      <c r="G2583" s="102">
        <f t="shared" ca="1" si="44"/>
        <v>-3.7114191857839417E-3</v>
      </c>
    </row>
    <row r="2584" spans="6:7" x14ac:dyDescent="0.35">
      <c r="F2584">
        <v>2579</v>
      </c>
      <c r="G2584" s="102">
        <f t="shared" ca="1" si="44"/>
        <v>2.6239415076728691E-2</v>
      </c>
    </row>
    <row r="2585" spans="6:7" x14ac:dyDescent="0.35">
      <c r="F2585">
        <v>2580</v>
      </c>
      <c r="G2585" s="102">
        <f t="shared" ca="1" si="44"/>
        <v>3.479677762760941E-2</v>
      </c>
    </row>
    <row r="2586" spans="6:7" x14ac:dyDescent="0.35">
      <c r="F2586">
        <v>2581</v>
      </c>
      <c r="G2586" s="102">
        <f t="shared" ca="1" si="44"/>
        <v>4.787114420426189E-2</v>
      </c>
    </row>
    <row r="2587" spans="6:7" x14ac:dyDescent="0.35">
      <c r="F2587">
        <v>2582</v>
      </c>
      <c r="G2587" s="102">
        <f t="shared" ca="1" si="44"/>
        <v>1.7736122625524164E-2</v>
      </c>
    </row>
    <row r="2588" spans="6:7" x14ac:dyDescent="0.35">
      <c r="F2588">
        <v>2583</v>
      </c>
      <c r="G2588" s="102">
        <f t="shared" ca="1" si="44"/>
        <v>-2.4066792684302288E-2</v>
      </c>
    </row>
    <row r="2589" spans="6:7" x14ac:dyDescent="0.35">
      <c r="F2589">
        <v>2584</v>
      </c>
      <c r="G2589" s="102">
        <f t="shared" ca="1" si="44"/>
        <v>-7.0108694820787701E-2</v>
      </c>
    </row>
    <row r="2590" spans="6:7" x14ac:dyDescent="0.35">
      <c r="F2590">
        <v>2585</v>
      </c>
      <c r="G2590" s="102">
        <f t="shared" ca="1" si="44"/>
        <v>8.10221783393653E-2</v>
      </c>
    </row>
    <row r="2591" spans="6:7" x14ac:dyDescent="0.35">
      <c r="F2591">
        <v>2586</v>
      </c>
      <c r="G2591" s="102">
        <f t="shared" ca="1" si="44"/>
        <v>-3.4658727184616142E-2</v>
      </c>
    </row>
    <row r="2592" spans="6:7" x14ac:dyDescent="0.35">
      <c r="F2592">
        <v>2587</v>
      </c>
      <c r="G2592" s="102">
        <f t="shared" ca="1" si="44"/>
        <v>1.7039646745576294E-2</v>
      </c>
    </row>
    <row r="2593" spans="6:7" x14ac:dyDescent="0.35">
      <c r="F2593">
        <v>2588</v>
      </c>
      <c r="G2593" s="102">
        <f t="shared" ca="1" si="44"/>
        <v>-0.12403965855157216</v>
      </c>
    </row>
    <row r="2594" spans="6:7" x14ac:dyDescent="0.35">
      <c r="F2594">
        <v>2589</v>
      </c>
      <c r="G2594" s="102">
        <f t="shared" ca="1" si="44"/>
        <v>3.063077751071577E-2</v>
      </c>
    </row>
    <row r="2595" spans="6:7" x14ac:dyDescent="0.35">
      <c r="F2595">
        <v>2590</v>
      </c>
      <c r="G2595" s="102">
        <f t="shared" ca="1" si="44"/>
        <v>2.8185697941910729E-2</v>
      </c>
    </row>
    <row r="2596" spans="6:7" x14ac:dyDescent="0.35">
      <c r="F2596">
        <v>2591</v>
      </c>
      <c r="G2596" s="102">
        <f t="shared" ca="1" si="44"/>
        <v>7.0211602458636162E-3</v>
      </c>
    </row>
    <row r="2597" spans="6:7" x14ac:dyDescent="0.35">
      <c r="F2597">
        <v>2592</v>
      </c>
      <c r="G2597" s="102">
        <f t="shared" ca="1" si="44"/>
        <v>-0.10911311578370055</v>
      </c>
    </row>
    <row r="2598" spans="6:7" x14ac:dyDescent="0.35">
      <c r="F2598">
        <v>2593</v>
      </c>
      <c r="G2598" s="102">
        <f t="shared" ca="1" si="44"/>
        <v>1.6179501494211417E-2</v>
      </c>
    </row>
    <row r="2599" spans="6:7" x14ac:dyDescent="0.35">
      <c r="F2599">
        <v>2594</v>
      </c>
      <c r="G2599" s="102">
        <f t="shared" ca="1" si="44"/>
        <v>5.451314722626098E-2</v>
      </c>
    </row>
    <row r="2600" spans="6:7" x14ac:dyDescent="0.35">
      <c r="F2600">
        <v>2595</v>
      </c>
      <c r="G2600" s="102">
        <f t="shared" ca="1" si="44"/>
        <v>0.17003116620213718</v>
      </c>
    </row>
    <row r="2601" spans="6:7" x14ac:dyDescent="0.35">
      <c r="F2601">
        <v>2596</v>
      </c>
      <c r="G2601" s="102">
        <f t="shared" ca="1" si="44"/>
        <v>-8.0445052442210362E-3</v>
      </c>
    </row>
    <row r="2602" spans="6:7" x14ac:dyDescent="0.35">
      <c r="F2602">
        <v>2597</v>
      </c>
      <c r="G2602" s="102">
        <f t="shared" ca="1" si="44"/>
        <v>6.127285130998518E-2</v>
      </c>
    </row>
    <row r="2603" spans="6:7" x14ac:dyDescent="0.35">
      <c r="F2603">
        <v>2598</v>
      </c>
      <c r="G2603" s="102">
        <f t="shared" ca="1" si="44"/>
        <v>-1.0412399230545506E-3</v>
      </c>
    </row>
    <row r="2604" spans="6:7" x14ac:dyDescent="0.35">
      <c r="F2604">
        <v>2599</v>
      </c>
      <c r="G2604" s="102">
        <f t="shared" ca="1" si="44"/>
        <v>-1.7253021408725686E-2</v>
      </c>
    </row>
    <row r="2605" spans="6:7" x14ac:dyDescent="0.35">
      <c r="F2605">
        <v>2600</v>
      </c>
      <c r="G2605" s="102">
        <f t="shared" ca="1" si="44"/>
        <v>-5.9048713146386114E-2</v>
      </c>
    </row>
    <row r="2606" spans="6:7" x14ac:dyDescent="0.35">
      <c r="F2606">
        <v>2601</v>
      </c>
      <c r="G2606" s="102">
        <f t="shared" ca="1" si="44"/>
        <v>-9.7421833195643168E-2</v>
      </c>
    </row>
    <row r="2607" spans="6:7" x14ac:dyDescent="0.35">
      <c r="F2607">
        <v>2602</v>
      </c>
      <c r="G2607" s="102">
        <f t="shared" ca="1" si="44"/>
        <v>2.5646713198694569E-2</v>
      </c>
    </row>
    <row r="2608" spans="6:7" x14ac:dyDescent="0.35">
      <c r="F2608">
        <v>2603</v>
      </c>
      <c r="G2608" s="102">
        <f t="shared" ca="1" si="44"/>
        <v>9.7014697680777293E-2</v>
      </c>
    </row>
    <row r="2609" spans="6:7" x14ac:dyDescent="0.35">
      <c r="F2609">
        <v>2604</v>
      </c>
      <c r="G2609" s="102">
        <f t="shared" ca="1" si="44"/>
        <v>2.3203613099227825E-2</v>
      </c>
    </row>
    <row r="2610" spans="6:7" x14ac:dyDescent="0.35">
      <c r="F2610">
        <v>2605</v>
      </c>
      <c r="G2610" s="102">
        <f t="shared" ca="1" si="44"/>
        <v>-2.7843944113285012E-2</v>
      </c>
    </row>
    <row r="2611" spans="6:7" x14ac:dyDescent="0.35">
      <c r="F2611">
        <v>2606</v>
      </c>
      <c r="G2611" s="102">
        <f t="shared" ca="1" si="44"/>
        <v>4.9212183743640336E-2</v>
      </c>
    </row>
    <row r="2612" spans="6:7" x14ac:dyDescent="0.35">
      <c r="F2612">
        <v>2607</v>
      </c>
      <c r="G2612" s="102">
        <f t="shared" ca="1" si="44"/>
        <v>5.6488721523711739E-3</v>
      </c>
    </row>
    <row r="2613" spans="6:7" x14ac:dyDescent="0.35">
      <c r="F2613">
        <v>2608</v>
      </c>
      <c r="G2613" s="102">
        <f t="shared" ca="1" si="44"/>
        <v>-0.13753170909356646</v>
      </c>
    </row>
    <row r="2614" spans="6:7" x14ac:dyDescent="0.35">
      <c r="F2614">
        <v>2609</v>
      </c>
      <c r="G2614" s="102">
        <f t="shared" ca="1" si="44"/>
        <v>6.0979419971866372E-2</v>
      </c>
    </row>
    <row r="2615" spans="6:7" x14ac:dyDescent="0.35">
      <c r="F2615">
        <v>2610</v>
      </c>
      <c r="G2615" s="102">
        <f t="shared" ca="1" si="44"/>
        <v>-7.3468211373674069E-2</v>
      </c>
    </row>
    <row r="2616" spans="6:7" x14ac:dyDescent="0.35">
      <c r="F2616">
        <v>2611</v>
      </c>
      <c r="G2616" s="102">
        <f t="shared" ca="1" si="44"/>
        <v>8.8372763198080011E-4</v>
      </c>
    </row>
    <row r="2617" spans="6:7" x14ac:dyDescent="0.35">
      <c r="F2617">
        <v>2612</v>
      </c>
      <c r="G2617" s="102">
        <f t="shared" ca="1" si="44"/>
        <v>-1.1592802725025771E-2</v>
      </c>
    </row>
    <row r="2618" spans="6:7" x14ac:dyDescent="0.35">
      <c r="F2618">
        <v>2613</v>
      </c>
      <c r="G2618" s="102">
        <f t="shared" ca="1" si="44"/>
        <v>1.6625099473990785E-2</v>
      </c>
    </row>
    <row r="2619" spans="6:7" x14ac:dyDescent="0.35">
      <c r="F2619">
        <v>2614</v>
      </c>
      <c r="G2619" s="102">
        <f t="shared" ca="1" si="44"/>
        <v>1.7505421992602938E-2</v>
      </c>
    </row>
    <row r="2620" spans="6:7" x14ac:dyDescent="0.35">
      <c r="F2620">
        <v>2615</v>
      </c>
      <c r="G2620" s="102">
        <f t="shared" ca="1" si="44"/>
        <v>-3.5733246958421519E-2</v>
      </c>
    </row>
    <row r="2621" spans="6:7" x14ac:dyDescent="0.35">
      <c r="F2621">
        <v>2616</v>
      </c>
      <c r="G2621" s="102">
        <f t="shared" ca="1" si="44"/>
        <v>2.6060925771620242E-2</v>
      </c>
    </row>
    <row r="2622" spans="6:7" x14ac:dyDescent="0.35">
      <c r="F2622">
        <v>2617</v>
      </c>
      <c r="G2622" s="102">
        <f t="shared" ca="1" si="44"/>
        <v>2.5012570348037198E-2</v>
      </c>
    </row>
    <row r="2623" spans="6:7" x14ac:dyDescent="0.35">
      <c r="F2623">
        <v>2618</v>
      </c>
      <c r="G2623" s="102">
        <f t="shared" ca="1" si="44"/>
        <v>-4.7950827496859652E-2</v>
      </c>
    </row>
    <row r="2624" spans="6:7" x14ac:dyDescent="0.35">
      <c r="F2624">
        <v>2619</v>
      </c>
      <c r="G2624" s="102">
        <f t="shared" ca="1" si="44"/>
        <v>0.13789741399933567</v>
      </c>
    </row>
    <row r="2625" spans="6:7" x14ac:dyDescent="0.35">
      <c r="F2625">
        <v>2620</v>
      </c>
      <c r="G2625" s="102">
        <f t="shared" ca="1" si="44"/>
        <v>-4.8488797561417926E-2</v>
      </c>
    </row>
    <row r="2626" spans="6:7" x14ac:dyDescent="0.35">
      <c r="F2626">
        <v>2621</v>
      </c>
      <c r="G2626" s="102">
        <f t="shared" ca="1" si="44"/>
        <v>7.1795494045982358E-2</v>
      </c>
    </row>
    <row r="2627" spans="6:7" x14ac:dyDescent="0.35">
      <c r="F2627">
        <v>2622</v>
      </c>
      <c r="G2627" s="102">
        <f t="shared" ca="1" si="44"/>
        <v>-8.1789839743843448E-3</v>
      </c>
    </row>
    <row r="2628" spans="6:7" x14ac:dyDescent="0.35">
      <c r="F2628">
        <v>2623</v>
      </c>
      <c r="G2628" s="102">
        <f t="shared" ca="1" si="44"/>
        <v>-4.2224772345700351E-2</v>
      </c>
    </row>
    <row r="2629" spans="6:7" x14ac:dyDescent="0.35">
      <c r="F2629">
        <v>2624</v>
      </c>
      <c r="G2629" s="102">
        <f t="shared" ca="1" si="44"/>
        <v>-6.3958149562014746E-2</v>
      </c>
    </row>
    <row r="2630" spans="6:7" x14ac:dyDescent="0.35">
      <c r="F2630">
        <v>2625</v>
      </c>
      <c r="G2630" s="102">
        <f t="shared" ca="1" si="44"/>
        <v>4.5551870552849649E-2</v>
      </c>
    </row>
    <row r="2631" spans="6:7" x14ac:dyDescent="0.35">
      <c r="F2631">
        <v>2626</v>
      </c>
      <c r="G2631" s="102">
        <f t="shared" ref="G2631:G2694" ca="1" si="45">_xlfn.NORM.INV(RAND(),M$9,M$10)</f>
        <v>1.4815226487495628E-2</v>
      </c>
    </row>
    <row r="2632" spans="6:7" x14ac:dyDescent="0.35">
      <c r="F2632">
        <v>2627</v>
      </c>
      <c r="G2632" s="102">
        <f t="shared" ca="1" si="45"/>
        <v>4.5609981940553532E-2</v>
      </c>
    </row>
    <row r="2633" spans="6:7" x14ac:dyDescent="0.35">
      <c r="F2633">
        <v>2628</v>
      </c>
      <c r="G2633" s="102">
        <f t="shared" ca="1" si="45"/>
        <v>1.9701889111208244E-2</v>
      </c>
    </row>
    <row r="2634" spans="6:7" x14ac:dyDescent="0.35">
      <c r="F2634">
        <v>2629</v>
      </c>
      <c r="G2634" s="102">
        <f t="shared" ca="1" si="45"/>
        <v>-0.10237457905062743</v>
      </c>
    </row>
    <row r="2635" spans="6:7" x14ac:dyDescent="0.35">
      <c r="F2635">
        <v>2630</v>
      </c>
      <c r="G2635" s="102">
        <f t="shared" ca="1" si="45"/>
        <v>8.4413266641864583E-3</v>
      </c>
    </row>
    <row r="2636" spans="6:7" x14ac:dyDescent="0.35">
      <c r="F2636">
        <v>2631</v>
      </c>
      <c r="G2636" s="102">
        <f t="shared" ca="1" si="45"/>
        <v>4.1091206526185753E-2</v>
      </c>
    </row>
    <row r="2637" spans="6:7" x14ac:dyDescent="0.35">
      <c r="F2637">
        <v>2632</v>
      </c>
      <c r="G2637" s="102">
        <f t="shared" ca="1" si="45"/>
        <v>-0.10348415394106147</v>
      </c>
    </row>
    <row r="2638" spans="6:7" x14ac:dyDescent="0.35">
      <c r="F2638">
        <v>2633</v>
      </c>
      <c r="G2638" s="102">
        <f t="shared" ca="1" si="45"/>
        <v>8.4154047902788076E-2</v>
      </c>
    </row>
    <row r="2639" spans="6:7" x14ac:dyDescent="0.35">
      <c r="F2639">
        <v>2634</v>
      </c>
      <c r="G2639" s="102">
        <f t="shared" ca="1" si="45"/>
        <v>-5.383046867129393E-2</v>
      </c>
    </row>
    <row r="2640" spans="6:7" x14ac:dyDescent="0.35">
      <c r="F2640">
        <v>2635</v>
      </c>
      <c r="G2640" s="102">
        <f t="shared" ca="1" si="45"/>
        <v>-5.0176400583303443E-3</v>
      </c>
    </row>
    <row r="2641" spans="6:7" x14ac:dyDescent="0.35">
      <c r="F2641">
        <v>2636</v>
      </c>
      <c r="G2641" s="102">
        <f t="shared" ca="1" si="45"/>
        <v>-1.8033601753588167E-2</v>
      </c>
    </row>
    <row r="2642" spans="6:7" x14ac:dyDescent="0.35">
      <c r="F2642">
        <v>2637</v>
      </c>
      <c r="G2642" s="102">
        <f t="shared" ca="1" si="45"/>
        <v>3.2189810125127408E-2</v>
      </c>
    </row>
    <row r="2643" spans="6:7" x14ac:dyDescent="0.35">
      <c r="F2643">
        <v>2638</v>
      </c>
      <c r="G2643" s="102">
        <f t="shared" ca="1" si="45"/>
        <v>1.7355125547120331E-3</v>
      </c>
    </row>
    <row r="2644" spans="6:7" x14ac:dyDescent="0.35">
      <c r="F2644">
        <v>2639</v>
      </c>
      <c r="G2644" s="102">
        <f t="shared" ca="1" si="45"/>
        <v>-1.9082974883780308E-2</v>
      </c>
    </row>
    <row r="2645" spans="6:7" x14ac:dyDescent="0.35">
      <c r="F2645">
        <v>2640</v>
      </c>
      <c r="G2645" s="102">
        <f t="shared" ca="1" si="45"/>
        <v>-4.6877105637790989E-2</v>
      </c>
    </row>
    <row r="2646" spans="6:7" x14ac:dyDescent="0.35">
      <c r="F2646">
        <v>2641</v>
      </c>
      <c r="G2646" s="102">
        <f t="shared" ca="1" si="45"/>
        <v>-6.2654817578357183E-2</v>
      </c>
    </row>
    <row r="2647" spans="6:7" x14ac:dyDescent="0.35">
      <c r="F2647">
        <v>2642</v>
      </c>
      <c r="G2647" s="102">
        <f t="shared" ca="1" si="45"/>
        <v>2.5058108348273798E-2</v>
      </c>
    </row>
    <row r="2648" spans="6:7" x14ac:dyDescent="0.35">
      <c r="F2648">
        <v>2643</v>
      </c>
      <c r="G2648" s="102">
        <f t="shared" ca="1" si="45"/>
        <v>-3.585811457004115E-2</v>
      </c>
    </row>
    <row r="2649" spans="6:7" x14ac:dyDescent="0.35">
      <c r="F2649">
        <v>2644</v>
      </c>
      <c r="G2649" s="102">
        <f t="shared" ca="1" si="45"/>
        <v>0.15099259785736843</v>
      </c>
    </row>
    <row r="2650" spans="6:7" x14ac:dyDescent="0.35">
      <c r="F2650">
        <v>2645</v>
      </c>
      <c r="G2650" s="102">
        <f t="shared" ca="1" si="45"/>
        <v>-2.3496741134044111E-2</v>
      </c>
    </row>
    <row r="2651" spans="6:7" x14ac:dyDescent="0.35">
      <c r="F2651">
        <v>2646</v>
      </c>
      <c r="G2651" s="102">
        <f t="shared" ca="1" si="45"/>
        <v>-1.5179425767490207E-2</v>
      </c>
    </row>
    <row r="2652" spans="6:7" x14ac:dyDescent="0.35">
      <c r="F2652">
        <v>2647</v>
      </c>
      <c r="G2652" s="102">
        <f t="shared" ca="1" si="45"/>
        <v>-2.6808688547511554E-2</v>
      </c>
    </row>
    <row r="2653" spans="6:7" x14ac:dyDescent="0.35">
      <c r="F2653">
        <v>2648</v>
      </c>
      <c r="G2653" s="102">
        <f t="shared" ca="1" si="45"/>
        <v>8.3413498098507621E-2</v>
      </c>
    </row>
    <row r="2654" spans="6:7" x14ac:dyDescent="0.35">
      <c r="F2654">
        <v>2649</v>
      </c>
      <c r="G2654" s="102">
        <f t="shared" ca="1" si="45"/>
        <v>-0.15096897224213979</v>
      </c>
    </row>
    <row r="2655" spans="6:7" x14ac:dyDescent="0.35">
      <c r="F2655">
        <v>2650</v>
      </c>
      <c r="G2655" s="102">
        <f t="shared" ca="1" si="45"/>
        <v>9.8383527671842858E-2</v>
      </c>
    </row>
    <row r="2656" spans="6:7" x14ac:dyDescent="0.35">
      <c r="F2656">
        <v>2651</v>
      </c>
      <c r="G2656" s="102">
        <f t="shared" ca="1" si="45"/>
        <v>-4.4874733866965916E-2</v>
      </c>
    </row>
    <row r="2657" spans="6:7" x14ac:dyDescent="0.35">
      <c r="F2657">
        <v>2652</v>
      </c>
      <c r="G2657" s="102">
        <f t="shared" ca="1" si="45"/>
        <v>-5.8749887674258025E-2</v>
      </c>
    </row>
    <row r="2658" spans="6:7" x14ac:dyDescent="0.35">
      <c r="F2658">
        <v>2653</v>
      </c>
      <c r="G2658" s="102">
        <f t="shared" ca="1" si="45"/>
        <v>-3.3125114027542361E-2</v>
      </c>
    </row>
    <row r="2659" spans="6:7" x14ac:dyDescent="0.35">
      <c r="F2659">
        <v>2654</v>
      </c>
      <c r="G2659" s="102">
        <f t="shared" ca="1" si="45"/>
        <v>3.6171221019983671E-2</v>
      </c>
    </row>
    <row r="2660" spans="6:7" x14ac:dyDescent="0.35">
      <c r="F2660">
        <v>2655</v>
      </c>
      <c r="G2660" s="102">
        <f t="shared" ca="1" si="45"/>
        <v>3.9227643131826723E-2</v>
      </c>
    </row>
    <row r="2661" spans="6:7" x14ac:dyDescent="0.35">
      <c r="F2661">
        <v>2656</v>
      </c>
      <c r="G2661" s="102">
        <f t="shared" ca="1" si="45"/>
        <v>-5.1366490768825934E-2</v>
      </c>
    </row>
    <row r="2662" spans="6:7" x14ac:dyDescent="0.35">
      <c r="F2662">
        <v>2657</v>
      </c>
      <c r="G2662" s="102">
        <f t="shared" ca="1" si="45"/>
        <v>-5.154746093277647E-2</v>
      </c>
    </row>
    <row r="2663" spans="6:7" x14ac:dyDescent="0.35">
      <c r="F2663">
        <v>2658</v>
      </c>
      <c r="G2663" s="102">
        <f t="shared" ca="1" si="45"/>
        <v>-1.8582783088862815E-2</v>
      </c>
    </row>
    <row r="2664" spans="6:7" x14ac:dyDescent="0.35">
      <c r="F2664">
        <v>2659</v>
      </c>
      <c r="G2664" s="102">
        <f t="shared" ca="1" si="45"/>
        <v>0.14030530093341362</v>
      </c>
    </row>
    <row r="2665" spans="6:7" x14ac:dyDescent="0.35">
      <c r="F2665">
        <v>2660</v>
      </c>
      <c r="G2665" s="102">
        <f t="shared" ca="1" si="45"/>
        <v>-3.2573395114794894E-2</v>
      </c>
    </row>
    <row r="2666" spans="6:7" x14ac:dyDescent="0.35">
      <c r="F2666">
        <v>2661</v>
      </c>
      <c r="G2666" s="102">
        <f t="shared" ca="1" si="45"/>
        <v>6.7526534548671704E-2</v>
      </c>
    </row>
    <row r="2667" spans="6:7" x14ac:dyDescent="0.35">
      <c r="F2667">
        <v>2662</v>
      </c>
      <c r="G2667" s="102">
        <f t="shared" ca="1" si="45"/>
        <v>4.9264658546094325E-2</v>
      </c>
    </row>
    <row r="2668" spans="6:7" x14ac:dyDescent="0.35">
      <c r="F2668">
        <v>2663</v>
      </c>
      <c r="G2668" s="102">
        <f t="shared" ca="1" si="45"/>
        <v>-2.0155679865401892E-3</v>
      </c>
    </row>
    <row r="2669" spans="6:7" x14ac:dyDescent="0.35">
      <c r="F2669">
        <v>2664</v>
      </c>
      <c r="G2669" s="102">
        <f t="shared" ca="1" si="45"/>
        <v>-1.1034255963377124E-2</v>
      </c>
    </row>
    <row r="2670" spans="6:7" x14ac:dyDescent="0.35">
      <c r="F2670">
        <v>2665</v>
      </c>
      <c r="G2670" s="102">
        <f t="shared" ca="1" si="45"/>
        <v>-0.12554752736464164</v>
      </c>
    </row>
    <row r="2671" spans="6:7" x14ac:dyDescent="0.35">
      <c r="F2671">
        <v>2666</v>
      </c>
      <c r="G2671" s="102">
        <f t="shared" ca="1" si="45"/>
        <v>-3.3257914755850923E-2</v>
      </c>
    </row>
    <row r="2672" spans="6:7" x14ac:dyDescent="0.35">
      <c r="F2672">
        <v>2667</v>
      </c>
      <c r="G2672" s="102">
        <f t="shared" ca="1" si="45"/>
        <v>2.5277479225352804E-2</v>
      </c>
    </row>
    <row r="2673" spans="6:7" x14ac:dyDescent="0.35">
      <c r="F2673">
        <v>2668</v>
      </c>
      <c r="G2673" s="102">
        <f t="shared" ca="1" si="45"/>
        <v>3.5274794015048558E-2</v>
      </c>
    </row>
    <row r="2674" spans="6:7" x14ac:dyDescent="0.35">
      <c r="F2674">
        <v>2669</v>
      </c>
      <c r="G2674" s="102">
        <f t="shared" ca="1" si="45"/>
        <v>9.7783365475416911E-3</v>
      </c>
    </row>
    <row r="2675" spans="6:7" x14ac:dyDescent="0.35">
      <c r="F2675">
        <v>2670</v>
      </c>
      <c r="G2675" s="102">
        <f t="shared" ca="1" si="45"/>
        <v>-2.5206163227451561E-2</v>
      </c>
    </row>
    <row r="2676" spans="6:7" x14ac:dyDescent="0.35">
      <c r="F2676">
        <v>2671</v>
      </c>
      <c r="G2676" s="102">
        <f t="shared" ca="1" si="45"/>
        <v>-9.2880987576961019E-2</v>
      </c>
    </row>
    <row r="2677" spans="6:7" x14ac:dyDescent="0.35">
      <c r="F2677">
        <v>2672</v>
      </c>
      <c r="G2677" s="102">
        <f t="shared" ca="1" si="45"/>
        <v>8.0359441341362303E-2</v>
      </c>
    </row>
    <row r="2678" spans="6:7" x14ac:dyDescent="0.35">
      <c r="F2678">
        <v>2673</v>
      </c>
      <c r="G2678" s="102">
        <f t="shared" ca="1" si="45"/>
        <v>2.8532813334405497E-2</v>
      </c>
    </row>
    <row r="2679" spans="6:7" x14ac:dyDescent="0.35">
      <c r="F2679">
        <v>2674</v>
      </c>
      <c r="G2679" s="102">
        <f t="shared" ca="1" si="45"/>
        <v>5.431130436751945E-2</v>
      </c>
    </row>
    <row r="2680" spans="6:7" x14ac:dyDescent="0.35">
      <c r="F2680">
        <v>2675</v>
      </c>
      <c r="G2680" s="102">
        <f t="shared" ca="1" si="45"/>
        <v>-1.7795790031725524E-2</v>
      </c>
    </row>
    <row r="2681" spans="6:7" x14ac:dyDescent="0.35">
      <c r="F2681">
        <v>2676</v>
      </c>
      <c r="G2681" s="102">
        <f t="shared" ca="1" si="45"/>
        <v>2.7581688876431174E-2</v>
      </c>
    </row>
    <row r="2682" spans="6:7" x14ac:dyDescent="0.35">
      <c r="F2682">
        <v>2677</v>
      </c>
      <c r="G2682" s="102">
        <f t="shared" ca="1" si="45"/>
        <v>-2.638334353881144E-2</v>
      </c>
    </row>
    <row r="2683" spans="6:7" x14ac:dyDescent="0.35">
      <c r="F2683">
        <v>2678</v>
      </c>
      <c r="G2683" s="102">
        <f t="shared" ca="1" si="45"/>
        <v>1.4749980016244637E-2</v>
      </c>
    </row>
    <row r="2684" spans="6:7" x14ac:dyDescent="0.35">
      <c r="F2684">
        <v>2679</v>
      </c>
      <c r="G2684" s="102">
        <f t="shared" ca="1" si="45"/>
        <v>3.5243389575292675E-2</v>
      </c>
    </row>
    <row r="2685" spans="6:7" x14ac:dyDescent="0.35">
      <c r="F2685">
        <v>2680</v>
      </c>
      <c r="G2685" s="102">
        <f t="shared" ca="1" si="45"/>
        <v>4.3009006676030553E-2</v>
      </c>
    </row>
    <row r="2686" spans="6:7" x14ac:dyDescent="0.35">
      <c r="F2686">
        <v>2681</v>
      </c>
      <c r="G2686" s="102">
        <f t="shared" ca="1" si="45"/>
        <v>-8.8458415638653365E-2</v>
      </c>
    </row>
    <row r="2687" spans="6:7" x14ac:dyDescent="0.35">
      <c r="F2687">
        <v>2682</v>
      </c>
      <c r="G2687" s="102">
        <f t="shared" ca="1" si="45"/>
        <v>-1.1206645157882394E-2</v>
      </c>
    </row>
    <row r="2688" spans="6:7" x14ac:dyDescent="0.35">
      <c r="F2688">
        <v>2683</v>
      </c>
      <c r="G2688" s="102">
        <f t="shared" ca="1" si="45"/>
        <v>0.15750623285539458</v>
      </c>
    </row>
    <row r="2689" spans="6:7" x14ac:dyDescent="0.35">
      <c r="F2689">
        <v>2684</v>
      </c>
      <c r="G2689" s="102">
        <f t="shared" ca="1" si="45"/>
        <v>2.9210832155649596E-3</v>
      </c>
    </row>
    <row r="2690" spans="6:7" x14ac:dyDescent="0.35">
      <c r="F2690">
        <v>2685</v>
      </c>
      <c r="G2690" s="102">
        <f t="shared" ca="1" si="45"/>
        <v>4.3723023517475715E-2</v>
      </c>
    </row>
    <row r="2691" spans="6:7" x14ac:dyDescent="0.35">
      <c r="F2691">
        <v>2686</v>
      </c>
      <c r="G2691" s="102">
        <f t="shared" ca="1" si="45"/>
        <v>-2.5066615247386754E-2</v>
      </c>
    </row>
    <row r="2692" spans="6:7" x14ac:dyDescent="0.35">
      <c r="F2692">
        <v>2687</v>
      </c>
      <c r="G2692" s="102">
        <f t="shared" ca="1" si="45"/>
        <v>-6.6925692536865256E-3</v>
      </c>
    </row>
    <row r="2693" spans="6:7" x14ac:dyDescent="0.35">
      <c r="F2693">
        <v>2688</v>
      </c>
      <c r="G2693" s="102">
        <f t="shared" ca="1" si="45"/>
        <v>4.6073585776209264E-2</v>
      </c>
    </row>
    <row r="2694" spans="6:7" x14ac:dyDescent="0.35">
      <c r="F2694">
        <v>2689</v>
      </c>
      <c r="G2694" s="102">
        <f t="shared" ca="1" si="45"/>
        <v>-0.13169190703761707</v>
      </c>
    </row>
    <row r="2695" spans="6:7" x14ac:dyDescent="0.35">
      <c r="F2695">
        <v>2690</v>
      </c>
      <c r="G2695" s="102">
        <f t="shared" ref="G2695:G2758" ca="1" si="46">_xlfn.NORM.INV(RAND(),M$9,M$10)</f>
        <v>3.5976201687266229E-2</v>
      </c>
    </row>
    <row r="2696" spans="6:7" x14ac:dyDescent="0.35">
      <c r="F2696">
        <v>2691</v>
      </c>
      <c r="G2696" s="102">
        <f t="shared" ca="1" si="46"/>
        <v>3.3759206696396107E-2</v>
      </c>
    </row>
    <row r="2697" spans="6:7" x14ac:dyDescent="0.35">
      <c r="F2697">
        <v>2692</v>
      </c>
      <c r="G2697" s="102">
        <f t="shared" ca="1" si="46"/>
        <v>-2.3153984809154822E-2</v>
      </c>
    </row>
    <row r="2698" spans="6:7" x14ac:dyDescent="0.35">
      <c r="F2698">
        <v>2693</v>
      </c>
      <c r="G2698" s="102">
        <f t="shared" ca="1" si="46"/>
        <v>0.13248694453158361</v>
      </c>
    </row>
    <row r="2699" spans="6:7" x14ac:dyDescent="0.35">
      <c r="F2699">
        <v>2694</v>
      </c>
      <c r="G2699" s="102">
        <f t="shared" ca="1" si="46"/>
        <v>-0.16381072050693612</v>
      </c>
    </row>
    <row r="2700" spans="6:7" x14ac:dyDescent="0.35">
      <c r="F2700">
        <v>2695</v>
      </c>
      <c r="G2700" s="102">
        <f t="shared" ca="1" si="46"/>
        <v>-8.775760466358376E-2</v>
      </c>
    </row>
    <row r="2701" spans="6:7" x14ac:dyDescent="0.35">
      <c r="F2701">
        <v>2696</v>
      </c>
      <c r="G2701" s="102">
        <f t="shared" ca="1" si="46"/>
        <v>7.4589182899615483E-2</v>
      </c>
    </row>
    <row r="2702" spans="6:7" x14ac:dyDescent="0.35">
      <c r="F2702">
        <v>2697</v>
      </c>
      <c r="G2702" s="102">
        <f t="shared" ca="1" si="46"/>
        <v>-6.8475750004629007E-2</v>
      </c>
    </row>
    <row r="2703" spans="6:7" x14ac:dyDescent="0.35">
      <c r="F2703">
        <v>2698</v>
      </c>
      <c r="G2703" s="102">
        <f t="shared" ca="1" si="46"/>
        <v>-9.047520420091687E-2</v>
      </c>
    </row>
    <row r="2704" spans="6:7" x14ac:dyDescent="0.35">
      <c r="F2704">
        <v>2699</v>
      </c>
      <c r="G2704" s="102">
        <f t="shared" ca="1" si="46"/>
        <v>-2.5982957510025932E-2</v>
      </c>
    </row>
    <row r="2705" spans="6:7" x14ac:dyDescent="0.35">
      <c r="F2705">
        <v>2700</v>
      </c>
      <c r="G2705" s="102">
        <f t="shared" ca="1" si="46"/>
        <v>-4.4214598729586468E-2</v>
      </c>
    </row>
    <row r="2706" spans="6:7" x14ac:dyDescent="0.35">
      <c r="F2706">
        <v>2701</v>
      </c>
      <c r="G2706" s="102">
        <f t="shared" ca="1" si="46"/>
        <v>-9.5404747393362646E-2</v>
      </c>
    </row>
    <row r="2707" spans="6:7" x14ac:dyDescent="0.35">
      <c r="F2707">
        <v>2702</v>
      </c>
      <c r="G2707" s="102">
        <f t="shared" ca="1" si="46"/>
        <v>3.6171650936540706E-2</v>
      </c>
    </row>
    <row r="2708" spans="6:7" x14ac:dyDescent="0.35">
      <c r="F2708">
        <v>2703</v>
      </c>
      <c r="G2708" s="102">
        <f t="shared" ca="1" si="46"/>
        <v>5.3615231547326864E-2</v>
      </c>
    </row>
    <row r="2709" spans="6:7" x14ac:dyDescent="0.35">
      <c r="F2709">
        <v>2704</v>
      </c>
      <c r="G2709" s="102">
        <f t="shared" ca="1" si="46"/>
        <v>2.8841633618893466E-2</v>
      </c>
    </row>
    <row r="2710" spans="6:7" x14ac:dyDescent="0.35">
      <c r="F2710">
        <v>2705</v>
      </c>
      <c r="G2710" s="102">
        <f t="shared" ca="1" si="46"/>
        <v>-8.8407182191588413E-2</v>
      </c>
    </row>
    <row r="2711" spans="6:7" x14ac:dyDescent="0.35">
      <c r="F2711">
        <v>2706</v>
      </c>
      <c r="G2711" s="102">
        <f t="shared" ca="1" si="46"/>
        <v>5.4269809115871731E-2</v>
      </c>
    </row>
    <row r="2712" spans="6:7" x14ac:dyDescent="0.35">
      <c r="F2712">
        <v>2707</v>
      </c>
      <c r="G2712" s="102">
        <f t="shared" ca="1" si="46"/>
        <v>5.9012560882786724E-2</v>
      </c>
    </row>
    <row r="2713" spans="6:7" x14ac:dyDescent="0.35">
      <c r="F2713">
        <v>2708</v>
      </c>
      <c r="G2713" s="102">
        <f t="shared" ca="1" si="46"/>
        <v>8.2590162458154287E-2</v>
      </c>
    </row>
    <row r="2714" spans="6:7" x14ac:dyDescent="0.35">
      <c r="F2714">
        <v>2709</v>
      </c>
      <c r="G2714" s="102">
        <f t="shared" ca="1" si="46"/>
        <v>4.3543298731007762E-2</v>
      </c>
    </row>
    <row r="2715" spans="6:7" x14ac:dyDescent="0.35">
      <c r="F2715">
        <v>2710</v>
      </c>
      <c r="G2715" s="102">
        <f t="shared" ca="1" si="46"/>
        <v>-4.7280195667399438E-2</v>
      </c>
    </row>
    <row r="2716" spans="6:7" x14ac:dyDescent="0.35">
      <c r="F2716">
        <v>2711</v>
      </c>
      <c r="G2716" s="102">
        <f t="shared" ca="1" si="46"/>
        <v>9.3406758477812463E-2</v>
      </c>
    </row>
    <row r="2717" spans="6:7" x14ac:dyDescent="0.35">
      <c r="F2717">
        <v>2712</v>
      </c>
      <c r="G2717" s="102">
        <f t="shared" ca="1" si="46"/>
        <v>-9.3613414740338019E-2</v>
      </c>
    </row>
    <row r="2718" spans="6:7" x14ac:dyDescent="0.35">
      <c r="F2718">
        <v>2713</v>
      </c>
      <c r="G2718" s="102">
        <f t="shared" ca="1" si="46"/>
        <v>-3.0288043141692058E-2</v>
      </c>
    </row>
    <row r="2719" spans="6:7" x14ac:dyDescent="0.35">
      <c r="F2719">
        <v>2714</v>
      </c>
      <c r="G2719" s="102">
        <f t="shared" ca="1" si="46"/>
        <v>-1.2849806161415664E-3</v>
      </c>
    </row>
    <row r="2720" spans="6:7" x14ac:dyDescent="0.35">
      <c r="F2720">
        <v>2715</v>
      </c>
      <c r="G2720" s="102">
        <f t="shared" ca="1" si="46"/>
        <v>-0.12062657026182354</v>
      </c>
    </row>
    <row r="2721" spans="6:7" x14ac:dyDescent="0.35">
      <c r="F2721">
        <v>2716</v>
      </c>
      <c r="G2721" s="102">
        <f t="shared" ca="1" si="46"/>
        <v>-2.2834032761001665E-2</v>
      </c>
    </row>
    <row r="2722" spans="6:7" x14ac:dyDescent="0.35">
      <c r="F2722">
        <v>2717</v>
      </c>
      <c r="G2722" s="102">
        <f t="shared" ca="1" si="46"/>
        <v>3.7057552444852825E-3</v>
      </c>
    </row>
    <row r="2723" spans="6:7" x14ac:dyDescent="0.35">
      <c r="F2723">
        <v>2718</v>
      </c>
      <c r="G2723" s="102">
        <f t="shared" ca="1" si="46"/>
        <v>-9.1301905409012715E-2</v>
      </c>
    </row>
    <row r="2724" spans="6:7" x14ac:dyDescent="0.35">
      <c r="F2724">
        <v>2719</v>
      </c>
      <c r="G2724" s="102">
        <f t="shared" ca="1" si="46"/>
        <v>-2.1603562610355512E-4</v>
      </c>
    </row>
    <row r="2725" spans="6:7" x14ac:dyDescent="0.35">
      <c r="F2725">
        <v>2720</v>
      </c>
      <c r="G2725" s="102">
        <f t="shared" ca="1" si="46"/>
        <v>-4.4189680009327673E-2</v>
      </c>
    </row>
    <row r="2726" spans="6:7" x14ac:dyDescent="0.35">
      <c r="F2726">
        <v>2721</v>
      </c>
      <c r="G2726" s="102">
        <f t="shared" ca="1" si="46"/>
        <v>6.2052276432223524E-2</v>
      </c>
    </row>
    <row r="2727" spans="6:7" x14ac:dyDescent="0.35">
      <c r="F2727">
        <v>2722</v>
      </c>
      <c r="G2727" s="102">
        <f t="shared" ca="1" si="46"/>
        <v>5.3594765725767227E-2</v>
      </c>
    </row>
    <row r="2728" spans="6:7" x14ac:dyDescent="0.35">
      <c r="F2728">
        <v>2723</v>
      </c>
      <c r="G2728" s="102">
        <f t="shared" ca="1" si="46"/>
        <v>2.8795611579833871E-2</v>
      </c>
    </row>
    <row r="2729" spans="6:7" x14ac:dyDescent="0.35">
      <c r="F2729">
        <v>2724</v>
      </c>
      <c r="G2729" s="102">
        <f t="shared" ca="1" si="46"/>
        <v>5.392631828847548E-2</v>
      </c>
    </row>
    <row r="2730" spans="6:7" x14ac:dyDescent="0.35">
      <c r="F2730">
        <v>2725</v>
      </c>
      <c r="G2730" s="102">
        <f t="shared" ca="1" si="46"/>
        <v>-8.0927529707552265E-2</v>
      </c>
    </row>
    <row r="2731" spans="6:7" x14ac:dyDescent="0.35">
      <c r="F2731">
        <v>2726</v>
      </c>
      <c r="G2731" s="102">
        <f t="shared" ca="1" si="46"/>
        <v>1.2066299698608181E-2</v>
      </c>
    </row>
    <row r="2732" spans="6:7" x14ac:dyDescent="0.35">
      <c r="F2732">
        <v>2727</v>
      </c>
      <c r="G2732" s="102">
        <f t="shared" ca="1" si="46"/>
        <v>-2.9373065021962838E-2</v>
      </c>
    </row>
    <row r="2733" spans="6:7" x14ac:dyDescent="0.35">
      <c r="F2733">
        <v>2728</v>
      </c>
      <c r="G2733" s="102">
        <f t="shared" ca="1" si="46"/>
        <v>7.0997272581696021E-3</v>
      </c>
    </row>
    <row r="2734" spans="6:7" x14ac:dyDescent="0.35">
      <c r="F2734">
        <v>2729</v>
      </c>
      <c r="G2734" s="102">
        <f t="shared" ca="1" si="46"/>
        <v>-8.8018530823267271E-3</v>
      </c>
    </row>
    <row r="2735" spans="6:7" x14ac:dyDescent="0.35">
      <c r="F2735">
        <v>2730</v>
      </c>
      <c r="G2735" s="102">
        <f t="shared" ca="1" si="46"/>
        <v>1.7898720392161786E-2</v>
      </c>
    </row>
    <row r="2736" spans="6:7" x14ac:dyDescent="0.35">
      <c r="F2736">
        <v>2731</v>
      </c>
      <c r="G2736" s="102">
        <f t="shared" ca="1" si="46"/>
        <v>-4.7789362075607841E-2</v>
      </c>
    </row>
    <row r="2737" spans="6:7" x14ac:dyDescent="0.35">
      <c r="F2737">
        <v>2732</v>
      </c>
      <c r="G2737" s="102">
        <f t="shared" ca="1" si="46"/>
        <v>0.11268397273636267</v>
      </c>
    </row>
    <row r="2738" spans="6:7" x14ac:dyDescent="0.35">
      <c r="F2738">
        <v>2733</v>
      </c>
      <c r="G2738" s="102">
        <f t="shared" ca="1" si="46"/>
        <v>6.9967099681818384E-2</v>
      </c>
    </row>
    <row r="2739" spans="6:7" x14ac:dyDescent="0.35">
      <c r="F2739">
        <v>2734</v>
      </c>
      <c r="G2739" s="102">
        <f t="shared" ca="1" si="46"/>
        <v>3.818294865551633E-2</v>
      </c>
    </row>
    <row r="2740" spans="6:7" x14ac:dyDescent="0.35">
      <c r="F2740">
        <v>2735</v>
      </c>
      <c r="G2740" s="102">
        <f t="shared" ca="1" si="46"/>
        <v>-8.9964793422244504E-2</v>
      </c>
    </row>
    <row r="2741" spans="6:7" x14ac:dyDescent="0.35">
      <c r="F2741">
        <v>2736</v>
      </c>
      <c r="G2741" s="102">
        <f t="shared" ca="1" si="46"/>
        <v>7.8527728677284612E-3</v>
      </c>
    </row>
    <row r="2742" spans="6:7" x14ac:dyDescent="0.35">
      <c r="F2742">
        <v>2737</v>
      </c>
      <c r="G2742" s="102">
        <f t="shared" ca="1" si="46"/>
        <v>3.6662292714670974E-2</v>
      </c>
    </row>
    <row r="2743" spans="6:7" x14ac:dyDescent="0.35">
      <c r="F2743">
        <v>2738</v>
      </c>
      <c r="G2743" s="102">
        <f t="shared" ca="1" si="46"/>
        <v>-0.15034416881293353</v>
      </c>
    </row>
    <row r="2744" spans="6:7" x14ac:dyDescent="0.35">
      <c r="F2744">
        <v>2739</v>
      </c>
      <c r="G2744" s="102">
        <f t="shared" ca="1" si="46"/>
        <v>7.0641640502262737E-2</v>
      </c>
    </row>
    <row r="2745" spans="6:7" x14ac:dyDescent="0.35">
      <c r="F2745">
        <v>2740</v>
      </c>
      <c r="G2745" s="102">
        <f t="shared" ca="1" si="46"/>
        <v>-3.8031551974409203E-2</v>
      </c>
    </row>
    <row r="2746" spans="6:7" x14ac:dyDescent="0.35">
      <c r="F2746">
        <v>2741</v>
      </c>
      <c r="G2746" s="102">
        <f t="shared" ca="1" si="46"/>
        <v>-5.5845021414477738E-2</v>
      </c>
    </row>
    <row r="2747" spans="6:7" x14ac:dyDescent="0.35">
      <c r="F2747">
        <v>2742</v>
      </c>
      <c r="G2747" s="102">
        <f t="shared" ca="1" si="46"/>
        <v>1.7215163830009803E-2</v>
      </c>
    </row>
    <row r="2748" spans="6:7" x14ac:dyDescent="0.35">
      <c r="F2748">
        <v>2743</v>
      </c>
      <c r="G2748" s="102">
        <f t="shared" ca="1" si="46"/>
        <v>-4.4895216781089015E-2</v>
      </c>
    </row>
    <row r="2749" spans="6:7" x14ac:dyDescent="0.35">
      <c r="F2749">
        <v>2744</v>
      </c>
      <c r="G2749" s="102">
        <f t="shared" ca="1" si="46"/>
        <v>-2.4827121614476599E-2</v>
      </c>
    </row>
    <row r="2750" spans="6:7" x14ac:dyDescent="0.35">
      <c r="F2750">
        <v>2745</v>
      </c>
      <c r="G2750" s="102">
        <f t="shared" ca="1" si="46"/>
        <v>-5.934600509370018E-2</v>
      </c>
    </row>
    <row r="2751" spans="6:7" x14ac:dyDescent="0.35">
      <c r="F2751">
        <v>2746</v>
      </c>
      <c r="G2751" s="102">
        <f t="shared" ca="1" si="46"/>
        <v>9.8163211382420318E-5</v>
      </c>
    </row>
    <row r="2752" spans="6:7" x14ac:dyDescent="0.35">
      <c r="F2752">
        <v>2747</v>
      </c>
      <c r="G2752" s="102">
        <f t="shared" ca="1" si="46"/>
        <v>7.8777105377189197E-2</v>
      </c>
    </row>
    <row r="2753" spans="6:7" x14ac:dyDescent="0.35">
      <c r="F2753">
        <v>2748</v>
      </c>
      <c r="G2753" s="102">
        <f t="shared" ca="1" si="46"/>
        <v>6.0669955172570067E-2</v>
      </c>
    </row>
    <row r="2754" spans="6:7" x14ac:dyDescent="0.35">
      <c r="F2754">
        <v>2749</v>
      </c>
      <c r="G2754" s="102">
        <f t="shared" ca="1" si="46"/>
        <v>8.5219472740950993E-3</v>
      </c>
    </row>
    <row r="2755" spans="6:7" x14ac:dyDescent="0.35">
      <c r="F2755">
        <v>2750</v>
      </c>
      <c r="G2755" s="102">
        <f t="shared" ca="1" si="46"/>
        <v>0.10545096570823365</v>
      </c>
    </row>
    <row r="2756" spans="6:7" x14ac:dyDescent="0.35">
      <c r="F2756">
        <v>2751</v>
      </c>
      <c r="G2756" s="102">
        <f t="shared" ca="1" si="46"/>
        <v>2.6393173021739717E-2</v>
      </c>
    </row>
    <row r="2757" spans="6:7" x14ac:dyDescent="0.35">
      <c r="F2757">
        <v>2752</v>
      </c>
      <c r="G2757" s="102">
        <f t="shared" ca="1" si="46"/>
        <v>-2.1201309098509119E-2</v>
      </c>
    </row>
    <row r="2758" spans="6:7" x14ac:dyDescent="0.35">
      <c r="F2758">
        <v>2753</v>
      </c>
      <c r="G2758" s="102">
        <f t="shared" ca="1" si="46"/>
        <v>3.1880372387345715E-2</v>
      </c>
    </row>
    <row r="2759" spans="6:7" x14ac:dyDescent="0.35">
      <c r="F2759">
        <v>2754</v>
      </c>
      <c r="G2759" s="102">
        <f t="shared" ref="G2759:G2822" ca="1" si="47">_xlfn.NORM.INV(RAND(),M$9,M$10)</f>
        <v>-3.0474248003772002E-2</v>
      </c>
    </row>
    <row r="2760" spans="6:7" x14ac:dyDescent="0.35">
      <c r="F2760">
        <v>2755</v>
      </c>
      <c r="G2760" s="102">
        <f t="shared" ca="1" si="47"/>
        <v>-3.1381351596461944E-2</v>
      </c>
    </row>
    <row r="2761" spans="6:7" x14ac:dyDescent="0.35">
      <c r="F2761">
        <v>2756</v>
      </c>
      <c r="G2761" s="102">
        <f t="shared" ca="1" si="47"/>
        <v>1.3304613212115932E-2</v>
      </c>
    </row>
    <row r="2762" spans="6:7" x14ac:dyDescent="0.35">
      <c r="F2762">
        <v>2757</v>
      </c>
      <c r="G2762" s="102">
        <f t="shared" ca="1" si="47"/>
        <v>1.4741325729369353E-3</v>
      </c>
    </row>
    <row r="2763" spans="6:7" x14ac:dyDescent="0.35">
      <c r="F2763">
        <v>2758</v>
      </c>
      <c r="G2763" s="102">
        <f t="shared" ca="1" si="47"/>
        <v>-5.9836183772003865E-2</v>
      </c>
    </row>
    <row r="2764" spans="6:7" x14ac:dyDescent="0.35">
      <c r="F2764">
        <v>2759</v>
      </c>
      <c r="G2764" s="102">
        <f t="shared" ca="1" si="47"/>
        <v>2.5855366744376305E-2</v>
      </c>
    </row>
    <row r="2765" spans="6:7" x14ac:dyDescent="0.35">
      <c r="F2765">
        <v>2760</v>
      </c>
      <c r="G2765" s="102">
        <f t="shared" ca="1" si="47"/>
        <v>2.8727863068128533E-3</v>
      </c>
    </row>
    <row r="2766" spans="6:7" x14ac:dyDescent="0.35">
      <c r="F2766">
        <v>2761</v>
      </c>
      <c r="G2766" s="102">
        <f t="shared" ca="1" si="47"/>
        <v>-2.9122572272960966E-3</v>
      </c>
    </row>
    <row r="2767" spans="6:7" x14ac:dyDescent="0.35">
      <c r="F2767">
        <v>2762</v>
      </c>
      <c r="G2767" s="102">
        <f t="shared" ca="1" si="47"/>
        <v>-2.7641217411515578E-2</v>
      </c>
    </row>
    <row r="2768" spans="6:7" x14ac:dyDescent="0.35">
      <c r="F2768">
        <v>2763</v>
      </c>
      <c r="G2768" s="102">
        <f t="shared" ca="1" si="47"/>
        <v>-0.11115990937737975</v>
      </c>
    </row>
    <row r="2769" spans="6:7" x14ac:dyDescent="0.35">
      <c r="F2769">
        <v>2764</v>
      </c>
      <c r="G2769" s="102">
        <f t="shared" ca="1" si="47"/>
        <v>-1.0069139069864962E-2</v>
      </c>
    </row>
    <row r="2770" spans="6:7" x14ac:dyDescent="0.35">
      <c r="F2770">
        <v>2765</v>
      </c>
      <c r="G2770" s="102">
        <f t="shared" ca="1" si="47"/>
        <v>-4.9854455687592683E-2</v>
      </c>
    </row>
    <row r="2771" spans="6:7" x14ac:dyDescent="0.35">
      <c r="F2771">
        <v>2766</v>
      </c>
      <c r="G2771" s="102">
        <f t="shared" ca="1" si="47"/>
        <v>6.9509655346134472E-3</v>
      </c>
    </row>
    <row r="2772" spans="6:7" x14ac:dyDescent="0.35">
      <c r="F2772">
        <v>2767</v>
      </c>
      <c r="G2772" s="102">
        <f t="shared" ca="1" si="47"/>
        <v>-1.0084225918457885E-2</v>
      </c>
    </row>
    <row r="2773" spans="6:7" x14ac:dyDescent="0.35">
      <c r="F2773">
        <v>2768</v>
      </c>
      <c r="G2773" s="102">
        <f t="shared" ca="1" si="47"/>
        <v>-5.0664857510897443E-2</v>
      </c>
    </row>
    <row r="2774" spans="6:7" x14ac:dyDescent="0.35">
      <c r="F2774">
        <v>2769</v>
      </c>
      <c r="G2774" s="102">
        <f t="shared" ca="1" si="47"/>
        <v>-7.5125267707246451E-2</v>
      </c>
    </row>
    <row r="2775" spans="6:7" x14ac:dyDescent="0.35">
      <c r="F2775">
        <v>2770</v>
      </c>
      <c r="G2775" s="102">
        <f t="shared" ca="1" si="47"/>
        <v>-2.767282039769006E-3</v>
      </c>
    </row>
    <row r="2776" spans="6:7" x14ac:dyDescent="0.35">
      <c r="F2776">
        <v>2771</v>
      </c>
      <c r="G2776" s="102">
        <f t="shared" ca="1" si="47"/>
        <v>-3.9668841654778506E-5</v>
      </c>
    </row>
    <row r="2777" spans="6:7" x14ac:dyDescent="0.35">
      <c r="F2777">
        <v>2772</v>
      </c>
      <c r="G2777" s="102">
        <f t="shared" ca="1" si="47"/>
        <v>-6.4608816956180676E-2</v>
      </c>
    </row>
    <row r="2778" spans="6:7" x14ac:dyDescent="0.35">
      <c r="F2778">
        <v>2773</v>
      </c>
      <c r="G2778" s="102">
        <f t="shared" ca="1" si="47"/>
        <v>2.0095203896118099E-2</v>
      </c>
    </row>
    <row r="2779" spans="6:7" x14ac:dyDescent="0.35">
      <c r="F2779">
        <v>2774</v>
      </c>
      <c r="G2779" s="102">
        <f t="shared" ca="1" si="47"/>
        <v>-5.0078495273661261E-2</v>
      </c>
    </row>
    <row r="2780" spans="6:7" x14ac:dyDescent="0.35">
      <c r="F2780">
        <v>2775</v>
      </c>
      <c r="G2780" s="102">
        <f t="shared" ca="1" si="47"/>
        <v>6.23443772701196E-2</v>
      </c>
    </row>
    <row r="2781" spans="6:7" x14ac:dyDescent="0.35">
      <c r="F2781">
        <v>2776</v>
      </c>
      <c r="G2781" s="102">
        <f t="shared" ca="1" si="47"/>
        <v>2.1987681454565727E-2</v>
      </c>
    </row>
    <row r="2782" spans="6:7" x14ac:dyDescent="0.35">
      <c r="F2782">
        <v>2777</v>
      </c>
      <c r="G2782" s="102">
        <f t="shared" ca="1" si="47"/>
        <v>4.4330031285109844E-2</v>
      </c>
    </row>
    <row r="2783" spans="6:7" x14ac:dyDescent="0.35">
      <c r="F2783">
        <v>2778</v>
      </c>
      <c r="G2783" s="102">
        <f t="shared" ca="1" si="47"/>
        <v>8.12157959898239E-3</v>
      </c>
    </row>
    <row r="2784" spans="6:7" x14ac:dyDescent="0.35">
      <c r="F2784">
        <v>2779</v>
      </c>
      <c r="G2784" s="102">
        <f t="shared" ca="1" si="47"/>
        <v>4.6993273415502912E-2</v>
      </c>
    </row>
    <row r="2785" spans="6:7" x14ac:dyDescent="0.35">
      <c r="F2785">
        <v>2780</v>
      </c>
      <c r="G2785" s="102">
        <f t="shared" ca="1" si="47"/>
        <v>-2.0352166477994479E-2</v>
      </c>
    </row>
    <row r="2786" spans="6:7" x14ac:dyDescent="0.35">
      <c r="F2786">
        <v>2781</v>
      </c>
      <c r="G2786" s="102">
        <f t="shared" ca="1" si="47"/>
        <v>8.0073273814429663E-2</v>
      </c>
    </row>
    <row r="2787" spans="6:7" x14ac:dyDescent="0.35">
      <c r="F2787">
        <v>2782</v>
      </c>
      <c r="G2787" s="102">
        <f t="shared" ca="1" si="47"/>
        <v>3.8202313566344695E-2</v>
      </c>
    </row>
    <row r="2788" spans="6:7" x14ac:dyDescent="0.35">
      <c r="F2788">
        <v>2783</v>
      </c>
      <c r="G2788" s="102">
        <f t="shared" ca="1" si="47"/>
        <v>3.9544790811064018E-2</v>
      </c>
    </row>
    <row r="2789" spans="6:7" x14ac:dyDescent="0.35">
      <c r="F2789">
        <v>2784</v>
      </c>
      <c r="G2789" s="102">
        <f t="shared" ca="1" si="47"/>
        <v>2.7418980069166699E-2</v>
      </c>
    </row>
    <row r="2790" spans="6:7" x14ac:dyDescent="0.35">
      <c r="F2790">
        <v>2785</v>
      </c>
      <c r="G2790" s="102">
        <f t="shared" ca="1" si="47"/>
        <v>-0.1250623485979577</v>
      </c>
    </row>
    <row r="2791" spans="6:7" x14ac:dyDescent="0.35">
      <c r="F2791">
        <v>2786</v>
      </c>
      <c r="G2791" s="102">
        <f t="shared" ca="1" si="47"/>
        <v>-8.0479706320052372E-2</v>
      </c>
    </row>
    <row r="2792" spans="6:7" x14ac:dyDescent="0.35">
      <c r="F2792">
        <v>2787</v>
      </c>
      <c r="G2792" s="102">
        <f t="shared" ca="1" si="47"/>
        <v>-7.214765844397858E-2</v>
      </c>
    </row>
    <row r="2793" spans="6:7" x14ac:dyDescent="0.35">
      <c r="F2793">
        <v>2788</v>
      </c>
      <c r="G2793" s="102">
        <f t="shared" ca="1" si="47"/>
        <v>9.713828842816935E-3</v>
      </c>
    </row>
    <row r="2794" spans="6:7" x14ac:dyDescent="0.35">
      <c r="F2794">
        <v>2789</v>
      </c>
      <c r="G2794" s="102">
        <f t="shared" ca="1" si="47"/>
        <v>-5.1804115665228412E-2</v>
      </c>
    </row>
    <row r="2795" spans="6:7" x14ac:dyDescent="0.35">
      <c r="F2795">
        <v>2790</v>
      </c>
      <c r="G2795" s="102">
        <f t="shared" ca="1" si="47"/>
        <v>-3.9336871509502824E-2</v>
      </c>
    </row>
    <row r="2796" spans="6:7" x14ac:dyDescent="0.35">
      <c r="F2796">
        <v>2791</v>
      </c>
      <c r="G2796" s="102">
        <f t="shared" ca="1" si="47"/>
        <v>-8.4076049930805752E-3</v>
      </c>
    </row>
    <row r="2797" spans="6:7" x14ac:dyDescent="0.35">
      <c r="F2797">
        <v>2792</v>
      </c>
      <c r="G2797" s="102">
        <f t="shared" ca="1" si="47"/>
        <v>-7.8611467542582785E-3</v>
      </c>
    </row>
    <row r="2798" spans="6:7" x14ac:dyDescent="0.35">
      <c r="F2798">
        <v>2793</v>
      </c>
      <c r="G2798" s="102">
        <f t="shared" ca="1" si="47"/>
        <v>5.6713779263388844E-2</v>
      </c>
    </row>
    <row r="2799" spans="6:7" x14ac:dyDescent="0.35">
      <c r="F2799">
        <v>2794</v>
      </c>
      <c r="G2799" s="102">
        <f t="shared" ca="1" si="47"/>
        <v>-2.0463250365142863E-2</v>
      </c>
    </row>
    <row r="2800" spans="6:7" x14ac:dyDescent="0.35">
      <c r="F2800">
        <v>2795</v>
      </c>
      <c r="G2800" s="102">
        <f t="shared" ca="1" si="47"/>
        <v>7.8021153584540731E-2</v>
      </c>
    </row>
    <row r="2801" spans="6:7" x14ac:dyDescent="0.35">
      <c r="F2801">
        <v>2796</v>
      </c>
      <c r="G2801" s="102">
        <f t="shared" ca="1" si="47"/>
        <v>3.2326878280551072E-2</v>
      </c>
    </row>
    <row r="2802" spans="6:7" x14ac:dyDescent="0.35">
      <c r="F2802">
        <v>2797</v>
      </c>
      <c r="G2802" s="102">
        <f t="shared" ca="1" si="47"/>
        <v>4.509790986599807E-2</v>
      </c>
    </row>
    <row r="2803" spans="6:7" x14ac:dyDescent="0.35">
      <c r="F2803">
        <v>2798</v>
      </c>
      <c r="G2803" s="102">
        <f t="shared" ca="1" si="47"/>
        <v>-8.0306567760653688E-2</v>
      </c>
    </row>
    <row r="2804" spans="6:7" x14ac:dyDescent="0.35">
      <c r="F2804">
        <v>2799</v>
      </c>
      <c r="G2804" s="102">
        <f t="shared" ca="1" si="47"/>
        <v>1.5062732185325341E-2</v>
      </c>
    </row>
    <row r="2805" spans="6:7" x14ac:dyDescent="0.35">
      <c r="F2805">
        <v>2800</v>
      </c>
      <c r="G2805" s="102">
        <f t="shared" ca="1" si="47"/>
        <v>7.9858749001914406E-2</v>
      </c>
    </row>
    <row r="2806" spans="6:7" x14ac:dyDescent="0.35">
      <c r="F2806">
        <v>2801</v>
      </c>
      <c r="G2806" s="102">
        <f t="shared" ca="1" si="47"/>
        <v>9.6928956321798519E-3</v>
      </c>
    </row>
    <row r="2807" spans="6:7" x14ac:dyDescent="0.35">
      <c r="F2807">
        <v>2802</v>
      </c>
      <c r="G2807" s="102">
        <f t="shared" ca="1" si="47"/>
        <v>-4.8596592017886991E-2</v>
      </c>
    </row>
    <row r="2808" spans="6:7" x14ac:dyDescent="0.35">
      <c r="F2808">
        <v>2803</v>
      </c>
      <c r="G2808" s="102">
        <f t="shared" ca="1" si="47"/>
        <v>3.9521856479795836E-2</v>
      </c>
    </row>
    <row r="2809" spans="6:7" x14ac:dyDescent="0.35">
      <c r="F2809">
        <v>2804</v>
      </c>
      <c r="G2809" s="102">
        <f t="shared" ca="1" si="47"/>
        <v>-1.5135754560432681E-2</v>
      </c>
    </row>
    <row r="2810" spans="6:7" x14ac:dyDescent="0.35">
      <c r="F2810">
        <v>2805</v>
      </c>
      <c r="G2810" s="102">
        <f t="shared" ca="1" si="47"/>
        <v>-4.7053473709182489E-2</v>
      </c>
    </row>
    <row r="2811" spans="6:7" x14ac:dyDescent="0.35">
      <c r="F2811">
        <v>2806</v>
      </c>
      <c r="G2811" s="102">
        <f t="shared" ca="1" si="47"/>
        <v>2.3658876887481046E-2</v>
      </c>
    </row>
    <row r="2812" spans="6:7" x14ac:dyDescent="0.35">
      <c r="F2812">
        <v>2807</v>
      </c>
      <c r="G2812" s="102">
        <f t="shared" ca="1" si="47"/>
        <v>-5.7912826445361068E-2</v>
      </c>
    </row>
    <row r="2813" spans="6:7" x14ac:dyDescent="0.35">
      <c r="F2813">
        <v>2808</v>
      </c>
      <c r="G2813" s="102">
        <f t="shared" ca="1" si="47"/>
        <v>-9.5087777193522724E-2</v>
      </c>
    </row>
    <row r="2814" spans="6:7" x14ac:dyDescent="0.35">
      <c r="F2814">
        <v>2809</v>
      </c>
      <c r="G2814" s="102">
        <f t="shared" ca="1" si="47"/>
        <v>-2.9723577265946696E-2</v>
      </c>
    </row>
    <row r="2815" spans="6:7" x14ac:dyDescent="0.35">
      <c r="F2815">
        <v>2810</v>
      </c>
      <c r="G2815" s="102">
        <f t="shared" ca="1" si="47"/>
        <v>8.5836651162601429E-3</v>
      </c>
    </row>
    <row r="2816" spans="6:7" x14ac:dyDescent="0.35">
      <c r="F2816">
        <v>2811</v>
      </c>
      <c r="G2816" s="102">
        <f t="shared" ca="1" si="47"/>
        <v>-5.2977478685722557E-2</v>
      </c>
    </row>
    <row r="2817" spans="6:7" x14ac:dyDescent="0.35">
      <c r="F2817">
        <v>2812</v>
      </c>
      <c r="G2817" s="102">
        <f t="shared" ca="1" si="47"/>
        <v>-2.1752344874197745E-2</v>
      </c>
    </row>
    <row r="2818" spans="6:7" x14ac:dyDescent="0.35">
      <c r="F2818">
        <v>2813</v>
      </c>
      <c r="G2818" s="102">
        <f t="shared" ca="1" si="47"/>
        <v>0.10898459044874118</v>
      </c>
    </row>
    <row r="2819" spans="6:7" x14ac:dyDescent="0.35">
      <c r="F2819">
        <v>2814</v>
      </c>
      <c r="G2819" s="102">
        <f t="shared" ca="1" si="47"/>
        <v>1.2017805927356743E-2</v>
      </c>
    </row>
    <row r="2820" spans="6:7" x14ac:dyDescent="0.35">
      <c r="F2820">
        <v>2815</v>
      </c>
      <c r="G2820" s="102">
        <f t="shared" ca="1" si="47"/>
        <v>4.7722391757695992E-2</v>
      </c>
    </row>
    <row r="2821" spans="6:7" x14ac:dyDescent="0.35">
      <c r="F2821">
        <v>2816</v>
      </c>
      <c r="G2821" s="102">
        <f t="shared" ca="1" si="47"/>
        <v>-6.5611344025119006E-2</v>
      </c>
    </row>
    <row r="2822" spans="6:7" x14ac:dyDescent="0.35">
      <c r="F2822">
        <v>2817</v>
      </c>
      <c r="G2822" s="102">
        <f t="shared" ca="1" si="47"/>
        <v>-0.10425586252559842</v>
      </c>
    </row>
    <row r="2823" spans="6:7" x14ac:dyDescent="0.35">
      <c r="F2823">
        <v>2818</v>
      </c>
      <c r="G2823" s="102">
        <f t="shared" ref="G2823:G2886" ca="1" si="48">_xlfn.NORM.INV(RAND(),M$9,M$10)</f>
        <v>8.5307290095731989E-3</v>
      </c>
    </row>
    <row r="2824" spans="6:7" x14ac:dyDescent="0.35">
      <c r="F2824">
        <v>2819</v>
      </c>
      <c r="G2824" s="102">
        <f t="shared" ca="1" si="48"/>
        <v>-7.6075691399568102E-2</v>
      </c>
    </row>
    <row r="2825" spans="6:7" x14ac:dyDescent="0.35">
      <c r="F2825">
        <v>2820</v>
      </c>
      <c r="G2825" s="102">
        <f t="shared" ca="1" si="48"/>
        <v>-5.0718238030826202E-2</v>
      </c>
    </row>
    <row r="2826" spans="6:7" x14ac:dyDescent="0.35">
      <c r="F2826">
        <v>2821</v>
      </c>
      <c r="G2826" s="102">
        <f t="shared" ca="1" si="48"/>
        <v>-2.0543682713632706E-2</v>
      </c>
    </row>
    <row r="2827" spans="6:7" x14ac:dyDescent="0.35">
      <c r="F2827">
        <v>2822</v>
      </c>
      <c r="G2827" s="102">
        <f t="shared" ca="1" si="48"/>
        <v>7.4581975754295995E-3</v>
      </c>
    </row>
    <row r="2828" spans="6:7" x14ac:dyDescent="0.35">
      <c r="F2828">
        <v>2823</v>
      </c>
      <c r="G2828" s="102">
        <f t="shared" ca="1" si="48"/>
        <v>6.7991319761426958E-2</v>
      </c>
    </row>
    <row r="2829" spans="6:7" x14ac:dyDescent="0.35">
      <c r="F2829">
        <v>2824</v>
      </c>
      <c r="G2829" s="102">
        <f t="shared" ca="1" si="48"/>
        <v>5.217161844919195E-2</v>
      </c>
    </row>
    <row r="2830" spans="6:7" x14ac:dyDescent="0.35">
      <c r="F2830">
        <v>2825</v>
      </c>
      <c r="G2830" s="102">
        <f t="shared" ca="1" si="48"/>
        <v>-9.9644179402048907E-2</v>
      </c>
    </row>
    <row r="2831" spans="6:7" x14ac:dyDescent="0.35">
      <c r="F2831">
        <v>2826</v>
      </c>
      <c r="G2831" s="102">
        <f t="shared" ca="1" si="48"/>
        <v>6.5880423102041355E-2</v>
      </c>
    </row>
    <row r="2832" spans="6:7" x14ac:dyDescent="0.35">
      <c r="F2832">
        <v>2827</v>
      </c>
      <c r="G2832" s="102">
        <f t="shared" ca="1" si="48"/>
        <v>-2.9053480351574127E-2</v>
      </c>
    </row>
    <row r="2833" spans="6:7" x14ac:dyDescent="0.35">
      <c r="F2833">
        <v>2828</v>
      </c>
      <c r="G2833" s="102">
        <f t="shared" ca="1" si="48"/>
        <v>-4.5533966391078748E-2</v>
      </c>
    </row>
    <row r="2834" spans="6:7" x14ac:dyDescent="0.35">
      <c r="F2834">
        <v>2829</v>
      </c>
      <c r="G2834" s="102">
        <f t="shared" ca="1" si="48"/>
        <v>6.001259796935271E-2</v>
      </c>
    </row>
    <row r="2835" spans="6:7" x14ac:dyDescent="0.35">
      <c r="F2835">
        <v>2830</v>
      </c>
      <c r="G2835" s="102">
        <f t="shared" ca="1" si="48"/>
        <v>-2.2930963906056755E-3</v>
      </c>
    </row>
    <row r="2836" spans="6:7" x14ac:dyDescent="0.35">
      <c r="F2836">
        <v>2831</v>
      </c>
      <c r="G2836" s="102">
        <f t="shared" ca="1" si="48"/>
        <v>-4.440099497678171E-2</v>
      </c>
    </row>
    <row r="2837" spans="6:7" x14ac:dyDescent="0.35">
      <c r="F2837">
        <v>2832</v>
      </c>
      <c r="G2837" s="102">
        <f t="shared" ca="1" si="48"/>
        <v>-3.4132057780187859E-2</v>
      </c>
    </row>
    <row r="2838" spans="6:7" x14ac:dyDescent="0.35">
      <c r="F2838">
        <v>2833</v>
      </c>
      <c r="G2838" s="102">
        <f t="shared" ca="1" si="48"/>
        <v>4.2322273963796668E-3</v>
      </c>
    </row>
    <row r="2839" spans="6:7" x14ac:dyDescent="0.35">
      <c r="F2839">
        <v>2834</v>
      </c>
      <c r="G2839" s="102">
        <f t="shared" ca="1" si="48"/>
        <v>1.185845113356343E-3</v>
      </c>
    </row>
    <row r="2840" spans="6:7" x14ac:dyDescent="0.35">
      <c r="F2840">
        <v>2835</v>
      </c>
      <c r="G2840" s="102">
        <f t="shared" ca="1" si="48"/>
        <v>-7.6692815860550365E-2</v>
      </c>
    </row>
    <row r="2841" spans="6:7" x14ac:dyDescent="0.35">
      <c r="F2841">
        <v>2836</v>
      </c>
      <c r="G2841" s="102">
        <f t="shared" ca="1" si="48"/>
        <v>2.3151807748018786E-2</v>
      </c>
    </row>
    <row r="2842" spans="6:7" x14ac:dyDescent="0.35">
      <c r="F2842">
        <v>2837</v>
      </c>
      <c r="G2842" s="102">
        <f t="shared" ca="1" si="48"/>
        <v>1.0084710321492631E-2</v>
      </c>
    </row>
    <row r="2843" spans="6:7" x14ac:dyDescent="0.35">
      <c r="F2843">
        <v>2838</v>
      </c>
      <c r="G2843" s="102">
        <f t="shared" ca="1" si="48"/>
        <v>-1.0405706508452925E-2</v>
      </c>
    </row>
    <row r="2844" spans="6:7" x14ac:dyDescent="0.35">
      <c r="F2844">
        <v>2839</v>
      </c>
      <c r="G2844" s="102">
        <f t="shared" ca="1" si="48"/>
        <v>-0.10683008955424313</v>
      </c>
    </row>
    <row r="2845" spans="6:7" x14ac:dyDescent="0.35">
      <c r="F2845">
        <v>2840</v>
      </c>
      <c r="G2845" s="102">
        <f t="shared" ca="1" si="48"/>
        <v>1.8365453668440283E-2</v>
      </c>
    </row>
    <row r="2846" spans="6:7" x14ac:dyDescent="0.35">
      <c r="F2846">
        <v>2841</v>
      </c>
      <c r="G2846" s="102">
        <f t="shared" ca="1" si="48"/>
        <v>-0.10529096927431635</v>
      </c>
    </row>
    <row r="2847" spans="6:7" x14ac:dyDescent="0.35">
      <c r="F2847">
        <v>2842</v>
      </c>
      <c r="G2847" s="102">
        <f t="shared" ca="1" si="48"/>
        <v>1.1295269719456345E-2</v>
      </c>
    </row>
    <row r="2848" spans="6:7" x14ac:dyDescent="0.35">
      <c r="F2848">
        <v>2843</v>
      </c>
      <c r="G2848" s="102">
        <f t="shared" ca="1" si="48"/>
        <v>0.13281161799961891</v>
      </c>
    </row>
    <row r="2849" spans="6:7" x14ac:dyDescent="0.35">
      <c r="F2849">
        <v>2844</v>
      </c>
      <c r="G2849" s="102">
        <f t="shared" ca="1" si="48"/>
        <v>-2.4215903031415322E-2</v>
      </c>
    </row>
    <row r="2850" spans="6:7" x14ac:dyDescent="0.35">
      <c r="F2850">
        <v>2845</v>
      </c>
      <c r="G2850" s="102">
        <f t="shared" ca="1" si="48"/>
        <v>2.8704922495506966E-2</v>
      </c>
    </row>
    <row r="2851" spans="6:7" x14ac:dyDescent="0.35">
      <c r="F2851">
        <v>2846</v>
      </c>
      <c r="G2851" s="102">
        <f t="shared" ca="1" si="48"/>
        <v>-7.6726757698147713E-2</v>
      </c>
    </row>
    <row r="2852" spans="6:7" x14ac:dyDescent="0.35">
      <c r="F2852">
        <v>2847</v>
      </c>
      <c r="G2852" s="102">
        <f t="shared" ca="1" si="48"/>
        <v>-5.2751146533547344E-2</v>
      </c>
    </row>
    <row r="2853" spans="6:7" x14ac:dyDescent="0.35">
      <c r="F2853">
        <v>2848</v>
      </c>
      <c r="G2853" s="102">
        <f t="shared" ca="1" si="48"/>
        <v>2.7963138239768866E-3</v>
      </c>
    </row>
    <row r="2854" spans="6:7" x14ac:dyDescent="0.35">
      <c r="F2854">
        <v>2849</v>
      </c>
      <c r="G2854" s="102">
        <f t="shared" ca="1" si="48"/>
        <v>2.072454790395761E-2</v>
      </c>
    </row>
    <row r="2855" spans="6:7" x14ac:dyDescent="0.35">
      <c r="F2855">
        <v>2850</v>
      </c>
      <c r="G2855" s="102">
        <f t="shared" ca="1" si="48"/>
        <v>-2.0055732674503512E-2</v>
      </c>
    </row>
    <row r="2856" spans="6:7" x14ac:dyDescent="0.35">
      <c r="F2856">
        <v>2851</v>
      </c>
      <c r="G2856" s="102">
        <f t="shared" ca="1" si="48"/>
        <v>4.2406109470298575E-2</v>
      </c>
    </row>
    <row r="2857" spans="6:7" x14ac:dyDescent="0.35">
      <c r="F2857">
        <v>2852</v>
      </c>
      <c r="G2857" s="102">
        <f t="shared" ca="1" si="48"/>
        <v>-3.7425060367729714E-3</v>
      </c>
    </row>
    <row r="2858" spans="6:7" x14ac:dyDescent="0.35">
      <c r="F2858">
        <v>2853</v>
      </c>
      <c r="G2858" s="102">
        <f t="shared" ca="1" si="48"/>
        <v>6.6730971458143825E-3</v>
      </c>
    </row>
    <row r="2859" spans="6:7" x14ac:dyDescent="0.35">
      <c r="F2859">
        <v>2854</v>
      </c>
      <c r="G2859" s="102">
        <f t="shared" ca="1" si="48"/>
        <v>-7.5588802156616355E-2</v>
      </c>
    </row>
    <row r="2860" spans="6:7" x14ac:dyDescent="0.35">
      <c r="F2860">
        <v>2855</v>
      </c>
      <c r="G2860" s="102">
        <f t="shared" ca="1" si="48"/>
        <v>3.6889356756500249E-2</v>
      </c>
    </row>
    <row r="2861" spans="6:7" x14ac:dyDescent="0.35">
      <c r="F2861">
        <v>2856</v>
      </c>
      <c r="G2861" s="102">
        <f t="shared" ca="1" si="48"/>
        <v>-0.10385314108370249</v>
      </c>
    </row>
    <row r="2862" spans="6:7" x14ac:dyDescent="0.35">
      <c r="F2862">
        <v>2857</v>
      </c>
      <c r="G2862" s="102">
        <f t="shared" ca="1" si="48"/>
        <v>-4.7509323811862139E-2</v>
      </c>
    </row>
    <row r="2863" spans="6:7" x14ac:dyDescent="0.35">
      <c r="F2863">
        <v>2858</v>
      </c>
      <c r="G2863" s="102">
        <f t="shared" ca="1" si="48"/>
        <v>2.5342413246081639E-2</v>
      </c>
    </row>
    <row r="2864" spans="6:7" x14ac:dyDescent="0.35">
      <c r="F2864">
        <v>2859</v>
      </c>
      <c r="G2864" s="102">
        <f t="shared" ca="1" si="48"/>
        <v>1.9180748117615332E-2</v>
      </c>
    </row>
    <row r="2865" spans="6:7" x14ac:dyDescent="0.35">
      <c r="F2865">
        <v>2860</v>
      </c>
      <c r="G2865" s="102">
        <f t="shared" ca="1" si="48"/>
        <v>-2.1194750237676769E-2</v>
      </c>
    </row>
    <row r="2866" spans="6:7" x14ac:dyDescent="0.35">
      <c r="F2866">
        <v>2861</v>
      </c>
      <c r="G2866" s="102">
        <f t="shared" ca="1" si="48"/>
        <v>-2.0538807644758985E-2</v>
      </c>
    </row>
    <row r="2867" spans="6:7" x14ac:dyDescent="0.35">
      <c r="F2867">
        <v>2862</v>
      </c>
      <c r="G2867" s="102">
        <f t="shared" ca="1" si="48"/>
        <v>9.7436056104197769E-2</v>
      </c>
    </row>
    <row r="2868" spans="6:7" x14ac:dyDescent="0.35">
      <c r="F2868">
        <v>2863</v>
      </c>
      <c r="G2868" s="102">
        <f t="shared" ca="1" si="48"/>
        <v>0.10607932447901008</v>
      </c>
    </row>
    <row r="2869" spans="6:7" x14ac:dyDescent="0.35">
      <c r="F2869">
        <v>2864</v>
      </c>
      <c r="G2869" s="102">
        <f t="shared" ca="1" si="48"/>
        <v>-9.222329025255091E-2</v>
      </c>
    </row>
    <row r="2870" spans="6:7" x14ac:dyDescent="0.35">
      <c r="F2870">
        <v>2865</v>
      </c>
      <c r="G2870" s="102">
        <f t="shared" ca="1" si="48"/>
        <v>4.6058489879855238E-2</v>
      </c>
    </row>
    <row r="2871" spans="6:7" x14ac:dyDescent="0.35">
      <c r="F2871">
        <v>2866</v>
      </c>
      <c r="G2871" s="102">
        <f t="shared" ca="1" si="48"/>
        <v>6.6668528413003966E-3</v>
      </c>
    </row>
    <row r="2872" spans="6:7" x14ac:dyDescent="0.35">
      <c r="F2872">
        <v>2867</v>
      </c>
      <c r="G2872" s="102">
        <f t="shared" ca="1" si="48"/>
        <v>0.11708592398801587</v>
      </c>
    </row>
    <row r="2873" spans="6:7" x14ac:dyDescent="0.35">
      <c r="F2873">
        <v>2868</v>
      </c>
      <c r="G2873" s="102">
        <f t="shared" ca="1" si="48"/>
        <v>1.5857089266871065E-2</v>
      </c>
    </row>
    <row r="2874" spans="6:7" x14ac:dyDescent="0.35">
      <c r="F2874">
        <v>2869</v>
      </c>
      <c r="G2874" s="102">
        <f t="shared" ca="1" si="48"/>
        <v>-8.5539355734365052E-2</v>
      </c>
    </row>
    <row r="2875" spans="6:7" x14ac:dyDescent="0.35">
      <c r="F2875">
        <v>2870</v>
      </c>
      <c r="G2875" s="102">
        <f t="shared" ca="1" si="48"/>
        <v>-7.4573956754538345E-2</v>
      </c>
    </row>
    <row r="2876" spans="6:7" x14ac:dyDescent="0.35">
      <c r="F2876">
        <v>2871</v>
      </c>
      <c r="G2876" s="102">
        <f t="shared" ca="1" si="48"/>
        <v>1.348043470221192E-3</v>
      </c>
    </row>
    <row r="2877" spans="6:7" x14ac:dyDescent="0.35">
      <c r="F2877">
        <v>2872</v>
      </c>
      <c r="G2877" s="102">
        <f t="shared" ca="1" si="48"/>
        <v>6.4789673824669158E-2</v>
      </c>
    </row>
    <row r="2878" spans="6:7" x14ac:dyDescent="0.35">
      <c r="F2878">
        <v>2873</v>
      </c>
      <c r="G2878" s="102">
        <f t="shared" ca="1" si="48"/>
        <v>0.14385304954579226</v>
      </c>
    </row>
    <row r="2879" spans="6:7" x14ac:dyDescent="0.35">
      <c r="F2879">
        <v>2874</v>
      </c>
      <c r="G2879" s="102">
        <f t="shared" ca="1" si="48"/>
        <v>2.4781500071109221E-2</v>
      </c>
    </row>
    <row r="2880" spans="6:7" x14ac:dyDescent="0.35">
      <c r="F2880">
        <v>2875</v>
      </c>
      <c r="G2880" s="102">
        <f t="shared" ca="1" si="48"/>
        <v>-7.545277783685829E-2</v>
      </c>
    </row>
    <row r="2881" spans="6:7" x14ac:dyDescent="0.35">
      <c r="F2881">
        <v>2876</v>
      </c>
      <c r="G2881" s="102">
        <f t="shared" ca="1" si="48"/>
        <v>-0.12231841559228421</v>
      </c>
    </row>
    <row r="2882" spans="6:7" x14ac:dyDescent="0.35">
      <c r="F2882">
        <v>2877</v>
      </c>
      <c r="G2882" s="102">
        <f t="shared" ca="1" si="48"/>
        <v>-2.9772987613850319E-2</v>
      </c>
    </row>
    <row r="2883" spans="6:7" x14ac:dyDescent="0.35">
      <c r="F2883">
        <v>2878</v>
      </c>
      <c r="G2883" s="102">
        <f t="shared" ca="1" si="48"/>
        <v>-3.3331249554990213E-3</v>
      </c>
    </row>
    <row r="2884" spans="6:7" x14ac:dyDescent="0.35">
      <c r="F2884">
        <v>2879</v>
      </c>
      <c r="G2884" s="102">
        <f t="shared" ca="1" si="48"/>
        <v>9.3826103205344111E-3</v>
      </c>
    </row>
    <row r="2885" spans="6:7" x14ac:dyDescent="0.35">
      <c r="F2885">
        <v>2880</v>
      </c>
      <c r="G2885" s="102">
        <f t="shared" ca="1" si="48"/>
        <v>3.9600188888548063E-2</v>
      </c>
    </row>
    <row r="2886" spans="6:7" x14ac:dyDescent="0.35">
      <c r="F2886">
        <v>2881</v>
      </c>
      <c r="G2886" s="102">
        <f t="shared" ca="1" si="48"/>
        <v>6.5835013663135114E-2</v>
      </c>
    </row>
    <row r="2887" spans="6:7" x14ac:dyDescent="0.35">
      <c r="F2887">
        <v>2882</v>
      </c>
      <c r="G2887" s="102">
        <f t="shared" ref="G2887:G2950" ca="1" si="49">_xlfn.NORM.INV(RAND(),M$9,M$10)</f>
        <v>-3.0125246784311617E-2</v>
      </c>
    </row>
    <row r="2888" spans="6:7" x14ac:dyDescent="0.35">
      <c r="F2888">
        <v>2883</v>
      </c>
      <c r="G2888" s="102">
        <f t="shared" ca="1" si="49"/>
        <v>4.8416541918677253E-2</v>
      </c>
    </row>
    <row r="2889" spans="6:7" x14ac:dyDescent="0.35">
      <c r="F2889">
        <v>2884</v>
      </c>
      <c r="G2889" s="102">
        <f t="shared" ca="1" si="49"/>
        <v>-5.3086053758993168E-2</v>
      </c>
    </row>
    <row r="2890" spans="6:7" x14ac:dyDescent="0.35">
      <c r="F2890">
        <v>2885</v>
      </c>
      <c r="G2890" s="102">
        <f t="shared" ca="1" si="49"/>
        <v>-1.7675701864917015E-2</v>
      </c>
    </row>
    <row r="2891" spans="6:7" x14ac:dyDescent="0.35">
      <c r="F2891">
        <v>2886</v>
      </c>
      <c r="G2891" s="102">
        <f t="shared" ca="1" si="49"/>
        <v>-7.2005879748699958E-2</v>
      </c>
    </row>
    <row r="2892" spans="6:7" x14ac:dyDescent="0.35">
      <c r="F2892">
        <v>2887</v>
      </c>
      <c r="G2892" s="102">
        <f t="shared" ca="1" si="49"/>
        <v>-5.8304706335556802E-2</v>
      </c>
    </row>
    <row r="2893" spans="6:7" x14ac:dyDescent="0.35">
      <c r="F2893">
        <v>2888</v>
      </c>
      <c r="G2893" s="102">
        <f t="shared" ca="1" si="49"/>
        <v>-1.4843618075188272E-2</v>
      </c>
    </row>
    <row r="2894" spans="6:7" x14ac:dyDescent="0.35">
      <c r="F2894">
        <v>2889</v>
      </c>
      <c r="G2894" s="102">
        <f t="shared" ca="1" si="49"/>
        <v>-1.458683853576816E-2</v>
      </c>
    </row>
    <row r="2895" spans="6:7" x14ac:dyDescent="0.35">
      <c r="F2895">
        <v>2890</v>
      </c>
      <c r="G2895" s="102">
        <f t="shared" ca="1" si="49"/>
        <v>2.6475209676950443E-3</v>
      </c>
    </row>
    <row r="2896" spans="6:7" x14ac:dyDescent="0.35">
      <c r="F2896">
        <v>2891</v>
      </c>
      <c r="G2896" s="102">
        <f t="shared" ca="1" si="49"/>
        <v>1.1939934135038075E-3</v>
      </c>
    </row>
    <row r="2897" spans="6:7" x14ac:dyDescent="0.35">
      <c r="F2897">
        <v>2892</v>
      </c>
      <c r="G2897" s="102">
        <f t="shared" ca="1" si="49"/>
        <v>-8.1676800139797751E-2</v>
      </c>
    </row>
    <row r="2898" spans="6:7" x14ac:dyDescent="0.35">
      <c r="F2898">
        <v>2893</v>
      </c>
      <c r="G2898" s="102">
        <f t="shared" ca="1" si="49"/>
        <v>-6.9851517726685866E-2</v>
      </c>
    </row>
    <row r="2899" spans="6:7" x14ac:dyDescent="0.35">
      <c r="F2899">
        <v>2894</v>
      </c>
      <c r="G2899" s="102">
        <f t="shared" ca="1" si="49"/>
        <v>6.088764502531642E-2</v>
      </c>
    </row>
    <row r="2900" spans="6:7" x14ac:dyDescent="0.35">
      <c r="F2900">
        <v>2895</v>
      </c>
      <c r="G2900" s="102">
        <f t="shared" ca="1" si="49"/>
        <v>4.9991773350222937E-2</v>
      </c>
    </row>
    <row r="2901" spans="6:7" x14ac:dyDescent="0.35">
      <c r="F2901">
        <v>2896</v>
      </c>
      <c r="G2901" s="102">
        <f t="shared" ca="1" si="49"/>
        <v>7.9784645416473385E-2</v>
      </c>
    </row>
    <row r="2902" spans="6:7" x14ac:dyDescent="0.35">
      <c r="F2902">
        <v>2897</v>
      </c>
      <c r="G2902" s="102">
        <f t="shared" ca="1" si="49"/>
        <v>-4.4380747241887286E-2</v>
      </c>
    </row>
    <row r="2903" spans="6:7" x14ac:dyDescent="0.35">
      <c r="F2903">
        <v>2898</v>
      </c>
      <c r="G2903" s="102">
        <f t="shared" ca="1" si="49"/>
        <v>-3.668787525366432E-2</v>
      </c>
    </row>
    <row r="2904" spans="6:7" x14ac:dyDescent="0.35">
      <c r="F2904">
        <v>2899</v>
      </c>
      <c r="G2904" s="102">
        <f t="shared" ca="1" si="49"/>
        <v>-4.8758087371488151E-2</v>
      </c>
    </row>
    <row r="2905" spans="6:7" x14ac:dyDescent="0.35">
      <c r="F2905">
        <v>2900</v>
      </c>
      <c r="G2905" s="102">
        <f t="shared" ca="1" si="49"/>
        <v>-4.5850431863044952E-2</v>
      </c>
    </row>
    <row r="2906" spans="6:7" x14ac:dyDescent="0.35">
      <c r="F2906">
        <v>2901</v>
      </c>
      <c r="G2906" s="102">
        <f t="shared" ca="1" si="49"/>
        <v>7.6015900970752351E-3</v>
      </c>
    </row>
    <row r="2907" spans="6:7" x14ac:dyDescent="0.35">
      <c r="F2907">
        <v>2902</v>
      </c>
      <c r="G2907" s="102">
        <f t="shared" ca="1" si="49"/>
        <v>3.9446460399515992E-2</v>
      </c>
    </row>
    <row r="2908" spans="6:7" x14ac:dyDescent="0.35">
      <c r="F2908">
        <v>2903</v>
      </c>
      <c r="G2908" s="102">
        <f t="shared" ca="1" si="49"/>
        <v>-9.8055975869578635E-3</v>
      </c>
    </row>
    <row r="2909" spans="6:7" x14ac:dyDescent="0.35">
      <c r="F2909">
        <v>2904</v>
      </c>
      <c r="G2909" s="102">
        <f t="shared" ca="1" si="49"/>
        <v>3.2995590534579955E-2</v>
      </c>
    </row>
    <row r="2910" spans="6:7" x14ac:dyDescent="0.35">
      <c r="F2910">
        <v>2905</v>
      </c>
      <c r="G2910" s="102">
        <f t="shared" ca="1" si="49"/>
        <v>-2.3891731552198502E-2</v>
      </c>
    </row>
    <row r="2911" spans="6:7" x14ac:dyDescent="0.35">
      <c r="F2911">
        <v>2906</v>
      </c>
      <c r="G2911" s="102">
        <f t="shared" ca="1" si="49"/>
        <v>-1.2580748855777072E-3</v>
      </c>
    </row>
    <row r="2912" spans="6:7" x14ac:dyDescent="0.35">
      <c r="F2912">
        <v>2907</v>
      </c>
      <c r="G2912" s="102">
        <f t="shared" ca="1" si="49"/>
        <v>-2.2433820742130246E-2</v>
      </c>
    </row>
    <row r="2913" spans="6:7" x14ac:dyDescent="0.35">
      <c r="F2913">
        <v>2908</v>
      </c>
      <c r="G2913" s="102">
        <f t="shared" ca="1" si="49"/>
        <v>-1.4916429092202504E-2</v>
      </c>
    </row>
    <row r="2914" spans="6:7" x14ac:dyDescent="0.35">
      <c r="F2914">
        <v>2909</v>
      </c>
      <c r="G2914" s="102">
        <f t="shared" ca="1" si="49"/>
        <v>4.8219386658016269E-2</v>
      </c>
    </row>
    <row r="2915" spans="6:7" x14ac:dyDescent="0.35">
      <c r="F2915">
        <v>2910</v>
      </c>
      <c r="G2915" s="102">
        <f t="shared" ca="1" si="49"/>
        <v>-7.3192745555692218E-2</v>
      </c>
    </row>
    <row r="2916" spans="6:7" x14ac:dyDescent="0.35">
      <c r="F2916">
        <v>2911</v>
      </c>
      <c r="G2916" s="102">
        <f t="shared" ca="1" si="49"/>
        <v>0.11728951728869251</v>
      </c>
    </row>
    <row r="2917" spans="6:7" x14ac:dyDescent="0.35">
      <c r="F2917">
        <v>2912</v>
      </c>
      <c r="G2917" s="102">
        <f t="shared" ca="1" si="49"/>
        <v>-0.1462723326530036</v>
      </c>
    </row>
    <row r="2918" spans="6:7" x14ac:dyDescent="0.35">
      <c r="F2918">
        <v>2913</v>
      </c>
      <c r="G2918" s="102">
        <f t="shared" ca="1" si="49"/>
        <v>-9.3278314214862351E-2</v>
      </c>
    </row>
    <row r="2919" spans="6:7" x14ac:dyDescent="0.35">
      <c r="F2919">
        <v>2914</v>
      </c>
      <c r="G2919" s="102">
        <f t="shared" ca="1" si="49"/>
        <v>-0.1094194231266172</v>
      </c>
    </row>
    <row r="2920" spans="6:7" x14ac:dyDescent="0.35">
      <c r="F2920">
        <v>2915</v>
      </c>
      <c r="G2920" s="102">
        <f t="shared" ca="1" si="49"/>
        <v>1.1996904632340051E-2</v>
      </c>
    </row>
    <row r="2921" spans="6:7" x14ac:dyDescent="0.35">
      <c r="F2921">
        <v>2916</v>
      </c>
      <c r="G2921" s="102">
        <f t="shared" ca="1" si="49"/>
        <v>8.7674347929817611E-2</v>
      </c>
    </row>
    <row r="2922" spans="6:7" x14ac:dyDescent="0.35">
      <c r="F2922">
        <v>2917</v>
      </c>
      <c r="G2922" s="102">
        <f t="shared" ca="1" si="49"/>
        <v>-8.671353258841899E-2</v>
      </c>
    </row>
    <row r="2923" spans="6:7" x14ac:dyDescent="0.35">
      <c r="F2923">
        <v>2918</v>
      </c>
      <c r="G2923" s="102">
        <f t="shared" ca="1" si="49"/>
        <v>-4.7072330657921505E-2</v>
      </c>
    </row>
    <row r="2924" spans="6:7" x14ac:dyDescent="0.35">
      <c r="F2924">
        <v>2919</v>
      </c>
      <c r="G2924" s="102">
        <f t="shared" ca="1" si="49"/>
        <v>9.6181178181922074E-3</v>
      </c>
    </row>
    <row r="2925" spans="6:7" x14ac:dyDescent="0.35">
      <c r="F2925">
        <v>2920</v>
      </c>
      <c r="G2925" s="102">
        <f t="shared" ca="1" si="49"/>
        <v>3.5710234680494599E-2</v>
      </c>
    </row>
    <row r="2926" spans="6:7" x14ac:dyDescent="0.35">
      <c r="F2926">
        <v>2921</v>
      </c>
      <c r="G2926" s="102">
        <f t="shared" ca="1" si="49"/>
        <v>7.4257899500333208E-2</v>
      </c>
    </row>
    <row r="2927" spans="6:7" x14ac:dyDescent="0.35">
      <c r="F2927">
        <v>2922</v>
      </c>
      <c r="G2927" s="102">
        <f t="shared" ca="1" si="49"/>
        <v>-2.2437456106736135E-2</v>
      </c>
    </row>
    <row r="2928" spans="6:7" x14ac:dyDescent="0.35">
      <c r="F2928">
        <v>2923</v>
      </c>
      <c r="G2928" s="102">
        <f t="shared" ca="1" si="49"/>
        <v>-2.709319458653282E-4</v>
      </c>
    </row>
    <row r="2929" spans="6:7" x14ac:dyDescent="0.35">
      <c r="F2929">
        <v>2924</v>
      </c>
      <c r="G2929" s="102">
        <f t="shared" ca="1" si="49"/>
        <v>-4.6248715055856968E-2</v>
      </c>
    </row>
    <row r="2930" spans="6:7" x14ac:dyDescent="0.35">
      <c r="F2930">
        <v>2925</v>
      </c>
      <c r="G2930" s="102">
        <f t="shared" ca="1" si="49"/>
        <v>4.0786681187255855E-2</v>
      </c>
    </row>
    <row r="2931" spans="6:7" x14ac:dyDescent="0.35">
      <c r="F2931">
        <v>2926</v>
      </c>
      <c r="G2931" s="102">
        <f t="shared" ca="1" si="49"/>
        <v>-2.8192047230112694E-2</v>
      </c>
    </row>
    <row r="2932" spans="6:7" x14ac:dyDescent="0.35">
      <c r="F2932">
        <v>2927</v>
      </c>
      <c r="G2932" s="102">
        <f t="shared" ca="1" si="49"/>
        <v>4.23396041622872E-2</v>
      </c>
    </row>
    <row r="2933" spans="6:7" x14ac:dyDescent="0.35">
      <c r="F2933">
        <v>2928</v>
      </c>
      <c r="G2933" s="102">
        <f t="shared" ca="1" si="49"/>
        <v>-8.4182856667042255E-2</v>
      </c>
    </row>
    <row r="2934" spans="6:7" x14ac:dyDescent="0.35">
      <c r="F2934">
        <v>2929</v>
      </c>
      <c r="G2934" s="102">
        <f t="shared" ca="1" si="49"/>
        <v>3.8561163386724759E-2</v>
      </c>
    </row>
    <row r="2935" spans="6:7" x14ac:dyDescent="0.35">
      <c r="F2935">
        <v>2930</v>
      </c>
      <c r="G2935" s="102">
        <f t="shared" ca="1" si="49"/>
        <v>3.6399921092855905E-2</v>
      </c>
    </row>
    <row r="2936" spans="6:7" x14ac:dyDescent="0.35">
      <c r="F2936">
        <v>2931</v>
      </c>
      <c r="G2936" s="102">
        <f t="shared" ca="1" si="49"/>
        <v>-1.7766800932205708E-2</v>
      </c>
    </row>
    <row r="2937" spans="6:7" x14ac:dyDescent="0.35">
      <c r="F2937">
        <v>2932</v>
      </c>
      <c r="G2937" s="102">
        <f t="shared" ca="1" si="49"/>
        <v>-1.2212725722049313E-2</v>
      </c>
    </row>
    <row r="2938" spans="6:7" x14ac:dyDescent="0.35">
      <c r="F2938">
        <v>2933</v>
      </c>
      <c r="G2938" s="102">
        <f t="shared" ca="1" si="49"/>
        <v>-2.4526181794892115E-2</v>
      </c>
    </row>
    <row r="2939" spans="6:7" x14ac:dyDescent="0.35">
      <c r="F2939">
        <v>2934</v>
      </c>
      <c r="G2939" s="102">
        <f t="shared" ca="1" si="49"/>
        <v>2.7696854506566417E-2</v>
      </c>
    </row>
    <row r="2940" spans="6:7" x14ac:dyDescent="0.35">
      <c r="F2940">
        <v>2935</v>
      </c>
      <c r="G2940" s="102">
        <f t="shared" ca="1" si="49"/>
        <v>-6.5032934175473955E-2</v>
      </c>
    </row>
    <row r="2941" spans="6:7" x14ac:dyDescent="0.35">
      <c r="F2941">
        <v>2936</v>
      </c>
      <c r="G2941" s="102">
        <f t="shared" ca="1" si="49"/>
        <v>2.6530893838405661E-2</v>
      </c>
    </row>
    <row r="2942" spans="6:7" x14ac:dyDescent="0.35">
      <c r="F2942">
        <v>2937</v>
      </c>
      <c r="G2942" s="102">
        <f t="shared" ca="1" si="49"/>
        <v>-4.8681786982284883E-2</v>
      </c>
    </row>
    <row r="2943" spans="6:7" x14ac:dyDescent="0.35">
      <c r="F2943">
        <v>2938</v>
      </c>
      <c r="G2943" s="102">
        <f t="shared" ca="1" si="49"/>
        <v>7.1136190912377745E-2</v>
      </c>
    </row>
    <row r="2944" spans="6:7" x14ac:dyDescent="0.35">
      <c r="F2944">
        <v>2939</v>
      </c>
      <c r="G2944" s="102">
        <f t="shared" ca="1" si="49"/>
        <v>-3.9015134617240775E-3</v>
      </c>
    </row>
    <row r="2945" spans="6:7" x14ac:dyDescent="0.35">
      <c r="F2945">
        <v>2940</v>
      </c>
      <c r="G2945" s="102">
        <f t="shared" ca="1" si="49"/>
        <v>-2.7137479829675938E-2</v>
      </c>
    </row>
    <row r="2946" spans="6:7" x14ac:dyDescent="0.35">
      <c r="F2946">
        <v>2941</v>
      </c>
      <c r="G2946" s="102">
        <f t="shared" ca="1" si="49"/>
        <v>0.10860654885097089</v>
      </c>
    </row>
    <row r="2947" spans="6:7" x14ac:dyDescent="0.35">
      <c r="F2947">
        <v>2942</v>
      </c>
      <c r="G2947" s="102">
        <f t="shared" ca="1" si="49"/>
        <v>-9.3691751866154568E-2</v>
      </c>
    </row>
    <row r="2948" spans="6:7" x14ac:dyDescent="0.35">
      <c r="F2948">
        <v>2943</v>
      </c>
      <c r="G2948" s="102">
        <f t="shared" ca="1" si="49"/>
        <v>5.0000927943745707E-3</v>
      </c>
    </row>
    <row r="2949" spans="6:7" x14ac:dyDescent="0.35">
      <c r="F2949">
        <v>2944</v>
      </c>
      <c r="G2949" s="102">
        <f t="shared" ca="1" si="49"/>
        <v>5.8206692596327436E-2</v>
      </c>
    </row>
    <row r="2950" spans="6:7" x14ac:dyDescent="0.35">
      <c r="F2950">
        <v>2945</v>
      </c>
      <c r="G2950" s="102">
        <f t="shared" ca="1" si="49"/>
        <v>-5.2609693887478151E-3</v>
      </c>
    </row>
    <row r="2951" spans="6:7" x14ac:dyDescent="0.35">
      <c r="F2951">
        <v>2946</v>
      </c>
      <c r="G2951" s="102">
        <f t="shared" ref="G2951:G3014" ca="1" si="50">_xlfn.NORM.INV(RAND(),M$9,M$10)</f>
        <v>1.3242684387342225E-2</v>
      </c>
    </row>
    <row r="2952" spans="6:7" x14ac:dyDescent="0.35">
      <c r="F2952">
        <v>2947</v>
      </c>
      <c r="G2952" s="102">
        <f t="shared" ca="1" si="50"/>
        <v>7.6041004017831076E-3</v>
      </c>
    </row>
    <row r="2953" spans="6:7" x14ac:dyDescent="0.35">
      <c r="F2953">
        <v>2948</v>
      </c>
      <c r="G2953" s="102">
        <f t="shared" ca="1" si="50"/>
        <v>4.9500901725003946E-2</v>
      </c>
    </row>
    <row r="2954" spans="6:7" x14ac:dyDescent="0.35">
      <c r="F2954">
        <v>2949</v>
      </c>
      <c r="G2954" s="102">
        <f t="shared" ca="1" si="50"/>
        <v>-9.1539968590006807E-2</v>
      </c>
    </row>
    <row r="2955" spans="6:7" x14ac:dyDescent="0.35">
      <c r="F2955">
        <v>2950</v>
      </c>
      <c r="G2955" s="102">
        <f t="shared" ca="1" si="50"/>
        <v>-8.7727503200133328E-3</v>
      </c>
    </row>
    <row r="2956" spans="6:7" x14ac:dyDescent="0.35">
      <c r="F2956">
        <v>2951</v>
      </c>
      <c r="G2956" s="102">
        <f t="shared" ca="1" si="50"/>
        <v>-5.0974693907856666E-2</v>
      </c>
    </row>
    <row r="2957" spans="6:7" x14ac:dyDescent="0.35">
      <c r="F2957">
        <v>2952</v>
      </c>
      <c r="G2957" s="102">
        <f t="shared" ca="1" si="50"/>
        <v>-5.6430340373740395E-2</v>
      </c>
    </row>
    <row r="2958" spans="6:7" x14ac:dyDescent="0.35">
      <c r="F2958">
        <v>2953</v>
      </c>
      <c r="G2958" s="102">
        <f t="shared" ca="1" si="50"/>
        <v>1.6939158909113149E-2</v>
      </c>
    </row>
    <row r="2959" spans="6:7" x14ac:dyDescent="0.35">
      <c r="F2959">
        <v>2954</v>
      </c>
      <c r="G2959" s="102">
        <f t="shared" ca="1" si="50"/>
        <v>-5.7562605171018527E-3</v>
      </c>
    </row>
    <row r="2960" spans="6:7" x14ac:dyDescent="0.35">
      <c r="F2960">
        <v>2955</v>
      </c>
      <c r="G2960" s="102">
        <f t="shared" ca="1" si="50"/>
        <v>4.308827848205353E-2</v>
      </c>
    </row>
    <row r="2961" spans="6:7" x14ac:dyDescent="0.35">
      <c r="F2961">
        <v>2956</v>
      </c>
      <c r="G2961" s="102">
        <f t="shared" ca="1" si="50"/>
        <v>0.17893323763845817</v>
      </c>
    </row>
    <row r="2962" spans="6:7" x14ac:dyDescent="0.35">
      <c r="F2962">
        <v>2957</v>
      </c>
      <c r="G2962" s="102">
        <f t="shared" ca="1" si="50"/>
        <v>4.3832614702322817E-2</v>
      </c>
    </row>
    <row r="2963" spans="6:7" x14ac:dyDescent="0.35">
      <c r="F2963">
        <v>2958</v>
      </c>
      <c r="G2963" s="102">
        <f t="shared" ca="1" si="50"/>
        <v>-3.6335267806788729E-3</v>
      </c>
    </row>
    <row r="2964" spans="6:7" x14ac:dyDescent="0.35">
      <c r="F2964">
        <v>2959</v>
      </c>
      <c r="G2964" s="102">
        <f t="shared" ca="1" si="50"/>
        <v>-0.13015467299527431</v>
      </c>
    </row>
    <row r="2965" spans="6:7" x14ac:dyDescent="0.35">
      <c r="F2965">
        <v>2960</v>
      </c>
      <c r="G2965" s="102">
        <f t="shared" ca="1" si="50"/>
        <v>-0.11764092996362639</v>
      </c>
    </row>
    <row r="2966" spans="6:7" x14ac:dyDescent="0.35">
      <c r="F2966">
        <v>2961</v>
      </c>
      <c r="G2966" s="102">
        <f t="shared" ca="1" si="50"/>
        <v>-1.1974773196238258E-2</v>
      </c>
    </row>
    <row r="2967" spans="6:7" x14ac:dyDescent="0.35">
      <c r="F2967">
        <v>2962</v>
      </c>
      <c r="G2967" s="102">
        <f t="shared" ca="1" si="50"/>
        <v>8.6837400632985534E-2</v>
      </c>
    </row>
    <row r="2968" spans="6:7" x14ac:dyDescent="0.35">
      <c r="F2968">
        <v>2963</v>
      </c>
      <c r="G2968" s="102">
        <f t="shared" ca="1" si="50"/>
        <v>0.14126022362934329</v>
      </c>
    </row>
    <row r="2969" spans="6:7" x14ac:dyDescent="0.35">
      <c r="F2969">
        <v>2964</v>
      </c>
      <c r="G2969" s="102">
        <f t="shared" ca="1" si="50"/>
        <v>-1.3377099111638915E-2</v>
      </c>
    </row>
    <row r="2970" spans="6:7" x14ac:dyDescent="0.35">
      <c r="F2970">
        <v>2965</v>
      </c>
      <c r="G2970" s="102">
        <f t="shared" ca="1" si="50"/>
        <v>2.2668355139899021E-2</v>
      </c>
    </row>
    <row r="2971" spans="6:7" x14ac:dyDescent="0.35">
      <c r="F2971">
        <v>2966</v>
      </c>
      <c r="G2971" s="102">
        <f t="shared" ca="1" si="50"/>
        <v>-6.7833286052421352E-2</v>
      </c>
    </row>
    <row r="2972" spans="6:7" x14ac:dyDescent="0.35">
      <c r="F2972">
        <v>2967</v>
      </c>
      <c r="G2972" s="102">
        <f t="shared" ca="1" si="50"/>
        <v>3.6221757325209936E-2</v>
      </c>
    </row>
    <row r="2973" spans="6:7" x14ac:dyDescent="0.35">
      <c r="F2973">
        <v>2968</v>
      </c>
      <c r="G2973" s="102">
        <f t="shared" ca="1" si="50"/>
        <v>-3.3989744886715509E-2</v>
      </c>
    </row>
    <row r="2974" spans="6:7" x14ac:dyDescent="0.35">
      <c r="F2974">
        <v>2969</v>
      </c>
      <c r="G2974" s="102">
        <f t="shared" ca="1" si="50"/>
        <v>-5.335902667522245E-3</v>
      </c>
    </row>
    <row r="2975" spans="6:7" x14ac:dyDescent="0.35">
      <c r="F2975">
        <v>2970</v>
      </c>
      <c r="G2975" s="102">
        <f t="shared" ca="1" si="50"/>
        <v>2.551493343407463E-2</v>
      </c>
    </row>
    <row r="2976" spans="6:7" x14ac:dyDescent="0.35">
      <c r="F2976">
        <v>2971</v>
      </c>
      <c r="G2976" s="102">
        <f t="shared" ca="1" si="50"/>
        <v>2.4495034672927313E-2</v>
      </c>
    </row>
    <row r="2977" spans="6:7" x14ac:dyDescent="0.35">
      <c r="F2977">
        <v>2972</v>
      </c>
      <c r="G2977" s="102">
        <f t="shared" ca="1" si="50"/>
        <v>-5.5392358243528034E-2</v>
      </c>
    </row>
    <row r="2978" spans="6:7" x14ac:dyDescent="0.35">
      <c r="F2978">
        <v>2973</v>
      </c>
      <c r="G2978" s="102">
        <f t="shared" ca="1" si="50"/>
        <v>3.0762996675487628E-2</v>
      </c>
    </row>
    <row r="2979" spans="6:7" x14ac:dyDescent="0.35">
      <c r="F2979">
        <v>2974</v>
      </c>
      <c r="G2979" s="102">
        <f t="shared" ca="1" si="50"/>
        <v>-9.4913905965484047E-2</v>
      </c>
    </row>
    <row r="2980" spans="6:7" x14ac:dyDescent="0.35">
      <c r="F2980">
        <v>2975</v>
      </c>
      <c r="G2980" s="102">
        <f t="shared" ca="1" si="50"/>
        <v>-6.0497577954966825E-2</v>
      </c>
    </row>
    <row r="2981" spans="6:7" x14ac:dyDescent="0.35">
      <c r="F2981">
        <v>2976</v>
      </c>
      <c r="G2981" s="102">
        <f t="shared" ca="1" si="50"/>
        <v>1.7036563450227298E-2</v>
      </c>
    </row>
    <row r="2982" spans="6:7" x14ac:dyDescent="0.35">
      <c r="F2982">
        <v>2977</v>
      </c>
      <c r="G2982" s="102">
        <f t="shared" ca="1" si="50"/>
        <v>-5.5323812773277664E-2</v>
      </c>
    </row>
    <row r="2983" spans="6:7" x14ac:dyDescent="0.35">
      <c r="F2983">
        <v>2978</v>
      </c>
      <c r="G2983" s="102">
        <f t="shared" ca="1" si="50"/>
        <v>9.9037997144054798E-2</v>
      </c>
    </row>
    <row r="2984" spans="6:7" x14ac:dyDescent="0.35">
      <c r="F2984">
        <v>2979</v>
      </c>
      <c r="G2984" s="102">
        <f t="shared" ca="1" si="50"/>
        <v>-6.6979641275374466E-2</v>
      </c>
    </row>
    <row r="2985" spans="6:7" x14ac:dyDescent="0.35">
      <c r="F2985">
        <v>2980</v>
      </c>
      <c r="G2985" s="102">
        <f t="shared" ca="1" si="50"/>
        <v>-3.5412991721820455E-2</v>
      </c>
    </row>
    <row r="2986" spans="6:7" x14ac:dyDescent="0.35">
      <c r="F2986">
        <v>2981</v>
      </c>
      <c r="G2986" s="102">
        <f t="shared" ca="1" si="50"/>
        <v>6.6966915209062089E-2</v>
      </c>
    </row>
    <row r="2987" spans="6:7" x14ac:dyDescent="0.35">
      <c r="F2987">
        <v>2982</v>
      </c>
      <c r="G2987" s="102">
        <f t="shared" ca="1" si="50"/>
        <v>-6.1049040936825227E-2</v>
      </c>
    </row>
    <row r="2988" spans="6:7" x14ac:dyDescent="0.35">
      <c r="F2988">
        <v>2983</v>
      </c>
      <c r="G2988" s="102">
        <f t="shared" ca="1" si="50"/>
        <v>0.10927742854735145</v>
      </c>
    </row>
    <row r="2989" spans="6:7" x14ac:dyDescent="0.35">
      <c r="F2989">
        <v>2984</v>
      </c>
      <c r="G2989" s="102">
        <f t="shared" ca="1" si="50"/>
        <v>0.11850224302237498</v>
      </c>
    </row>
    <row r="2990" spans="6:7" x14ac:dyDescent="0.35">
      <c r="F2990">
        <v>2985</v>
      </c>
      <c r="G2990" s="102">
        <f t="shared" ca="1" si="50"/>
        <v>-7.2464077038300684E-2</v>
      </c>
    </row>
    <row r="2991" spans="6:7" x14ac:dyDescent="0.35">
      <c r="F2991">
        <v>2986</v>
      </c>
      <c r="G2991" s="102">
        <f t="shared" ca="1" si="50"/>
        <v>1.5546911712969937E-2</v>
      </c>
    </row>
    <row r="2992" spans="6:7" x14ac:dyDescent="0.35">
      <c r="F2992">
        <v>2987</v>
      </c>
      <c r="G2992" s="102">
        <f t="shared" ca="1" si="50"/>
        <v>4.4211458753595168E-2</v>
      </c>
    </row>
    <row r="2993" spans="6:7" x14ac:dyDescent="0.35">
      <c r="F2993">
        <v>2988</v>
      </c>
      <c r="G2993" s="102">
        <f t="shared" ca="1" si="50"/>
        <v>-2.5791303349772702E-2</v>
      </c>
    </row>
    <row r="2994" spans="6:7" x14ac:dyDescent="0.35">
      <c r="F2994">
        <v>2989</v>
      </c>
      <c r="G2994" s="102">
        <f t="shared" ca="1" si="50"/>
        <v>2.2071639300428264E-3</v>
      </c>
    </row>
    <row r="2995" spans="6:7" x14ac:dyDescent="0.35">
      <c r="F2995">
        <v>2990</v>
      </c>
      <c r="G2995" s="102">
        <f t="shared" ca="1" si="50"/>
        <v>6.9035919943550954E-3</v>
      </c>
    </row>
    <row r="2996" spans="6:7" x14ac:dyDescent="0.35">
      <c r="F2996">
        <v>2991</v>
      </c>
      <c r="G2996" s="102">
        <f t="shared" ca="1" si="50"/>
        <v>-6.6901332943319625E-2</v>
      </c>
    </row>
    <row r="2997" spans="6:7" x14ac:dyDescent="0.35">
      <c r="F2997">
        <v>2992</v>
      </c>
      <c r="G2997" s="102">
        <f t="shared" ca="1" si="50"/>
        <v>1.5763539001654909E-2</v>
      </c>
    </row>
    <row r="2998" spans="6:7" x14ac:dyDescent="0.35">
      <c r="F2998">
        <v>2993</v>
      </c>
      <c r="G2998" s="102">
        <f t="shared" ca="1" si="50"/>
        <v>-2.1395040197124588E-2</v>
      </c>
    </row>
    <row r="2999" spans="6:7" x14ac:dyDescent="0.35">
      <c r="F2999">
        <v>2994</v>
      </c>
      <c r="G2999" s="102">
        <f t="shared" ca="1" si="50"/>
        <v>-4.2456515326692534E-2</v>
      </c>
    </row>
    <row r="3000" spans="6:7" x14ac:dyDescent="0.35">
      <c r="F3000">
        <v>2995</v>
      </c>
      <c r="G3000" s="102">
        <f t="shared" ca="1" si="50"/>
        <v>0.1053861309171828</v>
      </c>
    </row>
    <row r="3001" spans="6:7" x14ac:dyDescent="0.35">
      <c r="F3001">
        <v>2996</v>
      </c>
      <c r="G3001" s="102">
        <f t="shared" ca="1" si="50"/>
        <v>5.4076552029005687E-2</v>
      </c>
    </row>
    <row r="3002" spans="6:7" x14ac:dyDescent="0.35">
      <c r="F3002">
        <v>2997</v>
      </c>
      <c r="G3002" s="102">
        <f t="shared" ca="1" si="50"/>
        <v>9.6163534099627912E-2</v>
      </c>
    </row>
    <row r="3003" spans="6:7" x14ac:dyDescent="0.35">
      <c r="F3003">
        <v>2998</v>
      </c>
      <c r="G3003" s="102">
        <f t="shared" ca="1" si="50"/>
        <v>4.5163642758383568E-2</v>
      </c>
    </row>
    <row r="3004" spans="6:7" x14ac:dyDescent="0.35">
      <c r="F3004">
        <v>2999</v>
      </c>
      <c r="G3004" s="102">
        <f t="shared" ca="1" si="50"/>
        <v>0.15128543543617881</v>
      </c>
    </row>
    <row r="3005" spans="6:7" x14ac:dyDescent="0.35">
      <c r="F3005">
        <v>3000</v>
      </c>
      <c r="G3005" s="102">
        <f t="shared" ca="1" si="50"/>
        <v>2.3464871536033993E-2</v>
      </c>
    </row>
    <row r="3006" spans="6:7" x14ac:dyDescent="0.35">
      <c r="F3006">
        <v>3001</v>
      </c>
      <c r="G3006" s="102">
        <f t="shared" ca="1" si="50"/>
        <v>-3.9228412197700027E-2</v>
      </c>
    </row>
    <row r="3007" spans="6:7" x14ac:dyDescent="0.35">
      <c r="F3007">
        <v>3002</v>
      </c>
      <c r="G3007" s="102">
        <f t="shared" ca="1" si="50"/>
        <v>2.2940785774082352E-2</v>
      </c>
    </row>
    <row r="3008" spans="6:7" x14ac:dyDescent="0.35">
      <c r="F3008">
        <v>3003</v>
      </c>
      <c r="G3008" s="102">
        <f t="shared" ca="1" si="50"/>
        <v>3.7609010319822361E-2</v>
      </c>
    </row>
    <row r="3009" spans="6:7" x14ac:dyDescent="0.35">
      <c r="F3009">
        <v>3004</v>
      </c>
      <c r="G3009" s="102">
        <f t="shared" ca="1" si="50"/>
        <v>-1.8568990762019032E-2</v>
      </c>
    </row>
    <row r="3010" spans="6:7" x14ac:dyDescent="0.35">
      <c r="F3010">
        <v>3005</v>
      </c>
      <c r="G3010" s="102">
        <f t="shared" ca="1" si="50"/>
        <v>7.0062622508171215E-3</v>
      </c>
    </row>
    <row r="3011" spans="6:7" x14ac:dyDescent="0.35">
      <c r="F3011">
        <v>3006</v>
      </c>
      <c r="G3011" s="102">
        <f t="shared" ca="1" si="50"/>
        <v>0.1728702028155788</v>
      </c>
    </row>
    <row r="3012" spans="6:7" x14ac:dyDescent="0.35">
      <c r="F3012">
        <v>3007</v>
      </c>
      <c r="G3012" s="102">
        <f t="shared" ca="1" si="50"/>
        <v>2.5019342375100059E-2</v>
      </c>
    </row>
    <row r="3013" spans="6:7" x14ac:dyDescent="0.35">
      <c r="F3013">
        <v>3008</v>
      </c>
      <c r="G3013" s="102">
        <f t="shared" ca="1" si="50"/>
        <v>-0.11968256910830558</v>
      </c>
    </row>
    <row r="3014" spans="6:7" x14ac:dyDescent="0.35">
      <c r="F3014">
        <v>3009</v>
      </c>
      <c r="G3014" s="102">
        <f t="shared" ca="1" si="50"/>
        <v>6.0250493428541455E-3</v>
      </c>
    </row>
    <row r="3015" spans="6:7" x14ac:dyDescent="0.35">
      <c r="F3015">
        <v>3010</v>
      </c>
      <c r="G3015" s="102">
        <f t="shared" ref="G3015:G3078" ca="1" si="51">_xlfn.NORM.INV(RAND(),M$9,M$10)</f>
        <v>8.5269281306211406E-2</v>
      </c>
    </row>
    <row r="3016" spans="6:7" x14ac:dyDescent="0.35">
      <c r="F3016">
        <v>3011</v>
      </c>
      <c r="G3016" s="102">
        <f t="shared" ca="1" si="51"/>
        <v>0.1438640107823321</v>
      </c>
    </row>
    <row r="3017" spans="6:7" x14ac:dyDescent="0.35">
      <c r="F3017">
        <v>3012</v>
      </c>
      <c r="G3017" s="102">
        <f t="shared" ca="1" si="51"/>
        <v>0.11712844197474304</v>
      </c>
    </row>
    <row r="3018" spans="6:7" x14ac:dyDescent="0.35">
      <c r="F3018">
        <v>3013</v>
      </c>
      <c r="G3018" s="102">
        <f t="shared" ca="1" si="51"/>
        <v>-6.3950148725543682E-3</v>
      </c>
    </row>
    <row r="3019" spans="6:7" x14ac:dyDescent="0.35">
      <c r="F3019">
        <v>3014</v>
      </c>
      <c r="G3019" s="102">
        <f t="shared" ca="1" si="51"/>
        <v>-3.9884969205508075E-2</v>
      </c>
    </row>
    <row r="3020" spans="6:7" x14ac:dyDescent="0.35">
      <c r="F3020">
        <v>3015</v>
      </c>
      <c r="G3020" s="102">
        <f t="shared" ca="1" si="51"/>
        <v>5.4980374042913754E-3</v>
      </c>
    </row>
    <row r="3021" spans="6:7" x14ac:dyDescent="0.35">
      <c r="F3021">
        <v>3016</v>
      </c>
      <c r="G3021" s="102">
        <f t="shared" ca="1" si="51"/>
        <v>-4.6924201481791841E-2</v>
      </c>
    </row>
    <row r="3022" spans="6:7" x14ac:dyDescent="0.35">
      <c r="F3022">
        <v>3017</v>
      </c>
      <c r="G3022" s="102">
        <f t="shared" ca="1" si="51"/>
        <v>-2.8591551028141621E-2</v>
      </c>
    </row>
    <row r="3023" spans="6:7" x14ac:dyDescent="0.35">
      <c r="F3023">
        <v>3018</v>
      </c>
      <c r="G3023" s="102">
        <f t="shared" ca="1" si="51"/>
        <v>-6.5516516253054671E-2</v>
      </c>
    </row>
    <row r="3024" spans="6:7" x14ac:dyDescent="0.35">
      <c r="F3024">
        <v>3019</v>
      </c>
      <c r="G3024" s="102">
        <f t="shared" ca="1" si="51"/>
        <v>-7.3817735351807169E-3</v>
      </c>
    </row>
    <row r="3025" spans="6:7" x14ac:dyDescent="0.35">
      <c r="F3025">
        <v>3020</v>
      </c>
      <c r="G3025" s="102">
        <f t="shared" ca="1" si="51"/>
        <v>-0.10918521608209604</v>
      </c>
    </row>
    <row r="3026" spans="6:7" x14ac:dyDescent="0.35">
      <c r="F3026">
        <v>3021</v>
      </c>
      <c r="G3026" s="102">
        <f t="shared" ca="1" si="51"/>
        <v>3.645425373940292E-2</v>
      </c>
    </row>
    <row r="3027" spans="6:7" x14ac:dyDescent="0.35">
      <c r="F3027">
        <v>3022</v>
      </c>
      <c r="G3027" s="102">
        <f t="shared" ca="1" si="51"/>
        <v>-7.0407380022207103E-2</v>
      </c>
    </row>
    <row r="3028" spans="6:7" x14ac:dyDescent="0.35">
      <c r="F3028">
        <v>3023</v>
      </c>
      <c r="G3028" s="102">
        <f t="shared" ca="1" si="51"/>
        <v>-3.340674968463439E-2</v>
      </c>
    </row>
    <row r="3029" spans="6:7" x14ac:dyDescent="0.35">
      <c r="F3029">
        <v>3024</v>
      </c>
      <c r="G3029" s="102">
        <f t="shared" ca="1" si="51"/>
        <v>-4.4757591504013719E-2</v>
      </c>
    </row>
    <row r="3030" spans="6:7" x14ac:dyDescent="0.35">
      <c r="F3030">
        <v>3025</v>
      </c>
      <c r="G3030" s="102">
        <f t="shared" ca="1" si="51"/>
        <v>-8.7781807837204653E-4</v>
      </c>
    </row>
    <row r="3031" spans="6:7" x14ac:dyDescent="0.35">
      <c r="F3031">
        <v>3026</v>
      </c>
      <c r="G3031" s="102">
        <f t="shared" ca="1" si="51"/>
        <v>-4.2113079443462098E-3</v>
      </c>
    </row>
    <row r="3032" spans="6:7" x14ac:dyDescent="0.35">
      <c r="F3032">
        <v>3027</v>
      </c>
      <c r="G3032" s="102">
        <f t="shared" ca="1" si="51"/>
        <v>5.4509114799483727E-2</v>
      </c>
    </row>
    <row r="3033" spans="6:7" x14ac:dyDescent="0.35">
      <c r="F3033">
        <v>3028</v>
      </c>
      <c r="G3033" s="102">
        <f t="shared" ca="1" si="51"/>
        <v>-0.11677889032183836</v>
      </c>
    </row>
    <row r="3034" spans="6:7" x14ac:dyDescent="0.35">
      <c r="F3034">
        <v>3029</v>
      </c>
      <c r="G3034" s="102">
        <f t="shared" ca="1" si="51"/>
        <v>-3.8353597472040937E-2</v>
      </c>
    </row>
    <row r="3035" spans="6:7" x14ac:dyDescent="0.35">
      <c r="F3035">
        <v>3030</v>
      </c>
      <c r="G3035" s="102">
        <f t="shared" ca="1" si="51"/>
        <v>-1.269484504872917E-2</v>
      </c>
    </row>
    <row r="3036" spans="6:7" x14ac:dyDescent="0.35">
      <c r="F3036">
        <v>3031</v>
      </c>
      <c r="G3036" s="102">
        <f t="shared" ca="1" si="51"/>
        <v>-0.12074708565420508</v>
      </c>
    </row>
    <row r="3037" spans="6:7" x14ac:dyDescent="0.35">
      <c r="F3037">
        <v>3032</v>
      </c>
      <c r="G3037" s="102">
        <f t="shared" ca="1" si="51"/>
        <v>-6.7441814180611561E-3</v>
      </c>
    </row>
    <row r="3038" spans="6:7" x14ac:dyDescent="0.35">
      <c r="F3038">
        <v>3033</v>
      </c>
      <c r="G3038" s="102">
        <f t="shared" ca="1" si="51"/>
        <v>3.72728201668052E-3</v>
      </c>
    </row>
    <row r="3039" spans="6:7" x14ac:dyDescent="0.35">
      <c r="F3039">
        <v>3034</v>
      </c>
      <c r="G3039" s="102">
        <f t="shared" ca="1" si="51"/>
        <v>9.585654114588063E-2</v>
      </c>
    </row>
    <row r="3040" spans="6:7" x14ac:dyDescent="0.35">
      <c r="F3040">
        <v>3035</v>
      </c>
      <c r="G3040" s="102">
        <f t="shared" ca="1" si="51"/>
        <v>-4.7884123963577108E-2</v>
      </c>
    </row>
    <row r="3041" spans="6:7" x14ac:dyDescent="0.35">
      <c r="F3041">
        <v>3036</v>
      </c>
      <c r="G3041" s="102">
        <f t="shared" ca="1" si="51"/>
        <v>6.9310595321660281E-3</v>
      </c>
    </row>
    <row r="3042" spans="6:7" x14ac:dyDescent="0.35">
      <c r="F3042">
        <v>3037</v>
      </c>
      <c r="G3042" s="102">
        <f t="shared" ca="1" si="51"/>
        <v>-6.1833202855477207E-2</v>
      </c>
    </row>
    <row r="3043" spans="6:7" x14ac:dyDescent="0.35">
      <c r="F3043">
        <v>3038</v>
      </c>
      <c r="G3043" s="102">
        <f t="shared" ca="1" si="51"/>
        <v>-2.6986747591458322E-2</v>
      </c>
    </row>
    <row r="3044" spans="6:7" x14ac:dyDescent="0.35">
      <c r="F3044">
        <v>3039</v>
      </c>
      <c r="G3044" s="102">
        <f t="shared" ca="1" si="51"/>
        <v>3.5699709223094723E-3</v>
      </c>
    </row>
    <row r="3045" spans="6:7" x14ac:dyDescent="0.35">
      <c r="F3045">
        <v>3040</v>
      </c>
      <c r="G3045" s="102">
        <f t="shared" ca="1" si="51"/>
        <v>1.6223388813370744E-2</v>
      </c>
    </row>
    <row r="3046" spans="6:7" x14ac:dyDescent="0.35">
      <c r="F3046">
        <v>3041</v>
      </c>
      <c r="G3046" s="102">
        <f t="shared" ca="1" si="51"/>
        <v>-2.5418475272028195E-2</v>
      </c>
    </row>
    <row r="3047" spans="6:7" x14ac:dyDescent="0.35">
      <c r="F3047">
        <v>3042</v>
      </c>
      <c r="G3047" s="102">
        <f t="shared" ca="1" si="51"/>
        <v>1.791948535810022E-3</v>
      </c>
    </row>
    <row r="3048" spans="6:7" x14ac:dyDescent="0.35">
      <c r="F3048">
        <v>3043</v>
      </c>
      <c r="G3048" s="102">
        <f t="shared" ca="1" si="51"/>
        <v>-5.5483024758099589E-2</v>
      </c>
    </row>
    <row r="3049" spans="6:7" x14ac:dyDescent="0.35">
      <c r="F3049">
        <v>3044</v>
      </c>
      <c r="G3049" s="102">
        <f t="shared" ca="1" si="51"/>
        <v>-4.7359678552887238E-2</v>
      </c>
    </row>
    <row r="3050" spans="6:7" x14ac:dyDescent="0.35">
      <c r="F3050">
        <v>3045</v>
      </c>
      <c r="G3050" s="102">
        <f t="shared" ca="1" si="51"/>
        <v>-4.1999895635786252E-2</v>
      </c>
    </row>
    <row r="3051" spans="6:7" x14ac:dyDescent="0.35">
      <c r="F3051">
        <v>3046</v>
      </c>
      <c r="G3051" s="102">
        <f t="shared" ca="1" si="51"/>
        <v>6.9511515211676769E-2</v>
      </c>
    </row>
    <row r="3052" spans="6:7" x14ac:dyDescent="0.35">
      <c r="F3052">
        <v>3047</v>
      </c>
      <c r="G3052" s="102">
        <f t="shared" ca="1" si="51"/>
        <v>1.5747133324499375E-2</v>
      </c>
    </row>
    <row r="3053" spans="6:7" x14ac:dyDescent="0.35">
      <c r="F3053">
        <v>3048</v>
      </c>
      <c r="G3053" s="102">
        <f t="shared" ca="1" si="51"/>
        <v>-0.11654472415910748</v>
      </c>
    </row>
    <row r="3054" spans="6:7" x14ac:dyDescent="0.35">
      <c r="F3054">
        <v>3049</v>
      </c>
      <c r="G3054" s="102">
        <f t="shared" ca="1" si="51"/>
        <v>-6.9140225295937921E-3</v>
      </c>
    </row>
    <row r="3055" spans="6:7" x14ac:dyDescent="0.35">
      <c r="F3055">
        <v>3050</v>
      </c>
      <c r="G3055" s="102">
        <f t="shared" ca="1" si="51"/>
        <v>1.5341220877511637E-3</v>
      </c>
    </row>
    <row r="3056" spans="6:7" x14ac:dyDescent="0.35">
      <c r="F3056">
        <v>3051</v>
      </c>
      <c r="G3056" s="102">
        <f t="shared" ca="1" si="51"/>
        <v>6.3513958930241934E-2</v>
      </c>
    </row>
    <row r="3057" spans="6:7" x14ac:dyDescent="0.35">
      <c r="F3057">
        <v>3052</v>
      </c>
      <c r="G3057" s="102">
        <f t="shared" ca="1" si="51"/>
        <v>0.12737829171659948</v>
      </c>
    </row>
    <row r="3058" spans="6:7" x14ac:dyDescent="0.35">
      <c r="F3058">
        <v>3053</v>
      </c>
      <c r="G3058" s="102">
        <f t="shared" ca="1" si="51"/>
        <v>-1.7321049778231949E-2</v>
      </c>
    </row>
    <row r="3059" spans="6:7" x14ac:dyDescent="0.35">
      <c r="F3059">
        <v>3054</v>
      </c>
      <c r="G3059" s="102">
        <f t="shared" ca="1" si="51"/>
        <v>-6.6076705591715912E-2</v>
      </c>
    </row>
    <row r="3060" spans="6:7" x14ac:dyDescent="0.35">
      <c r="F3060">
        <v>3055</v>
      </c>
      <c r="G3060" s="102">
        <f t="shared" ca="1" si="51"/>
        <v>9.728154286825326E-2</v>
      </c>
    </row>
    <row r="3061" spans="6:7" x14ac:dyDescent="0.35">
      <c r="F3061">
        <v>3056</v>
      </c>
      <c r="G3061" s="102">
        <f t="shared" ca="1" si="51"/>
        <v>3.7883114324987144E-2</v>
      </c>
    </row>
    <row r="3062" spans="6:7" x14ac:dyDescent="0.35">
      <c r="F3062">
        <v>3057</v>
      </c>
      <c r="G3062" s="102">
        <f t="shared" ca="1" si="51"/>
        <v>-8.1389923644774959E-2</v>
      </c>
    </row>
    <row r="3063" spans="6:7" x14ac:dyDescent="0.35">
      <c r="F3063">
        <v>3058</v>
      </c>
      <c r="G3063" s="102">
        <f t="shared" ca="1" si="51"/>
        <v>-8.6087457802291337E-2</v>
      </c>
    </row>
    <row r="3064" spans="6:7" x14ac:dyDescent="0.35">
      <c r="F3064">
        <v>3059</v>
      </c>
      <c r="G3064" s="102">
        <f t="shared" ca="1" si="51"/>
        <v>7.8586304905647997E-2</v>
      </c>
    </row>
    <row r="3065" spans="6:7" x14ac:dyDescent="0.35">
      <c r="F3065">
        <v>3060</v>
      </c>
      <c r="G3065" s="102">
        <f t="shared" ca="1" si="51"/>
        <v>4.5152805411962052E-2</v>
      </c>
    </row>
    <row r="3066" spans="6:7" x14ac:dyDescent="0.35">
      <c r="F3066">
        <v>3061</v>
      </c>
      <c r="G3066" s="102">
        <f t="shared" ca="1" si="51"/>
        <v>-2.8247360127335471E-2</v>
      </c>
    </row>
    <row r="3067" spans="6:7" x14ac:dyDescent="0.35">
      <c r="F3067">
        <v>3062</v>
      </c>
      <c r="G3067" s="102">
        <f t="shared" ca="1" si="51"/>
        <v>-1.7002217961323618E-2</v>
      </c>
    </row>
    <row r="3068" spans="6:7" x14ac:dyDescent="0.35">
      <c r="F3068">
        <v>3063</v>
      </c>
      <c r="G3068" s="102">
        <f t="shared" ca="1" si="51"/>
        <v>-8.7952077607488965E-2</v>
      </c>
    </row>
    <row r="3069" spans="6:7" x14ac:dyDescent="0.35">
      <c r="F3069">
        <v>3064</v>
      </c>
      <c r="G3069" s="102">
        <f t="shared" ca="1" si="51"/>
        <v>-0.11670288270907536</v>
      </c>
    </row>
    <row r="3070" spans="6:7" x14ac:dyDescent="0.35">
      <c r="F3070">
        <v>3065</v>
      </c>
      <c r="G3070" s="102">
        <f t="shared" ca="1" si="51"/>
        <v>7.3530954747389951E-2</v>
      </c>
    </row>
    <row r="3071" spans="6:7" x14ac:dyDescent="0.35">
      <c r="F3071">
        <v>3066</v>
      </c>
      <c r="G3071" s="102">
        <f t="shared" ca="1" si="51"/>
        <v>-1.5537023622035641E-2</v>
      </c>
    </row>
    <row r="3072" spans="6:7" x14ac:dyDescent="0.35">
      <c r="F3072">
        <v>3067</v>
      </c>
      <c r="G3072" s="102">
        <f t="shared" ca="1" si="51"/>
        <v>2.1591341234529965E-2</v>
      </c>
    </row>
    <row r="3073" spans="6:7" x14ac:dyDescent="0.35">
      <c r="F3073">
        <v>3068</v>
      </c>
      <c r="G3073" s="102">
        <f t="shared" ca="1" si="51"/>
        <v>5.3595964329110651E-2</v>
      </c>
    </row>
    <row r="3074" spans="6:7" x14ac:dyDescent="0.35">
      <c r="F3074">
        <v>3069</v>
      </c>
      <c r="G3074" s="102">
        <f t="shared" ca="1" si="51"/>
        <v>5.3132989401546815E-2</v>
      </c>
    </row>
    <row r="3075" spans="6:7" x14ac:dyDescent="0.35">
      <c r="F3075">
        <v>3070</v>
      </c>
      <c r="G3075" s="102">
        <f t="shared" ca="1" si="51"/>
        <v>1.1964134133373078E-2</v>
      </c>
    </row>
    <row r="3076" spans="6:7" x14ac:dyDescent="0.35">
      <c r="F3076">
        <v>3071</v>
      </c>
      <c r="G3076" s="102">
        <f t="shared" ca="1" si="51"/>
        <v>-7.3094568732175579E-3</v>
      </c>
    </row>
    <row r="3077" spans="6:7" x14ac:dyDescent="0.35">
      <c r="F3077">
        <v>3072</v>
      </c>
      <c r="G3077" s="102">
        <f t="shared" ca="1" si="51"/>
        <v>-3.1045905677235176E-2</v>
      </c>
    </row>
    <row r="3078" spans="6:7" x14ac:dyDescent="0.35">
      <c r="F3078">
        <v>3073</v>
      </c>
      <c r="G3078" s="102">
        <f t="shared" ca="1" si="51"/>
        <v>-2.3832496646999067E-2</v>
      </c>
    </row>
    <row r="3079" spans="6:7" x14ac:dyDescent="0.35">
      <c r="F3079">
        <v>3074</v>
      </c>
      <c r="G3079" s="102">
        <f t="shared" ref="G3079:G3142" ca="1" si="52">_xlfn.NORM.INV(RAND(),M$9,M$10)</f>
        <v>-3.4198454823772456E-2</v>
      </c>
    </row>
    <row r="3080" spans="6:7" x14ac:dyDescent="0.35">
      <c r="F3080">
        <v>3075</v>
      </c>
      <c r="G3080" s="102">
        <f t="shared" ca="1" si="52"/>
        <v>-5.4420506275283526E-2</v>
      </c>
    </row>
    <row r="3081" spans="6:7" x14ac:dyDescent="0.35">
      <c r="F3081">
        <v>3076</v>
      </c>
      <c r="G3081" s="102">
        <f t="shared" ca="1" si="52"/>
        <v>8.5118576786417946E-2</v>
      </c>
    </row>
    <row r="3082" spans="6:7" x14ac:dyDescent="0.35">
      <c r="F3082">
        <v>3077</v>
      </c>
      <c r="G3082" s="102">
        <f t="shared" ca="1" si="52"/>
        <v>-8.3465044553441975E-3</v>
      </c>
    </row>
    <row r="3083" spans="6:7" x14ac:dyDescent="0.35">
      <c r="F3083">
        <v>3078</v>
      </c>
      <c r="G3083" s="102">
        <f t="shared" ca="1" si="52"/>
        <v>7.3507541178519348E-2</v>
      </c>
    </row>
    <row r="3084" spans="6:7" x14ac:dyDescent="0.35">
      <c r="F3084">
        <v>3079</v>
      </c>
      <c r="G3084" s="102">
        <f t="shared" ca="1" si="52"/>
        <v>7.7921304719931583E-2</v>
      </c>
    </row>
    <row r="3085" spans="6:7" x14ac:dyDescent="0.35">
      <c r="F3085">
        <v>3080</v>
      </c>
      <c r="G3085" s="102">
        <f t="shared" ca="1" si="52"/>
        <v>2.0036926200647535E-3</v>
      </c>
    </row>
    <row r="3086" spans="6:7" x14ac:dyDescent="0.35">
      <c r="F3086">
        <v>3081</v>
      </c>
      <c r="G3086" s="102">
        <f t="shared" ca="1" si="52"/>
        <v>5.4417332360797207E-3</v>
      </c>
    </row>
    <row r="3087" spans="6:7" x14ac:dyDescent="0.35">
      <c r="F3087">
        <v>3082</v>
      </c>
      <c r="G3087" s="102">
        <f t="shared" ca="1" si="52"/>
        <v>1.3923197240258998E-2</v>
      </c>
    </row>
    <row r="3088" spans="6:7" x14ac:dyDescent="0.35">
      <c r="F3088">
        <v>3083</v>
      </c>
      <c r="G3088" s="102">
        <f t="shared" ca="1" si="52"/>
        <v>1.8592471990704514E-2</v>
      </c>
    </row>
    <row r="3089" spans="6:7" x14ac:dyDescent="0.35">
      <c r="F3089">
        <v>3084</v>
      </c>
      <c r="G3089" s="102">
        <f t="shared" ca="1" si="52"/>
        <v>9.4065381307656709E-2</v>
      </c>
    </row>
    <row r="3090" spans="6:7" x14ac:dyDescent="0.35">
      <c r="F3090">
        <v>3085</v>
      </c>
      <c r="G3090" s="102">
        <f t="shared" ca="1" si="52"/>
        <v>-0.12755884223581687</v>
      </c>
    </row>
    <row r="3091" spans="6:7" x14ac:dyDescent="0.35">
      <c r="F3091">
        <v>3086</v>
      </c>
      <c r="G3091" s="102">
        <f t="shared" ca="1" si="52"/>
        <v>1.3221177110947892E-3</v>
      </c>
    </row>
    <row r="3092" spans="6:7" x14ac:dyDescent="0.35">
      <c r="F3092">
        <v>3087</v>
      </c>
      <c r="G3092" s="102">
        <f t="shared" ca="1" si="52"/>
        <v>2.2403839908730676E-2</v>
      </c>
    </row>
    <row r="3093" spans="6:7" x14ac:dyDescent="0.35">
      <c r="F3093">
        <v>3088</v>
      </c>
      <c r="G3093" s="102">
        <f t="shared" ca="1" si="52"/>
        <v>-3.4746513514905521E-2</v>
      </c>
    </row>
    <row r="3094" spans="6:7" x14ac:dyDescent="0.35">
      <c r="F3094">
        <v>3089</v>
      </c>
      <c r="G3094" s="102">
        <f t="shared" ca="1" si="52"/>
        <v>3.678710793903707E-2</v>
      </c>
    </row>
    <row r="3095" spans="6:7" x14ac:dyDescent="0.35">
      <c r="F3095">
        <v>3090</v>
      </c>
      <c r="G3095" s="102">
        <f t="shared" ca="1" si="52"/>
        <v>-5.4401420026884723E-2</v>
      </c>
    </row>
    <row r="3096" spans="6:7" x14ac:dyDescent="0.35">
      <c r="F3096">
        <v>3091</v>
      </c>
      <c r="G3096" s="102">
        <f t="shared" ca="1" si="52"/>
        <v>3.3958817349022452E-2</v>
      </c>
    </row>
    <row r="3097" spans="6:7" x14ac:dyDescent="0.35">
      <c r="F3097">
        <v>3092</v>
      </c>
      <c r="G3097" s="102">
        <f t="shared" ca="1" si="52"/>
        <v>-6.1182907164645476E-4</v>
      </c>
    </row>
    <row r="3098" spans="6:7" x14ac:dyDescent="0.35">
      <c r="F3098">
        <v>3093</v>
      </c>
      <c r="G3098" s="102">
        <f t="shared" ca="1" si="52"/>
        <v>-6.43761141545382E-2</v>
      </c>
    </row>
    <row r="3099" spans="6:7" x14ac:dyDescent="0.35">
      <c r="F3099">
        <v>3094</v>
      </c>
      <c r="G3099" s="102">
        <f t="shared" ca="1" si="52"/>
        <v>-5.1137691262784765E-2</v>
      </c>
    </row>
    <row r="3100" spans="6:7" x14ac:dyDescent="0.35">
      <c r="F3100">
        <v>3095</v>
      </c>
      <c r="G3100" s="102">
        <f t="shared" ca="1" si="52"/>
        <v>-1.7071748249862486E-2</v>
      </c>
    </row>
    <row r="3101" spans="6:7" x14ac:dyDescent="0.35">
      <c r="F3101">
        <v>3096</v>
      </c>
      <c r="G3101" s="102">
        <f t="shared" ca="1" si="52"/>
        <v>-1.573529834255856E-2</v>
      </c>
    </row>
    <row r="3102" spans="6:7" x14ac:dyDescent="0.35">
      <c r="F3102">
        <v>3097</v>
      </c>
      <c r="G3102" s="102">
        <f t="shared" ca="1" si="52"/>
        <v>-0.13902664131148743</v>
      </c>
    </row>
    <row r="3103" spans="6:7" x14ac:dyDescent="0.35">
      <c r="F3103">
        <v>3098</v>
      </c>
      <c r="G3103" s="102">
        <f t="shared" ca="1" si="52"/>
        <v>-2.8952651006084822E-3</v>
      </c>
    </row>
    <row r="3104" spans="6:7" x14ac:dyDescent="0.35">
      <c r="F3104">
        <v>3099</v>
      </c>
      <c r="G3104" s="102">
        <f t="shared" ca="1" si="52"/>
        <v>3.9763748485082837E-2</v>
      </c>
    </row>
    <row r="3105" spans="6:7" x14ac:dyDescent="0.35">
      <c r="F3105">
        <v>3100</v>
      </c>
      <c r="G3105" s="102">
        <f t="shared" ca="1" si="52"/>
        <v>3.2687669472566631E-3</v>
      </c>
    </row>
    <row r="3106" spans="6:7" x14ac:dyDescent="0.35">
      <c r="F3106">
        <v>3101</v>
      </c>
      <c r="G3106" s="102">
        <f t="shared" ca="1" si="52"/>
        <v>-7.1732984822882359E-2</v>
      </c>
    </row>
    <row r="3107" spans="6:7" x14ac:dyDescent="0.35">
      <c r="F3107">
        <v>3102</v>
      </c>
      <c r="G3107" s="102">
        <f t="shared" ca="1" si="52"/>
        <v>-3.387489620177396E-2</v>
      </c>
    </row>
    <row r="3108" spans="6:7" x14ac:dyDescent="0.35">
      <c r="F3108">
        <v>3103</v>
      </c>
      <c r="G3108" s="102">
        <f t="shared" ca="1" si="52"/>
        <v>-2.1403974889740215E-3</v>
      </c>
    </row>
    <row r="3109" spans="6:7" x14ac:dyDescent="0.35">
      <c r="F3109">
        <v>3104</v>
      </c>
      <c r="G3109" s="102">
        <f t="shared" ca="1" si="52"/>
        <v>-6.9780060791711715E-2</v>
      </c>
    </row>
    <row r="3110" spans="6:7" x14ac:dyDescent="0.35">
      <c r="F3110">
        <v>3105</v>
      </c>
      <c r="G3110" s="102">
        <f t="shared" ca="1" si="52"/>
        <v>3.7466167456603805E-2</v>
      </c>
    </row>
    <row r="3111" spans="6:7" x14ac:dyDescent="0.35">
      <c r="F3111">
        <v>3106</v>
      </c>
      <c r="G3111" s="102">
        <f t="shared" ca="1" si="52"/>
        <v>7.422541854009039E-2</v>
      </c>
    </row>
    <row r="3112" spans="6:7" x14ac:dyDescent="0.35">
      <c r="F3112">
        <v>3107</v>
      </c>
      <c r="G3112" s="102">
        <f t="shared" ca="1" si="52"/>
        <v>4.2187525968588602E-2</v>
      </c>
    </row>
    <row r="3113" spans="6:7" x14ac:dyDescent="0.35">
      <c r="F3113">
        <v>3108</v>
      </c>
      <c r="G3113" s="102">
        <f t="shared" ca="1" si="52"/>
        <v>2.9264881039378108E-2</v>
      </c>
    </row>
    <row r="3114" spans="6:7" x14ac:dyDescent="0.35">
      <c r="F3114">
        <v>3109</v>
      </c>
      <c r="G3114" s="102">
        <f t="shared" ca="1" si="52"/>
        <v>4.6994254711670777E-2</v>
      </c>
    </row>
    <row r="3115" spans="6:7" x14ac:dyDescent="0.35">
      <c r="F3115">
        <v>3110</v>
      </c>
      <c r="G3115" s="102">
        <f t="shared" ca="1" si="52"/>
        <v>5.4721486735911734E-2</v>
      </c>
    </row>
    <row r="3116" spans="6:7" x14ac:dyDescent="0.35">
      <c r="F3116">
        <v>3111</v>
      </c>
      <c r="G3116" s="102">
        <f t="shared" ca="1" si="52"/>
        <v>7.4492696645850648E-2</v>
      </c>
    </row>
    <row r="3117" spans="6:7" x14ac:dyDescent="0.35">
      <c r="F3117">
        <v>3112</v>
      </c>
      <c r="G3117" s="102">
        <f t="shared" ca="1" si="52"/>
        <v>8.9352454245679475E-2</v>
      </c>
    </row>
    <row r="3118" spans="6:7" x14ac:dyDescent="0.35">
      <c r="F3118">
        <v>3113</v>
      </c>
      <c r="G3118" s="102">
        <f t="shared" ca="1" si="52"/>
        <v>-7.2882268773943021E-2</v>
      </c>
    </row>
    <row r="3119" spans="6:7" x14ac:dyDescent="0.35">
      <c r="F3119">
        <v>3114</v>
      </c>
      <c r="G3119" s="102">
        <f t="shared" ca="1" si="52"/>
        <v>1.9343530989204384E-3</v>
      </c>
    </row>
    <row r="3120" spans="6:7" x14ac:dyDescent="0.35">
      <c r="F3120">
        <v>3115</v>
      </c>
      <c r="G3120" s="102">
        <f t="shared" ca="1" si="52"/>
        <v>-7.0477472860142415E-2</v>
      </c>
    </row>
    <row r="3121" spans="6:7" x14ac:dyDescent="0.35">
      <c r="F3121">
        <v>3116</v>
      </c>
      <c r="G3121" s="102">
        <f t="shared" ca="1" si="52"/>
        <v>-8.1508678454959085E-2</v>
      </c>
    </row>
    <row r="3122" spans="6:7" x14ac:dyDescent="0.35">
      <c r="F3122">
        <v>3117</v>
      </c>
      <c r="G3122" s="102">
        <f t="shared" ca="1" si="52"/>
        <v>8.963492186223615E-2</v>
      </c>
    </row>
    <row r="3123" spans="6:7" x14ac:dyDescent="0.35">
      <c r="F3123">
        <v>3118</v>
      </c>
      <c r="G3123" s="102">
        <f t="shared" ca="1" si="52"/>
        <v>-2.1017437319236713E-2</v>
      </c>
    </row>
    <row r="3124" spans="6:7" x14ac:dyDescent="0.35">
      <c r="F3124">
        <v>3119</v>
      </c>
      <c r="G3124" s="102">
        <f t="shared" ca="1" si="52"/>
        <v>6.8134694878890747E-2</v>
      </c>
    </row>
    <row r="3125" spans="6:7" x14ac:dyDescent="0.35">
      <c r="F3125">
        <v>3120</v>
      </c>
      <c r="G3125" s="102">
        <f t="shared" ca="1" si="52"/>
        <v>1.5808765438559601E-2</v>
      </c>
    </row>
    <row r="3126" spans="6:7" x14ac:dyDescent="0.35">
      <c r="F3126">
        <v>3121</v>
      </c>
      <c r="G3126" s="102">
        <f t="shared" ca="1" si="52"/>
        <v>-4.5189262779474701E-2</v>
      </c>
    </row>
    <row r="3127" spans="6:7" x14ac:dyDescent="0.35">
      <c r="F3127">
        <v>3122</v>
      </c>
      <c r="G3127" s="102">
        <f t="shared" ca="1" si="52"/>
        <v>2.9181396548797343E-2</v>
      </c>
    </row>
    <row r="3128" spans="6:7" x14ac:dyDescent="0.35">
      <c r="F3128">
        <v>3123</v>
      </c>
      <c r="G3128" s="102">
        <f t="shared" ca="1" si="52"/>
        <v>0.12482320300045717</v>
      </c>
    </row>
    <row r="3129" spans="6:7" x14ac:dyDescent="0.35">
      <c r="F3129">
        <v>3124</v>
      </c>
      <c r="G3129" s="102">
        <f t="shared" ca="1" si="52"/>
        <v>-2.9886302741317115E-2</v>
      </c>
    </row>
    <row r="3130" spans="6:7" x14ac:dyDescent="0.35">
      <c r="F3130">
        <v>3125</v>
      </c>
      <c r="G3130" s="102">
        <f t="shared" ca="1" si="52"/>
        <v>-6.5864604584658024E-2</v>
      </c>
    </row>
    <row r="3131" spans="6:7" x14ac:dyDescent="0.35">
      <c r="F3131">
        <v>3126</v>
      </c>
      <c r="G3131" s="102">
        <f t="shared" ca="1" si="52"/>
        <v>3.689987463627252E-2</v>
      </c>
    </row>
    <row r="3132" spans="6:7" x14ac:dyDescent="0.35">
      <c r="F3132">
        <v>3127</v>
      </c>
      <c r="G3132" s="102">
        <f t="shared" ca="1" si="52"/>
        <v>-1.7531656347363297E-2</v>
      </c>
    </row>
    <row r="3133" spans="6:7" x14ac:dyDescent="0.35">
      <c r="F3133">
        <v>3128</v>
      </c>
      <c r="G3133" s="102">
        <f t="shared" ca="1" si="52"/>
        <v>-5.3713355672247151E-2</v>
      </c>
    </row>
    <row r="3134" spans="6:7" x14ac:dyDescent="0.35">
      <c r="F3134">
        <v>3129</v>
      </c>
      <c r="G3134" s="102">
        <f t="shared" ca="1" si="52"/>
        <v>-8.6580536418604193E-2</v>
      </c>
    </row>
    <row r="3135" spans="6:7" x14ac:dyDescent="0.35">
      <c r="F3135">
        <v>3130</v>
      </c>
      <c r="G3135" s="102">
        <f t="shared" ca="1" si="52"/>
        <v>-5.9468706571793137E-2</v>
      </c>
    </row>
    <row r="3136" spans="6:7" x14ac:dyDescent="0.35">
      <c r="F3136">
        <v>3131</v>
      </c>
      <c r="G3136" s="102">
        <f t="shared" ca="1" si="52"/>
        <v>2.1714162911357388E-2</v>
      </c>
    </row>
    <row r="3137" spans="6:7" x14ac:dyDescent="0.35">
      <c r="F3137">
        <v>3132</v>
      </c>
      <c r="G3137" s="102">
        <f t="shared" ca="1" si="52"/>
        <v>-7.711327436380408E-2</v>
      </c>
    </row>
    <row r="3138" spans="6:7" x14ac:dyDescent="0.35">
      <c r="F3138">
        <v>3133</v>
      </c>
      <c r="G3138" s="102">
        <f t="shared" ca="1" si="52"/>
        <v>5.6000755944792639E-3</v>
      </c>
    </row>
    <row r="3139" spans="6:7" x14ac:dyDescent="0.35">
      <c r="F3139">
        <v>3134</v>
      </c>
      <c r="G3139" s="102">
        <f t="shared" ca="1" si="52"/>
        <v>-2.8069571467269877E-2</v>
      </c>
    </row>
    <row r="3140" spans="6:7" x14ac:dyDescent="0.35">
      <c r="F3140">
        <v>3135</v>
      </c>
      <c r="G3140" s="102">
        <f t="shared" ca="1" si="52"/>
        <v>-0.11118398504393166</v>
      </c>
    </row>
    <row r="3141" spans="6:7" x14ac:dyDescent="0.35">
      <c r="F3141">
        <v>3136</v>
      </c>
      <c r="G3141" s="102">
        <f t="shared" ca="1" si="52"/>
        <v>5.3905674489164966E-3</v>
      </c>
    </row>
    <row r="3142" spans="6:7" x14ac:dyDescent="0.35">
      <c r="F3142">
        <v>3137</v>
      </c>
      <c r="G3142" s="102">
        <f t="shared" ca="1" si="52"/>
        <v>-4.654089938107335E-2</v>
      </c>
    </row>
    <row r="3143" spans="6:7" x14ac:dyDescent="0.35">
      <c r="F3143">
        <v>3138</v>
      </c>
      <c r="G3143" s="102">
        <f t="shared" ref="G3143:G3206" ca="1" si="53">_xlfn.NORM.INV(RAND(),M$9,M$10)</f>
        <v>6.5391289593528287E-2</v>
      </c>
    </row>
    <row r="3144" spans="6:7" x14ac:dyDescent="0.35">
      <c r="F3144">
        <v>3139</v>
      </c>
      <c r="G3144" s="102">
        <f t="shared" ca="1" si="53"/>
        <v>-4.8534212071674132E-2</v>
      </c>
    </row>
    <row r="3145" spans="6:7" x14ac:dyDescent="0.35">
      <c r="F3145">
        <v>3140</v>
      </c>
      <c r="G3145" s="102">
        <f t="shared" ca="1" si="53"/>
        <v>3.5036880442171861E-2</v>
      </c>
    </row>
    <row r="3146" spans="6:7" x14ac:dyDescent="0.35">
      <c r="F3146">
        <v>3141</v>
      </c>
      <c r="G3146" s="102">
        <f t="shared" ca="1" si="53"/>
        <v>7.6119145999519716E-2</v>
      </c>
    </row>
    <row r="3147" spans="6:7" x14ac:dyDescent="0.35">
      <c r="F3147">
        <v>3142</v>
      </c>
      <c r="G3147" s="102">
        <f t="shared" ca="1" si="53"/>
        <v>1.2286312894352076E-4</v>
      </c>
    </row>
    <row r="3148" spans="6:7" x14ac:dyDescent="0.35">
      <c r="F3148">
        <v>3143</v>
      </c>
      <c r="G3148" s="102">
        <f t="shared" ca="1" si="53"/>
        <v>3.0110842896667423E-2</v>
      </c>
    </row>
    <row r="3149" spans="6:7" x14ac:dyDescent="0.35">
      <c r="F3149">
        <v>3144</v>
      </c>
      <c r="G3149" s="102">
        <f t="shared" ca="1" si="53"/>
        <v>6.6638570469850951E-3</v>
      </c>
    </row>
    <row r="3150" spans="6:7" x14ac:dyDescent="0.35">
      <c r="F3150">
        <v>3145</v>
      </c>
      <c r="G3150" s="102">
        <f t="shared" ca="1" si="53"/>
        <v>7.2792086965408773E-2</v>
      </c>
    </row>
    <row r="3151" spans="6:7" x14ac:dyDescent="0.35">
      <c r="F3151">
        <v>3146</v>
      </c>
      <c r="G3151" s="102">
        <f t="shared" ca="1" si="53"/>
        <v>3.4951852659405994E-2</v>
      </c>
    </row>
    <row r="3152" spans="6:7" x14ac:dyDescent="0.35">
      <c r="F3152">
        <v>3147</v>
      </c>
      <c r="G3152" s="102">
        <f t="shared" ca="1" si="53"/>
        <v>4.6451443480452714E-2</v>
      </c>
    </row>
    <row r="3153" spans="6:7" x14ac:dyDescent="0.35">
      <c r="F3153">
        <v>3148</v>
      </c>
      <c r="G3153" s="102">
        <f t="shared" ca="1" si="53"/>
        <v>-4.2452437767318579E-2</v>
      </c>
    </row>
    <row r="3154" spans="6:7" x14ac:dyDescent="0.35">
      <c r="F3154">
        <v>3149</v>
      </c>
      <c r="G3154" s="102">
        <f t="shared" ca="1" si="53"/>
        <v>-1.7685548257683176E-2</v>
      </c>
    </row>
    <row r="3155" spans="6:7" x14ac:dyDescent="0.35">
      <c r="F3155">
        <v>3150</v>
      </c>
      <c r="G3155" s="102">
        <f t="shared" ca="1" si="53"/>
        <v>3.8165220266124317E-2</v>
      </c>
    </row>
    <row r="3156" spans="6:7" x14ac:dyDescent="0.35">
      <c r="F3156">
        <v>3151</v>
      </c>
      <c r="G3156" s="102">
        <f t="shared" ca="1" si="53"/>
        <v>1.4535759682222444E-2</v>
      </c>
    </row>
    <row r="3157" spans="6:7" x14ac:dyDescent="0.35">
      <c r="F3157">
        <v>3152</v>
      </c>
      <c r="G3157" s="102">
        <f t="shared" ca="1" si="53"/>
        <v>-6.1974909283693896E-2</v>
      </c>
    </row>
    <row r="3158" spans="6:7" x14ac:dyDescent="0.35">
      <c r="F3158">
        <v>3153</v>
      </c>
      <c r="G3158" s="102">
        <f t="shared" ca="1" si="53"/>
        <v>-5.0501998638196932E-2</v>
      </c>
    </row>
    <row r="3159" spans="6:7" x14ac:dyDescent="0.35">
      <c r="F3159">
        <v>3154</v>
      </c>
      <c r="G3159" s="102">
        <f t="shared" ca="1" si="53"/>
        <v>-5.8836941012080177E-3</v>
      </c>
    </row>
    <row r="3160" spans="6:7" x14ac:dyDescent="0.35">
      <c r="F3160">
        <v>3155</v>
      </c>
      <c r="G3160" s="102">
        <f t="shared" ca="1" si="53"/>
        <v>5.7976211646879466E-2</v>
      </c>
    </row>
    <row r="3161" spans="6:7" x14ac:dyDescent="0.35">
      <c r="F3161">
        <v>3156</v>
      </c>
      <c r="G3161" s="102">
        <f t="shared" ca="1" si="53"/>
        <v>-7.3501734748298117E-2</v>
      </c>
    </row>
    <row r="3162" spans="6:7" x14ac:dyDescent="0.35">
      <c r="F3162">
        <v>3157</v>
      </c>
      <c r="G3162" s="102">
        <f t="shared" ca="1" si="53"/>
        <v>1.1388578427392361E-2</v>
      </c>
    </row>
    <row r="3163" spans="6:7" x14ac:dyDescent="0.35">
      <c r="F3163">
        <v>3158</v>
      </c>
      <c r="G3163" s="102">
        <f t="shared" ca="1" si="53"/>
        <v>-4.910704767782012E-2</v>
      </c>
    </row>
    <row r="3164" spans="6:7" x14ac:dyDescent="0.35">
      <c r="F3164">
        <v>3159</v>
      </c>
      <c r="G3164" s="102">
        <f t="shared" ca="1" si="53"/>
        <v>-7.6011209778351435E-2</v>
      </c>
    </row>
    <row r="3165" spans="6:7" x14ac:dyDescent="0.35">
      <c r="F3165">
        <v>3160</v>
      </c>
      <c r="G3165" s="102">
        <f t="shared" ca="1" si="53"/>
        <v>-2.8439929352601728E-2</v>
      </c>
    </row>
    <row r="3166" spans="6:7" x14ac:dyDescent="0.35">
      <c r="F3166">
        <v>3161</v>
      </c>
      <c r="G3166" s="102">
        <f t="shared" ca="1" si="53"/>
        <v>8.6304411588818589E-2</v>
      </c>
    </row>
    <row r="3167" spans="6:7" x14ac:dyDescent="0.35">
      <c r="F3167">
        <v>3162</v>
      </c>
      <c r="G3167" s="102">
        <f t="shared" ca="1" si="53"/>
        <v>-3.661804725934488E-2</v>
      </c>
    </row>
    <row r="3168" spans="6:7" x14ac:dyDescent="0.35">
      <c r="F3168">
        <v>3163</v>
      </c>
      <c r="G3168" s="102">
        <f t="shared" ca="1" si="53"/>
        <v>-6.0317258200905347E-2</v>
      </c>
    </row>
    <row r="3169" spans="6:7" x14ac:dyDescent="0.35">
      <c r="F3169">
        <v>3164</v>
      </c>
      <c r="G3169" s="102">
        <f t="shared" ca="1" si="53"/>
        <v>-1.1814540043637807E-2</v>
      </c>
    </row>
    <row r="3170" spans="6:7" x14ac:dyDescent="0.35">
      <c r="F3170">
        <v>3165</v>
      </c>
      <c r="G3170" s="102">
        <f t="shared" ca="1" si="53"/>
        <v>1.1358857610886144E-2</v>
      </c>
    </row>
    <row r="3171" spans="6:7" x14ac:dyDescent="0.35">
      <c r="F3171">
        <v>3166</v>
      </c>
      <c r="G3171" s="102">
        <f t="shared" ca="1" si="53"/>
        <v>4.8993621675567436E-2</v>
      </c>
    </row>
    <row r="3172" spans="6:7" x14ac:dyDescent="0.35">
      <c r="F3172">
        <v>3167</v>
      </c>
      <c r="G3172" s="102">
        <f t="shared" ca="1" si="53"/>
        <v>5.4755275024143818E-3</v>
      </c>
    </row>
    <row r="3173" spans="6:7" x14ac:dyDescent="0.35">
      <c r="F3173">
        <v>3168</v>
      </c>
      <c r="G3173" s="102">
        <f t="shared" ca="1" si="53"/>
        <v>-0.10624461300634343</v>
      </c>
    </row>
    <row r="3174" spans="6:7" x14ac:dyDescent="0.35">
      <c r="F3174">
        <v>3169</v>
      </c>
      <c r="G3174" s="102">
        <f t="shared" ca="1" si="53"/>
        <v>-3.7361212407018618E-2</v>
      </c>
    </row>
    <row r="3175" spans="6:7" x14ac:dyDescent="0.35">
      <c r="F3175">
        <v>3170</v>
      </c>
      <c r="G3175" s="102">
        <f t="shared" ca="1" si="53"/>
        <v>0.12068542516816415</v>
      </c>
    </row>
    <row r="3176" spans="6:7" x14ac:dyDescent="0.35">
      <c r="F3176">
        <v>3171</v>
      </c>
      <c r="G3176" s="102">
        <f t="shared" ca="1" si="53"/>
        <v>-4.9161744197637983E-2</v>
      </c>
    </row>
    <row r="3177" spans="6:7" x14ac:dyDescent="0.35">
      <c r="F3177">
        <v>3172</v>
      </c>
      <c r="G3177" s="102">
        <f t="shared" ca="1" si="53"/>
        <v>-3.8689083408888908E-2</v>
      </c>
    </row>
    <row r="3178" spans="6:7" x14ac:dyDescent="0.35">
      <c r="F3178">
        <v>3173</v>
      </c>
      <c r="G3178" s="102">
        <f t="shared" ca="1" si="53"/>
        <v>-3.6767450115499867E-2</v>
      </c>
    </row>
    <row r="3179" spans="6:7" x14ac:dyDescent="0.35">
      <c r="F3179">
        <v>3174</v>
      </c>
      <c r="G3179" s="102">
        <f t="shared" ca="1" si="53"/>
        <v>8.0117790293145266E-2</v>
      </c>
    </row>
    <row r="3180" spans="6:7" x14ac:dyDescent="0.35">
      <c r="F3180">
        <v>3175</v>
      </c>
      <c r="G3180" s="102">
        <f t="shared" ca="1" si="53"/>
        <v>6.1648017854420797E-2</v>
      </c>
    </row>
    <row r="3181" spans="6:7" x14ac:dyDescent="0.35">
      <c r="F3181">
        <v>3176</v>
      </c>
      <c r="G3181" s="102">
        <f t="shared" ca="1" si="53"/>
        <v>0.10206953473527763</v>
      </c>
    </row>
    <row r="3182" spans="6:7" x14ac:dyDescent="0.35">
      <c r="F3182">
        <v>3177</v>
      </c>
      <c r="G3182" s="102">
        <f t="shared" ca="1" si="53"/>
        <v>-0.10554824754628102</v>
      </c>
    </row>
    <row r="3183" spans="6:7" x14ac:dyDescent="0.35">
      <c r="F3183">
        <v>3178</v>
      </c>
      <c r="G3183" s="102">
        <f t="shared" ca="1" si="53"/>
        <v>-6.18751398731682E-2</v>
      </c>
    </row>
    <row r="3184" spans="6:7" x14ac:dyDescent="0.35">
      <c r="F3184">
        <v>3179</v>
      </c>
      <c r="G3184" s="102">
        <f t="shared" ca="1" si="53"/>
        <v>-2.2804189549440541E-2</v>
      </c>
    </row>
    <row r="3185" spans="6:7" x14ac:dyDescent="0.35">
      <c r="F3185">
        <v>3180</v>
      </c>
      <c r="G3185" s="102">
        <f t="shared" ca="1" si="53"/>
        <v>6.0282683573123046E-3</v>
      </c>
    </row>
    <row r="3186" spans="6:7" x14ac:dyDescent="0.35">
      <c r="F3186">
        <v>3181</v>
      </c>
      <c r="G3186" s="102">
        <f t="shared" ca="1" si="53"/>
        <v>-2.8345534052077206E-2</v>
      </c>
    </row>
    <row r="3187" spans="6:7" x14ac:dyDescent="0.35">
      <c r="F3187">
        <v>3182</v>
      </c>
      <c r="G3187" s="102">
        <f t="shared" ca="1" si="53"/>
        <v>0.10970020219125642</v>
      </c>
    </row>
    <row r="3188" spans="6:7" x14ac:dyDescent="0.35">
      <c r="F3188">
        <v>3183</v>
      </c>
      <c r="G3188" s="102">
        <f t="shared" ca="1" si="53"/>
        <v>-5.5807454154184921E-2</v>
      </c>
    </row>
    <row r="3189" spans="6:7" x14ac:dyDescent="0.35">
      <c r="F3189">
        <v>3184</v>
      </c>
      <c r="G3189" s="102">
        <f t="shared" ca="1" si="53"/>
        <v>9.6313124636847103E-2</v>
      </c>
    </row>
    <row r="3190" spans="6:7" x14ac:dyDescent="0.35">
      <c r="F3190">
        <v>3185</v>
      </c>
      <c r="G3190" s="102">
        <f t="shared" ca="1" si="53"/>
        <v>5.7271938200588995E-3</v>
      </c>
    </row>
    <row r="3191" spans="6:7" x14ac:dyDescent="0.35">
      <c r="F3191">
        <v>3186</v>
      </c>
      <c r="G3191" s="102">
        <f t="shared" ca="1" si="53"/>
        <v>-3.6165690847763082E-2</v>
      </c>
    </row>
    <row r="3192" spans="6:7" x14ac:dyDescent="0.35">
      <c r="F3192">
        <v>3187</v>
      </c>
      <c r="G3192" s="102">
        <f t="shared" ca="1" si="53"/>
        <v>9.1504207704952972E-3</v>
      </c>
    </row>
    <row r="3193" spans="6:7" x14ac:dyDescent="0.35">
      <c r="F3193">
        <v>3188</v>
      </c>
      <c r="G3193" s="102">
        <f t="shared" ca="1" si="53"/>
        <v>-2.4061052264594842E-2</v>
      </c>
    </row>
    <row r="3194" spans="6:7" x14ac:dyDescent="0.35">
      <c r="F3194">
        <v>3189</v>
      </c>
      <c r="G3194" s="102">
        <f t="shared" ca="1" si="53"/>
        <v>8.9358497776106105E-2</v>
      </c>
    </row>
    <row r="3195" spans="6:7" x14ac:dyDescent="0.35">
      <c r="F3195">
        <v>3190</v>
      </c>
      <c r="G3195" s="102">
        <f t="shared" ca="1" si="53"/>
        <v>-6.8898418968010383E-2</v>
      </c>
    </row>
    <row r="3196" spans="6:7" x14ac:dyDescent="0.35">
      <c r="F3196">
        <v>3191</v>
      </c>
      <c r="G3196" s="102">
        <f t="shared" ca="1" si="53"/>
        <v>0.10662504718738357</v>
      </c>
    </row>
    <row r="3197" spans="6:7" x14ac:dyDescent="0.35">
      <c r="F3197">
        <v>3192</v>
      </c>
      <c r="G3197" s="102">
        <f t="shared" ca="1" si="53"/>
        <v>9.7465582138719226E-3</v>
      </c>
    </row>
    <row r="3198" spans="6:7" x14ac:dyDescent="0.35">
      <c r="F3198">
        <v>3193</v>
      </c>
      <c r="G3198" s="102">
        <f t="shared" ca="1" si="53"/>
        <v>4.2590042421330299E-2</v>
      </c>
    </row>
    <row r="3199" spans="6:7" x14ac:dyDescent="0.35">
      <c r="F3199">
        <v>3194</v>
      </c>
      <c r="G3199" s="102">
        <f t="shared" ca="1" si="53"/>
        <v>-5.2008335146154994E-2</v>
      </c>
    </row>
    <row r="3200" spans="6:7" x14ac:dyDescent="0.35">
      <c r="F3200">
        <v>3195</v>
      </c>
      <c r="G3200" s="102">
        <f t="shared" ca="1" si="53"/>
        <v>1.5101638390990445E-2</v>
      </c>
    </row>
    <row r="3201" spans="6:7" x14ac:dyDescent="0.35">
      <c r="F3201">
        <v>3196</v>
      </c>
      <c r="G3201" s="102">
        <f t="shared" ca="1" si="53"/>
        <v>-7.0772914334866427E-3</v>
      </c>
    </row>
    <row r="3202" spans="6:7" x14ac:dyDescent="0.35">
      <c r="F3202">
        <v>3197</v>
      </c>
      <c r="G3202" s="102">
        <f t="shared" ca="1" si="53"/>
        <v>1.9986994793728726E-3</v>
      </c>
    </row>
    <row r="3203" spans="6:7" x14ac:dyDescent="0.35">
      <c r="F3203">
        <v>3198</v>
      </c>
      <c r="G3203" s="102">
        <f t="shared" ca="1" si="53"/>
        <v>8.6860093207844023E-4</v>
      </c>
    </row>
    <row r="3204" spans="6:7" x14ac:dyDescent="0.35">
      <c r="F3204">
        <v>3199</v>
      </c>
      <c r="G3204" s="102">
        <f t="shared" ca="1" si="53"/>
        <v>6.481311051752349E-2</v>
      </c>
    </row>
    <row r="3205" spans="6:7" x14ac:dyDescent="0.35">
      <c r="F3205">
        <v>3200</v>
      </c>
      <c r="G3205" s="102">
        <f t="shared" ca="1" si="53"/>
        <v>1.1385598186845536E-2</v>
      </c>
    </row>
    <row r="3206" spans="6:7" x14ac:dyDescent="0.35">
      <c r="F3206">
        <v>3201</v>
      </c>
      <c r="G3206" s="102">
        <f t="shared" ca="1" si="53"/>
        <v>4.0194342643050759E-2</v>
      </c>
    </row>
    <row r="3207" spans="6:7" x14ac:dyDescent="0.35">
      <c r="F3207">
        <v>3202</v>
      </c>
      <c r="G3207" s="102">
        <f t="shared" ref="G3207:G3270" ca="1" si="54">_xlfn.NORM.INV(RAND(),M$9,M$10)</f>
        <v>1.604968700571666E-2</v>
      </c>
    </row>
    <row r="3208" spans="6:7" x14ac:dyDescent="0.35">
      <c r="F3208">
        <v>3203</v>
      </c>
      <c r="G3208" s="102">
        <f t="shared" ca="1" si="54"/>
        <v>-0.11428535477877681</v>
      </c>
    </row>
    <row r="3209" spans="6:7" x14ac:dyDescent="0.35">
      <c r="F3209">
        <v>3204</v>
      </c>
      <c r="G3209" s="102">
        <f t="shared" ca="1" si="54"/>
        <v>-0.11114985103801538</v>
      </c>
    </row>
    <row r="3210" spans="6:7" x14ac:dyDescent="0.35">
      <c r="F3210">
        <v>3205</v>
      </c>
      <c r="G3210" s="102">
        <f t="shared" ca="1" si="54"/>
        <v>-1.8562623345209115E-2</v>
      </c>
    </row>
    <row r="3211" spans="6:7" x14ac:dyDescent="0.35">
      <c r="F3211">
        <v>3206</v>
      </c>
      <c r="G3211" s="102">
        <f t="shared" ca="1" si="54"/>
        <v>7.3031625016199114E-2</v>
      </c>
    </row>
    <row r="3212" spans="6:7" x14ac:dyDescent="0.35">
      <c r="F3212">
        <v>3207</v>
      </c>
      <c r="G3212" s="102">
        <f t="shared" ca="1" si="54"/>
        <v>-0.12233822811724065</v>
      </c>
    </row>
    <row r="3213" spans="6:7" x14ac:dyDescent="0.35">
      <c r="F3213">
        <v>3208</v>
      </c>
      <c r="G3213" s="102">
        <f t="shared" ca="1" si="54"/>
        <v>0.12049942332915685</v>
      </c>
    </row>
    <row r="3214" spans="6:7" x14ac:dyDescent="0.35">
      <c r="F3214">
        <v>3209</v>
      </c>
      <c r="G3214" s="102">
        <f t="shared" ca="1" si="54"/>
        <v>-3.8732633797849109E-2</v>
      </c>
    </row>
    <row r="3215" spans="6:7" x14ac:dyDescent="0.35">
      <c r="F3215">
        <v>3210</v>
      </c>
      <c r="G3215" s="102">
        <f t="shared" ca="1" si="54"/>
        <v>-5.3101688604708097E-3</v>
      </c>
    </row>
    <row r="3216" spans="6:7" x14ac:dyDescent="0.35">
      <c r="F3216">
        <v>3211</v>
      </c>
      <c r="G3216" s="102">
        <f t="shared" ca="1" si="54"/>
        <v>7.9367378772252362E-2</v>
      </c>
    </row>
    <row r="3217" spans="6:7" x14ac:dyDescent="0.35">
      <c r="F3217">
        <v>3212</v>
      </c>
      <c r="G3217" s="102">
        <f t="shared" ca="1" si="54"/>
        <v>-4.3679675593224526E-2</v>
      </c>
    </row>
    <row r="3218" spans="6:7" x14ac:dyDescent="0.35">
      <c r="F3218">
        <v>3213</v>
      </c>
      <c r="G3218" s="102">
        <f t="shared" ca="1" si="54"/>
        <v>-6.6525324801480865E-2</v>
      </c>
    </row>
    <row r="3219" spans="6:7" x14ac:dyDescent="0.35">
      <c r="F3219">
        <v>3214</v>
      </c>
      <c r="G3219" s="102">
        <f t="shared" ca="1" si="54"/>
        <v>2.662704839299249E-2</v>
      </c>
    </row>
    <row r="3220" spans="6:7" x14ac:dyDescent="0.35">
      <c r="F3220">
        <v>3215</v>
      </c>
      <c r="G3220" s="102">
        <f t="shared" ca="1" si="54"/>
        <v>5.3910987257959245E-2</v>
      </c>
    </row>
    <row r="3221" spans="6:7" x14ac:dyDescent="0.35">
      <c r="F3221">
        <v>3216</v>
      </c>
      <c r="G3221" s="102">
        <f t="shared" ca="1" si="54"/>
        <v>2.8474840461674738E-2</v>
      </c>
    </row>
    <row r="3222" spans="6:7" x14ac:dyDescent="0.35">
      <c r="F3222">
        <v>3217</v>
      </c>
      <c r="G3222" s="102">
        <f t="shared" ca="1" si="54"/>
        <v>-0.15032410847201944</v>
      </c>
    </row>
    <row r="3223" spans="6:7" x14ac:dyDescent="0.35">
      <c r="F3223">
        <v>3218</v>
      </c>
      <c r="G3223" s="102">
        <f t="shared" ca="1" si="54"/>
        <v>-2.8462048362303285E-2</v>
      </c>
    </row>
    <row r="3224" spans="6:7" x14ac:dyDescent="0.35">
      <c r="F3224">
        <v>3219</v>
      </c>
      <c r="G3224" s="102">
        <f t="shared" ca="1" si="54"/>
        <v>5.8935180191243677E-2</v>
      </c>
    </row>
    <row r="3225" spans="6:7" x14ac:dyDescent="0.35">
      <c r="F3225">
        <v>3220</v>
      </c>
      <c r="G3225" s="102">
        <f t="shared" ca="1" si="54"/>
        <v>-0.10920255899726597</v>
      </c>
    </row>
    <row r="3226" spans="6:7" x14ac:dyDescent="0.35">
      <c r="F3226">
        <v>3221</v>
      </c>
      <c r="G3226" s="102">
        <f t="shared" ca="1" si="54"/>
        <v>-3.7239578572078144E-2</v>
      </c>
    </row>
    <row r="3227" spans="6:7" x14ac:dyDescent="0.35">
      <c r="F3227">
        <v>3222</v>
      </c>
      <c r="G3227" s="102">
        <f t="shared" ca="1" si="54"/>
        <v>-7.7951567698740015E-3</v>
      </c>
    </row>
    <row r="3228" spans="6:7" x14ac:dyDescent="0.35">
      <c r="F3228">
        <v>3223</v>
      </c>
      <c r="G3228" s="102">
        <f t="shared" ca="1" si="54"/>
        <v>-9.7518929500822152E-2</v>
      </c>
    </row>
    <row r="3229" spans="6:7" x14ac:dyDescent="0.35">
      <c r="F3229">
        <v>3224</v>
      </c>
      <c r="G3229" s="102">
        <f t="shared" ca="1" si="54"/>
        <v>2.0637215340183219E-2</v>
      </c>
    </row>
    <row r="3230" spans="6:7" x14ac:dyDescent="0.35">
      <c r="F3230">
        <v>3225</v>
      </c>
      <c r="G3230" s="102">
        <f t="shared" ca="1" si="54"/>
        <v>1.2338315464192205E-2</v>
      </c>
    </row>
    <row r="3231" spans="6:7" x14ac:dyDescent="0.35">
      <c r="F3231">
        <v>3226</v>
      </c>
      <c r="G3231" s="102">
        <f t="shared" ca="1" si="54"/>
        <v>9.8608325630964416E-2</v>
      </c>
    </row>
    <row r="3232" spans="6:7" x14ac:dyDescent="0.35">
      <c r="F3232">
        <v>3227</v>
      </c>
      <c r="G3232" s="102">
        <f t="shared" ca="1" si="54"/>
        <v>-6.9594639473279055E-2</v>
      </c>
    </row>
    <row r="3233" spans="6:7" x14ac:dyDescent="0.35">
      <c r="F3233">
        <v>3228</v>
      </c>
      <c r="G3233" s="102">
        <f t="shared" ca="1" si="54"/>
        <v>-0.12277972058972746</v>
      </c>
    </row>
    <row r="3234" spans="6:7" x14ac:dyDescent="0.35">
      <c r="F3234">
        <v>3229</v>
      </c>
      <c r="G3234" s="102">
        <f t="shared" ca="1" si="54"/>
        <v>-4.6706505649722216E-2</v>
      </c>
    </row>
    <row r="3235" spans="6:7" x14ac:dyDescent="0.35">
      <c r="F3235">
        <v>3230</v>
      </c>
      <c r="G3235" s="102">
        <f t="shared" ca="1" si="54"/>
        <v>2.5084896235747656E-2</v>
      </c>
    </row>
    <row r="3236" spans="6:7" x14ac:dyDescent="0.35">
      <c r="F3236">
        <v>3231</v>
      </c>
      <c r="G3236" s="102">
        <f t="shared" ca="1" si="54"/>
        <v>2.8792577527205303E-2</v>
      </c>
    </row>
    <row r="3237" spans="6:7" x14ac:dyDescent="0.35">
      <c r="F3237">
        <v>3232</v>
      </c>
      <c r="G3237" s="102">
        <f t="shared" ca="1" si="54"/>
        <v>-3.6523952407826188E-2</v>
      </c>
    </row>
    <row r="3238" spans="6:7" x14ac:dyDescent="0.35">
      <c r="F3238">
        <v>3233</v>
      </c>
      <c r="G3238" s="102">
        <f t="shared" ca="1" si="54"/>
        <v>-1.7844285271595688E-2</v>
      </c>
    </row>
    <row r="3239" spans="6:7" x14ac:dyDescent="0.35">
      <c r="F3239">
        <v>3234</v>
      </c>
      <c r="G3239" s="102">
        <f t="shared" ca="1" si="54"/>
        <v>6.4500054856843972E-2</v>
      </c>
    </row>
    <row r="3240" spans="6:7" x14ac:dyDescent="0.35">
      <c r="F3240">
        <v>3235</v>
      </c>
      <c r="G3240" s="102">
        <f t="shared" ca="1" si="54"/>
        <v>-2.8723048769984143E-2</v>
      </c>
    </row>
    <row r="3241" spans="6:7" x14ac:dyDescent="0.35">
      <c r="F3241">
        <v>3236</v>
      </c>
      <c r="G3241" s="102">
        <f t="shared" ca="1" si="54"/>
        <v>0.13960142485587917</v>
      </c>
    </row>
    <row r="3242" spans="6:7" x14ac:dyDescent="0.35">
      <c r="F3242">
        <v>3237</v>
      </c>
      <c r="G3242" s="102">
        <f t="shared" ca="1" si="54"/>
        <v>4.0828842251044453E-2</v>
      </c>
    </row>
    <row r="3243" spans="6:7" x14ac:dyDescent="0.35">
      <c r="F3243">
        <v>3238</v>
      </c>
      <c r="G3243" s="102">
        <f t="shared" ca="1" si="54"/>
        <v>-5.2235073858338324E-2</v>
      </c>
    </row>
    <row r="3244" spans="6:7" x14ac:dyDescent="0.35">
      <c r="F3244">
        <v>3239</v>
      </c>
      <c r="G3244" s="102">
        <f t="shared" ca="1" si="54"/>
        <v>1.9048629389776021E-2</v>
      </c>
    </row>
    <row r="3245" spans="6:7" x14ac:dyDescent="0.35">
      <c r="F3245">
        <v>3240</v>
      </c>
      <c r="G3245" s="102">
        <f t="shared" ca="1" si="54"/>
        <v>-3.7044610093600105E-2</v>
      </c>
    </row>
    <row r="3246" spans="6:7" x14ac:dyDescent="0.35">
      <c r="F3246">
        <v>3241</v>
      </c>
      <c r="G3246" s="102">
        <f t="shared" ca="1" si="54"/>
        <v>-1.8903961130682739E-2</v>
      </c>
    </row>
    <row r="3247" spans="6:7" x14ac:dyDescent="0.35">
      <c r="F3247">
        <v>3242</v>
      </c>
      <c r="G3247" s="102">
        <f t="shared" ca="1" si="54"/>
        <v>-0.12355141493676544</v>
      </c>
    </row>
    <row r="3248" spans="6:7" x14ac:dyDescent="0.35">
      <c r="F3248">
        <v>3243</v>
      </c>
      <c r="G3248" s="102">
        <f t="shared" ca="1" si="54"/>
        <v>-0.12816926283013211</v>
      </c>
    </row>
    <row r="3249" spans="6:7" x14ac:dyDescent="0.35">
      <c r="F3249">
        <v>3244</v>
      </c>
      <c r="G3249" s="102">
        <f t="shared" ca="1" si="54"/>
        <v>4.5941371098990588E-2</v>
      </c>
    </row>
    <row r="3250" spans="6:7" x14ac:dyDescent="0.35">
      <c r="F3250">
        <v>3245</v>
      </c>
      <c r="G3250" s="102">
        <f t="shared" ca="1" si="54"/>
        <v>-2.0493351131244789E-2</v>
      </c>
    </row>
    <row r="3251" spans="6:7" x14ac:dyDescent="0.35">
      <c r="F3251">
        <v>3246</v>
      </c>
      <c r="G3251" s="102">
        <f t="shared" ca="1" si="54"/>
        <v>-0.13318938787778167</v>
      </c>
    </row>
    <row r="3252" spans="6:7" x14ac:dyDescent="0.35">
      <c r="F3252">
        <v>3247</v>
      </c>
      <c r="G3252" s="102">
        <f t="shared" ca="1" si="54"/>
        <v>-1.6309288206667431E-2</v>
      </c>
    </row>
    <row r="3253" spans="6:7" x14ac:dyDescent="0.35">
      <c r="F3253">
        <v>3248</v>
      </c>
      <c r="G3253" s="102">
        <f t="shared" ca="1" si="54"/>
        <v>-3.4622460956025253E-2</v>
      </c>
    </row>
    <row r="3254" spans="6:7" x14ac:dyDescent="0.35">
      <c r="F3254">
        <v>3249</v>
      </c>
      <c r="G3254" s="102">
        <f t="shared" ca="1" si="54"/>
        <v>8.9827111018018393E-2</v>
      </c>
    </row>
    <row r="3255" spans="6:7" x14ac:dyDescent="0.35">
      <c r="F3255">
        <v>3250</v>
      </c>
      <c r="G3255" s="102">
        <f t="shared" ca="1" si="54"/>
        <v>-4.4753566173370493E-2</v>
      </c>
    </row>
    <row r="3256" spans="6:7" x14ac:dyDescent="0.35">
      <c r="F3256">
        <v>3251</v>
      </c>
      <c r="G3256" s="102">
        <f t="shared" ca="1" si="54"/>
        <v>-2.9919184517255705E-2</v>
      </c>
    </row>
    <row r="3257" spans="6:7" x14ac:dyDescent="0.35">
      <c r="F3257">
        <v>3252</v>
      </c>
      <c r="G3257" s="102">
        <f t="shared" ca="1" si="54"/>
        <v>-4.1158965512541057E-2</v>
      </c>
    </row>
    <row r="3258" spans="6:7" x14ac:dyDescent="0.35">
      <c r="F3258">
        <v>3253</v>
      </c>
      <c r="G3258" s="102">
        <f t="shared" ca="1" si="54"/>
        <v>8.969185727035893E-2</v>
      </c>
    </row>
    <row r="3259" spans="6:7" x14ac:dyDescent="0.35">
      <c r="F3259">
        <v>3254</v>
      </c>
      <c r="G3259" s="102">
        <f t="shared" ca="1" si="54"/>
        <v>8.3662053761425784E-2</v>
      </c>
    </row>
    <row r="3260" spans="6:7" x14ac:dyDescent="0.35">
      <c r="F3260">
        <v>3255</v>
      </c>
      <c r="G3260" s="102">
        <f t="shared" ca="1" si="54"/>
        <v>-3.8952589295403225E-2</v>
      </c>
    </row>
    <row r="3261" spans="6:7" x14ac:dyDescent="0.35">
      <c r="F3261">
        <v>3256</v>
      </c>
      <c r="G3261" s="102">
        <f t="shared" ca="1" si="54"/>
        <v>-0.11030211026079104</v>
      </c>
    </row>
    <row r="3262" spans="6:7" x14ac:dyDescent="0.35">
      <c r="F3262">
        <v>3257</v>
      </c>
      <c r="G3262" s="102">
        <f t="shared" ca="1" si="54"/>
        <v>-1.494341948070582E-2</v>
      </c>
    </row>
    <row r="3263" spans="6:7" x14ac:dyDescent="0.35">
      <c r="F3263">
        <v>3258</v>
      </c>
      <c r="G3263" s="102">
        <f t="shared" ca="1" si="54"/>
        <v>-7.6133009646478008E-3</v>
      </c>
    </row>
    <row r="3264" spans="6:7" x14ac:dyDescent="0.35">
      <c r="F3264">
        <v>3259</v>
      </c>
      <c r="G3264" s="102">
        <f t="shared" ca="1" si="54"/>
        <v>8.0702813854905187E-2</v>
      </c>
    </row>
    <row r="3265" spans="6:7" x14ac:dyDescent="0.35">
      <c r="F3265">
        <v>3260</v>
      </c>
      <c r="G3265" s="102">
        <f t="shared" ca="1" si="54"/>
        <v>-4.4067047412162013E-3</v>
      </c>
    </row>
    <row r="3266" spans="6:7" x14ac:dyDescent="0.35">
      <c r="F3266">
        <v>3261</v>
      </c>
      <c r="G3266" s="102">
        <f t="shared" ca="1" si="54"/>
        <v>-5.474215537412222E-2</v>
      </c>
    </row>
    <row r="3267" spans="6:7" x14ac:dyDescent="0.35">
      <c r="F3267">
        <v>3262</v>
      </c>
      <c r="G3267" s="102">
        <f t="shared" ca="1" si="54"/>
        <v>-7.3879360119925214E-2</v>
      </c>
    </row>
    <row r="3268" spans="6:7" x14ac:dyDescent="0.35">
      <c r="F3268">
        <v>3263</v>
      </c>
      <c r="G3268" s="102">
        <f t="shared" ca="1" si="54"/>
        <v>-9.5477126167863205E-2</v>
      </c>
    </row>
    <row r="3269" spans="6:7" x14ac:dyDescent="0.35">
      <c r="F3269">
        <v>3264</v>
      </c>
      <c r="G3269" s="102">
        <f t="shared" ca="1" si="54"/>
        <v>5.6269645226105884E-3</v>
      </c>
    </row>
    <row r="3270" spans="6:7" x14ac:dyDescent="0.35">
      <c r="F3270">
        <v>3265</v>
      </c>
      <c r="G3270" s="102">
        <f t="shared" ca="1" si="54"/>
        <v>-0.11184695658415791</v>
      </c>
    </row>
    <row r="3271" spans="6:7" x14ac:dyDescent="0.35">
      <c r="F3271">
        <v>3266</v>
      </c>
      <c r="G3271" s="102">
        <f t="shared" ref="G3271:G3334" ca="1" si="55">_xlfn.NORM.INV(RAND(),M$9,M$10)</f>
        <v>-1.5638955681123095E-2</v>
      </c>
    </row>
    <row r="3272" spans="6:7" x14ac:dyDescent="0.35">
      <c r="F3272">
        <v>3267</v>
      </c>
      <c r="G3272" s="102">
        <f t="shared" ca="1" si="55"/>
        <v>-3.3259487419937131E-2</v>
      </c>
    </row>
    <row r="3273" spans="6:7" x14ac:dyDescent="0.35">
      <c r="F3273">
        <v>3268</v>
      </c>
      <c r="G3273" s="102">
        <f t="shared" ca="1" si="55"/>
        <v>-7.0832073659833879E-3</v>
      </c>
    </row>
    <row r="3274" spans="6:7" x14ac:dyDescent="0.35">
      <c r="F3274">
        <v>3269</v>
      </c>
      <c r="G3274" s="102">
        <f t="shared" ca="1" si="55"/>
        <v>8.807395305332073E-3</v>
      </c>
    </row>
    <row r="3275" spans="6:7" x14ac:dyDescent="0.35">
      <c r="F3275">
        <v>3270</v>
      </c>
      <c r="G3275" s="102">
        <f t="shared" ca="1" si="55"/>
        <v>-7.3778485944981514E-2</v>
      </c>
    </row>
    <row r="3276" spans="6:7" x14ac:dyDescent="0.35">
      <c r="F3276">
        <v>3271</v>
      </c>
      <c r="G3276" s="102">
        <f t="shared" ca="1" si="55"/>
        <v>7.6193025700983852E-2</v>
      </c>
    </row>
    <row r="3277" spans="6:7" x14ac:dyDescent="0.35">
      <c r="F3277">
        <v>3272</v>
      </c>
      <c r="G3277" s="102">
        <f t="shared" ca="1" si="55"/>
        <v>-1.7000168652356144E-2</v>
      </c>
    </row>
    <row r="3278" spans="6:7" x14ac:dyDescent="0.35">
      <c r="F3278">
        <v>3273</v>
      </c>
      <c r="G3278" s="102">
        <f t="shared" ca="1" si="55"/>
        <v>-2.676744731824425E-2</v>
      </c>
    </row>
    <row r="3279" spans="6:7" x14ac:dyDescent="0.35">
      <c r="F3279">
        <v>3274</v>
      </c>
      <c r="G3279" s="102">
        <f t="shared" ca="1" si="55"/>
        <v>3.9701917380955326E-2</v>
      </c>
    </row>
    <row r="3280" spans="6:7" x14ac:dyDescent="0.35">
      <c r="F3280">
        <v>3275</v>
      </c>
      <c r="G3280" s="102">
        <f t="shared" ca="1" si="55"/>
        <v>-2.227230135518953E-3</v>
      </c>
    </row>
    <row r="3281" spans="6:7" x14ac:dyDescent="0.35">
      <c r="F3281">
        <v>3276</v>
      </c>
      <c r="G3281" s="102">
        <f t="shared" ca="1" si="55"/>
        <v>0.10157679326944308</v>
      </c>
    </row>
    <row r="3282" spans="6:7" x14ac:dyDescent="0.35">
      <c r="F3282">
        <v>3277</v>
      </c>
      <c r="G3282" s="102">
        <f t="shared" ca="1" si="55"/>
        <v>-2.3759285954455998E-2</v>
      </c>
    </row>
    <row r="3283" spans="6:7" x14ac:dyDescent="0.35">
      <c r="F3283">
        <v>3278</v>
      </c>
      <c r="G3283" s="102">
        <f t="shared" ca="1" si="55"/>
        <v>-1.2848301585945108E-2</v>
      </c>
    </row>
    <row r="3284" spans="6:7" x14ac:dyDescent="0.35">
      <c r="F3284">
        <v>3279</v>
      </c>
      <c r="G3284" s="102">
        <f t="shared" ca="1" si="55"/>
        <v>1.3805770733792098E-3</v>
      </c>
    </row>
    <row r="3285" spans="6:7" x14ac:dyDescent="0.35">
      <c r="F3285">
        <v>3280</v>
      </c>
      <c r="G3285" s="102">
        <f t="shared" ca="1" si="55"/>
        <v>-1.194074904440845E-2</v>
      </c>
    </row>
    <row r="3286" spans="6:7" x14ac:dyDescent="0.35">
      <c r="F3286">
        <v>3281</v>
      </c>
      <c r="G3286" s="102">
        <f t="shared" ca="1" si="55"/>
        <v>-5.1532469554368909E-2</v>
      </c>
    </row>
    <row r="3287" spans="6:7" x14ac:dyDescent="0.35">
      <c r="F3287">
        <v>3282</v>
      </c>
      <c r="G3287" s="102">
        <f t="shared" ca="1" si="55"/>
        <v>-0.10342789402187873</v>
      </c>
    </row>
    <row r="3288" spans="6:7" x14ac:dyDescent="0.35">
      <c r="F3288">
        <v>3283</v>
      </c>
      <c r="G3288" s="102">
        <f t="shared" ca="1" si="55"/>
        <v>3.5706186760222025E-2</v>
      </c>
    </row>
    <row r="3289" spans="6:7" x14ac:dyDescent="0.35">
      <c r="F3289">
        <v>3284</v>
      </c>
      <c r="G3289" s="102">
        <f t="shared" ca="1" si="55"/>
        <v>8.4321270951911984E-2</v>
      </c>
    </row>
    <row r="3290" spans="6:7" x14ac:dyDescent="0.35">
      <c r="F3290">
        <v>3285</v>
      </c>
      <c r="G3290" s="102">
        <f t="shared" ca="1" si="55"/>
        <v>3.6053038111576018E-3</v>
      </c>
    </row>
    <row r="3291" spans="6:7" x14ac:dyDescent="0.35">
      <c r="F3291">
        <v>3286</v>
      </c>
      <c r="G3291" s="102">
        <f t="shared" ca="1" si="55"/>
        <v>3.88843253242665E-2</v>
      </c>
    </row>
    <row r="3292" spans="6:7" x14ac:dyDescent="0.35">
      <c r="F3292">
        <v>3287</v>
      </c>
      <c r="G3292" s="102">
        <f t="shared" ca="1" si="55"/>
        <v>-3.5710906278502541E-2</v>
      </c>
    </row>
    <row r="3293" spans="6:7" x14ac:dyDescent="0.35">
      <c r="F3293">
        <v>3288</v>
      </c>
      <c r="G3293" s="102">
        <f t="shared" ca="1" si="55"/>
        <v>-6.9016426140583259E-2</v>
      </c>
    </row>
    <row r="3294" spans="6:7" x14ac:dyDescent="0.35">
      <c r="F3294">
        <v>3289</v>
      </c>
      <c r="G3294" s="102">
        <f t="shared" ca="1" si="55"/>
        <v>0.12316696674984461</v>
      </c>
    </row>
    <row r="3295" spans="6:7" x14ac:dyDescent="0.35">
      <c r="F3295">
        <v>3290</v>
      </c>
      <c r="G3295" s="102">
        <f t="shared" ca="1" si="55"/>
        <v>-2.3525475339015865E-2</v>
      </c>
    </row>
    <row r="3296" spans="6:7" x14ac:dyDescent="0.35">
      <c r="F3296">
        <v>3291</v>
      </c>
      <c r="G3296" s="102">
        <f t="shared" ca="1" si="55"/>
        <v>6.2594075306382169E-2</v>
      </c>
    </row>
    <row r="3297" spans="6:7" x14ac:dyDescent="0.35">
      <c r="F3297">
        <v>3292</v>
      </c>
      <c r="G3297" s="102">
        <f t="shared" ca="1" si="55"/>
        <v>9.6494994259992833E-2</v>
      </c>
    </row>
    <row r="3298" spans="6:7" x14ac:dyDescent="0.35">
      <c r="F3298">
        <v>3293</v>
      </c>
      <c r="G3298" s="102">
        <f t="shared" ca="1" si="55"/>
        <v>-0.10856429974391972</v>
      </c>
    </row>
    <row r="3299" spans="6:7" x14ac:dyDescent="0.35">
      <c r="F3299">
        <v>3294</v>
      </c>
      <c r="G3299" s="102">
        <f t="shared" ca="1" si="55"/>
        <v>3.7335902849626526E-2</v>
      </c>
    </row>
    <row r="3300" spans="6:7" x14ac:dyDescent="0.35">
      <c r="F3300">
        <v>3295</v>
      </c>
      <c r="G3300" s="102">
        <f t="shared" ca="1" si="55"/>
        <v>2.1690892674751522E-3</v>
      </c>
    </row>
    <row r="3301" spans="6:7" x14ac:dyDescent="0.35">
      <c r="F3301">
        <v>3296</v>
      </c>
      <c r="G3301" s="102">
        <f t="shared" ca="1" si="55"/>
        <v>3.0247900630877341E-2</v>
      </c>
    </row>
    <row r="3302" spans="6:7" x14ac:dyDescent="0.35">
      <c r="F3302">
        <v>3297</v>
      </c>
      <c r="G3302" s="102">
        <f t="shared" ca="1" si="55"/>
        <v>7.2796648031335995E-2</v>
      </c>
    </row>
    <row r="3303" spans="6:7" x14ac:dyDescent="0.35">
      <c r="F3303">
        <v>3298</v>
      </c>
      <c r="G3303" s="102">
        <f t="shared" ca="1" si="55"/>
        <v>-9.2866251108680908E-2</v>
      </c>
    </row>
    <row r="3304" spans="6:7" x14ac:dyDescent="0.35">
      <c r="F3304">
        <v>3299</v>
      </c>
      <c r="G3304" s="102">
        <f t="shared" ca="1" si="55"/>
        <v>9.3256212565897473E-2</v>
      </c>
    </row>
    <row r="3305" spans="6:7" x14ac:dyDescent="0.35">
      <c r="F3305">
        <v>3300</v>
      </c>
      <c r="G3305" s="102">
        <f t="shared" ca="1" si="55"/>
        <v>-2.9656933291290592E-2</v>
      </c>
    </row>
    <row r="3306" spans="6:7" x14ac:dyDescent="0.35">
      <c r="F3306">
        <v>3301</v>
      </c>
      <c r="G3306" s="102">
        <f t="shared" ca="1" si="55"/>
        <v>-2.8202071035497201E-2</v>
      </c>
    </row>
    <row r="3307" spans="6:7" x14ac:dyDescent="0.35">
      <c r="F3307">
        <v>3302</v>
      </c>
      <c r="G3307" s="102">
        <f t="shared" ca="1" si="55"/>
        <v>-1.5804449981684551E-2</v>
      </c>
    </row>
    <row r="3308" spans="6:7" x14ac:dyDescent="0.35">
      <c r="F3308">
        <v>3303</v>
      </c>
      <c r="G3308" s="102">
        <f t="shared" ca="1" si="55"/>
        <v>5.2661543138816505E-2</v>
      </c>
    </row>
    <row r="3309" spans="6:7" x14ac:dyDescent="0.35">
      <c r="F3309">
        <v>3304</v>
      </c>
      <c r="G3309" s="102">
        <f t="shared" ca="1" si="55"/>
        <v>0.11522246049381123</v>
      </c>
    </row>
    <row r="3310" spans="6:7" x14ac:dyDescent="0.35">
      <c r="F3310">
        <v>3305</v>
      </c>
      <c r="G3310" s="102">
        <f t="shared" ca="1" si="55"/>
        <v>-2.5418921696576929E-2</v>
      </c>
    </row>
    <row r="3311" spans="6:7" x14ac:dyDescent="0.35">
      <c r="F3311">
        <v>3306</v>
      </c>
      <c r="G3311" s="102">
        <f t="shared" ca="1" si="55"/>
        <v>-9.1152419953851913E-2</v>
      </c>
    </row>
    <row r="3312" spans="6:7" x14ac:dyDescent="0.35">
      <c r="F3312">
        <v>3307</v>
      </c>
      <c r="G3312" s="102">
        <f t="shared" ca="1" si="55"/>
        <v>-3.567239971268249E-2</v>
      </c>
    </row>
    <row r="3313" spans="6:7" x14ac:dyDescent="0.35">
      <c r="F3313">
        <v>3308</v>
      </c>
      <c r="G3313" s="102">
        <f t="shared" ca="1" si="55"/>
        <v>3.9323225518405711E-2</v>
      </c>
    </row>
    <row r="3314" spans="6:7" x14ac:dyDescent="0.35">
      <c r="F3314">
        <v>3309</v>
      </c>
      <c r="G3314" s="102">
        <f t="shared" ca="1" si="55"/>
        <v>-9.4231143398695219E-2</v>
      </c>
    </row>
    <row r="3315" spans="6:7" x14ac:dyDescent="0.35">
      <c r="F3315">
        <v>3310</v>
      </c>
      <c r="G3315" s="102">
        <f t="shared" ca="1" si="55"/>
        <v>-2.2263739387297699E-2</v>
      </c>
    </row>
    <row r="3316" spans="6:7" x14ac:dyDescent="0.35">
      <c r="F3316">
        <v>3311</v>
      </c>
      <c r="G3316" s="102">
        <f t="shared" ca="1" si="55"/>
        <v>7.0476347488540148E-2</v>
      </c>
    </row>
    <row r="3317" spans="6:7" x14ac:dyDescent="0.35">
      <c r="F3317">
        <v>3312</v>
      </c>
      <c r="G3317" s="102">
        <f t="shared" ca="1" si="55"/>
        <v>-4.797382997449498E-2</v>
      </c>
    </row>
    <row r="3318" spans="6:7" x14ac:dyDescent="0.35">
      <c r="F3318">
        <v>3313</v>
      </c>
      <c r="G3318" s="102">
        <f t="shared" ca="1" si="55"/>
        <v>-6.2424409811150149E-3</v>
      </c>
    </row>
    <row r="3319" spans="6:7" x14ac:dyDescent="0.35">
      <c r="F3319">
        <v>3314</v>
      </c>
      <c r="G3319" s="102">
        <f t="shared" ca="1" si="55"/>
        <v>-5.5508269101108537E-2</v>
      </c>
    </row>
    <row r="3320" spans="6:7" x14ac:dyDescent="0.35">
      <c r="F3320">
        <v>3315</v>
      </c>
      <c r="G3320" s="102">
        <f t="shared" ca="1" si="55"/>
        <v>-4.276784785131367E-2</v>
      </c>
    </row>
    <row r="3321" spans="6:7" x14ac:dyDescent="0.35">
      <c r="F3321">
        <v>3316</v>
      </c>
      <c r="G3321" s="102">
        <f t="shared" ca="1" si="55"/>
        <v>3.9955885959359824E-3</v>
      </c>
    </row>
    <row r="3322" spans="6:7" x14ac:dyDescent="0.35">
      <c r="F3322">
        <v>3317</v>
      </c>
      <c r="G3322" s="102">
        <f t="shared" ca="1" si="55"/>
        <v>4.3379126647686422E-2</v>
      </c>
    </row>
    <row r="3323" spans="6:7" x14ac:dyDescent="0.35">
      <c r="F3323">
        <v>3318</v>
      </c>
      <c r="G3323" s="102">
        <f t="shared" ca="1" si="55"/>
        <v>-6.2380513181971881E-2</v>
      </c>
    </row>
    <row r="3324" spans="6:7" x14ac:dyDescent="0.35">
      <c r="F3324">
        <v>3319</v>
      </c>
      <c r="G3324" s="102">
        <f t="shared" ca="1" si="55"/>
        <v>4.3816009127604125E-2</v>
      </c>
    </row>
    <row r="3325" spans="6:7" x14ac:dyDescent="0.35">
      <c r="F3325">
        <v>3320</v>
      </c>
      <c r="G3325" s="102">
        <f t="shared" ca="1" si="55"/>
        <v>-7.5494814165757498E-2</v>
      </c>
    </row>
    <row r="3326" spans="6:7" x14ac:dyDescent="0.35">
      <c r="F3326">
        <v>3321</v>
      </c>
      <c r="G3326" s="102">
        <f t="shared" ca="1" si="55"/>
        <v>-3.6178721036942169E-2</v>
      </c>
    </row>
    <row r="3327" spans="6:7" x14ac:dyDescent="0.35">
      <c r="F3327">
        <v>3322</v>
      </c>
      <c r="G3327" s="102">
        <f t="shared" ca="1" si="55"/>
        <v>-1.851236899912518E-2</v>
      </c>
    </row>
    <row r="3328" spans="6:7" x14ac:dyDescent="0.35">
      <c r="F3328">
        <v>3323</v>
      </c>
      <c r="G3328" s="102">
        <f t="shared" ca="1" si="55"/>
        <v>3.5340775915414166E-2</v>
      </c>
    </row>
    <row r="3329" spans="6:7" x14ac:dyDescent="0.35">
      <c r="F3329">
        <v>3324</v>
      </c>
      <c r="G3329" s="102">
        <f t="shared" ca="1" si="55"/>
        <v>-2.4397526846867249E-2</v>
      </c>
    </row>
    <row r="3330" spans="6:7" x14ac:dyDescent="0.35">
      <c r="F3330">
        <v>3325</v>
      </c>
      <c r="G3330" s="102">
        <f t="shared" ca="1" si="55"/>
        <v>3.3300058194023388E-2</v>
      </c>
    </row>
    <row r="3331" spans="6:7" x14ac:dyDescent="0.35">
      <c r="F3331">
        <v>3326</v>
      </c>
      <c r="G3331" s="102">
        <f t="shared" ca="1" si="55"/>
        <v>6.3289581140952067E-2</v>
      </c>
    </row>
    <row r="3332" spans="6:7" x14ac:dyDescent="0.35">
      <c r="F3332">
        <v>3327</v>
      </c>
      <c r="G3332" s="102">
        <f t="shared" ca="1" si="55"/>
        <v>2.6973710130882417E-2</v>
      </c>
    </row>
    <row r="3333" spans="6:7" x14ac:dyDescent="0.35">
      <c r="F3333">
        <v>3328</v>
      </c>
      <c r="G3333" s="102">
        <f t="shared" ca="1" si="55"/>
        <v>2.2335831252465282E-2</v>
      </c>
    </row>
    <row r="3334" spans="6:7" x14ac:dyDescent="0.35">
      <c r="F3334">
        <v>3329</v>
      </c>
      <c r="G3334" s="102">
        <f t="shared" ca="1" si="55"/>
        <v>-0.11007069125045489</v>
      </c>
    </row>
    <row r="3335" spans="6:7" x14ac:dyDescent="0.35">
      <c r="F3335">
        <v>3330</v>
      </c>
      <c r="G3335" s="102">
        <f t="shared" ref="G3335:G3398" ca="1" si="56">_xlfn.NORM.INV(RAND(),M$9,M$10)</f>
        <v>-5.0772829398800304E-3</v>
      </c>
    </row>
    <row r="3336" spans="6:7" x14ac:dyDescent="0.35">
      <c r="F3336">
        <v>3331</v>
      </c>
      <c r="G3336" s="102">
        <f t="shared" ca="1" si="56"/>
        <v>-3.063656137657754E-2</v>
      </c>
    </row>
    <row r="3337" spans="6:7" x14ac:dyDescent="0.35">
      <c r="F3337">
        <v>3332</v>
      </c>
      <c r="G3337" s="102">
        <f t="shared" ca="1" si="56"/>
        <v>-9.6454093393217408E-2</v>
      </c>
    </row>
    <row r="3338" spans="6:7" x14ac:dyDescent="0.35">
      <c r="F3338">
        <v>3333</v>
      </c>
      <c r="G3338" s="102">
        <f t="shared" ca="1" si="56"/>
        <v>5.3957046170255291E-2</v>
      </c>
    </row>
    <row r="3339" spans="6:7" x14ac:dyDescent="0.35">
      <c r="F3339">
        <v>3334</v>
      </c>
      <c r="G3339" s="102">
        <f t="shared" ca="1" si="56"/>
        <v>-9.1565783344751961E-2</v>
      </c>
    </row>
    <row r="3340" spans="6:7" x14ac:dyDescent="0.35">
      <c r="F3340">
        <v>3335</v>
      </c>
      <c r="G3340" s="102">
        <f t="shared" ca="1" si="56"/>
        <v>-4.5198642039503533E-4</v>
      </c>
    </row>
    <row r="3341" spans="6:7" x14ac:dyDescent="0.35">
      <c r="F3341">
        <v>3336</v>
      </c>
      <c r="G3341" s="102">
        <f t="shared" ca="1" si="56"/>
        <v>-1.7583062493212454E-2</v>
      </c>
    </row>
    <row r="3342" spans="6:7" x14ac:dyDescent="0.35">
      <c r="F3342">
        <v>3337</v>
      </c>
      <c r="G3342" s="102">
        <f t="shared" ca="1" si="56"/>
        <v>-1.4567863307226996E-2</v>
      </c>
    </row>
    <row r="3343" spans="6:7" x14ac:dyDescent="0.35">
      <c r="F3343">
        <v>3338</v>
      </c>
      <c r="G3343" s="102">
        <f t="shared" ca="1" si="56"/>
        <v>-2.624042974026191E-2</v>
      </c>
    </row>
    <row r="3344" spans="6:7" x14ac:dyDescent="0.35">
      <c r="F3344">
        <v>3339</v>
      </c>
      <c r="G3344" s="102">
        <f t="shared" ca="1" si="56"/>
        <v>1.9053642723372493E-2</v>
      </c>
    </row>
    <row r="3345" spans="6:7" x14ac:dyDescent="0.35">
      <c r="F3345">
        <v>3340</v>
      </c>
      <c r="G3345" s="102">
        <f t="shared" ca="1" si="56"/>
        <v>-5.3951633807928362E-2</v>
      </c>
    </row>
    <row r="3346" spans="6:7" x14ac:dyDescent="0.35">
      <c r="F3346">
        <v>3341</v>
      </c>
      <c r="G3346" s="102">
        <f t="shared" ca="1" si="56"/>
        <v>4.693646251555797E-2</v>
      </c>
    </row>
    <row r="3347" spans="6:7" x14ac:dyDescent="0.35">
      <c r="F3347">
        <v>3342</v>
      </c>
      <c r="G3347" s="102">
        <f t="shared" ca="1" si="56"/>
        <v>-6.4992928743001221E-2</v>
      </c>
    </row>
    <row r="3348" spans="6:7" x14ac:dyDescent="0.35">
      <c r="F3348">
        <v>3343</v>
      </c>
      <c r="G3348" s="102">
        <f t="shared" ca="1" si="56"/>
        <v>9.421786575435933E-3</v>
      </c>
    </row>
    <row r="3349" spans="6:7" x14ac:dyDescent="0.35">
      <c r="F3349">
        <v>3344</v>
      </c>
      <c r="G3349" s="102">
        <f t="shared" ca="1" si="56"/>
        <v>-4.1822987727074531E-2</v>
      </c>
    </row>
    <row r="3350" spans="6:7" x14ac:dyDescent="0.35">
      <c r="F3350">
        <v>3345</v>
      </c>
      <c r="G3350" s="102">
        <f t="shared" ca="1" si="56"/>
        <v>8.3823721788864151E-4</v>
      </c>
    </row>
    <row r="3351" spans="6:7" x14ac:dyDescent="0.35">
      <c r="F3351">
        <v>3346</v>
      </c>
      <c r="G3351" s="102">
        <f t="shared" ca="1" si="56"/>
        <v>-1.5170162167873827E-2</v>
      </c>
    </row>
    <row r="3352" spans="6:7" x14ac:dyDescent="0.35">
      <c r="F3352">
        <v>3347</v>
      </c>
      <c r="G3352" s="102">
        <f t="shared" ca="1" si="56"/>
        <v>4.7890323368568716E-2</v>
      </c>
    </row>
    <row r="3353" spans="6:7" x14ac:dyDescent="0.35">
      <c r="F3353">
        <v>3348</v>
      </c>
      <c r="G3353" s="102">
        <f t="shared" ca="1" si="56"/>
        <v>-1.9471889457784733E-2</v>
      </c>
    </row>
    <row r="3354" spans="6:7" x14ac:dyDescent="0.35">
      <c r="F3354">
        <v>3349</v>
      </c>
      <c r="G3354" s="102">
        <f t="shared" ca="1" si="56"/>
        <v>0.10715262777912417</v>
      </c>
    </row>
    <row r="3355" spans="6:7" x14ac:dyDescent="0.35">
      <c r="F3355">
        <v>3350</v>
      </c>
      <c r="G3355" s="102">
        <f t="shared" ca="1" si="56"/>
        <v>1.7582234551908851E-2</v>
      </c>
    </row>
    <row r="3356" spans="6:7" x14ac:dyDescent="0.35">
      <c r="F3356">
        <v>3351</v>
      </c>
      <c r="G3356" s="102">
        <f t="shared" ca="1" si="56"/>
        <v>6.9390995158446128E-2</v>
      </c>
    </row>
    <row r="3357" spans="6:7" x14ac:dyDescent="0.35">
      <c r="F3357">
        <v>3352</v>
      </c>
      <c r="G3357" s="102">
        <f t="shared" ca="1" si="56"/>
        <v>6.7767005637502126E-2</v>
      </c>
    </row>
    <row r="3358" spans="6:7" x14ac:dyDescent="0.35">
      <c r="F3358">
        <v>3353</v>
      </c>
      <c r="G3358" s="102">
        <f t="shared" ca="1" si="56"/>
        <v>-4.9214275565209034E-2</v>
      </c>
    </row>
    <row r="3359" spans="6:7" x14ac:dyDescent="0.35">
      <c r="F3359">
        <v>3354</v>
      </c>
      <c r="G3359" s="102">
        <f t="shared" ca="1" si="56"/>
        <v>7.4968274615930156E-2</v>
      </c>
    </row>
    <row r="3360" spans="6:7" x14ac:dyDescent="0.35">
      <c r="F3360">
        <v>3355</v>
      </c>
      <c r="G3360" s="102">
        <f t="shared" ca="1" si="56"/>
        <v>4.0524529613889471E-2</v>
      </c>
    </row>
    <row r="3361" spans="6:7" x14ac:dyDescent="0.35">
      <c r="F3361">
        <v>3356</v>
      </c>
      <c r="G3361" s="102">
        <f t="shared" ca="1" si="56"/>
        <v>9.7669297175008885E-2</v>
      </c>
    </row>
    <row r="3362" spans="6:7" x14ac:dyDescent="0.35">
      <c r="F3362">
        <v>3357</v>
      </c>
      <c r="G3362" s="102">
        <f t="shared" ca="1" si="56"/>
        <v>4.7460020289368295E-3</v>
      </c>
    </row>
    <row r="3363" spans="6:7" x14ac:dyDescent="0.35">
      <c r="F3363">
        <v>3358</v>
      </c>
      <c r="G3363" s="102">
        <f t="shared" ca="1" si="56"/>
        <v>-5.1331447204978967E-2</v>
      </c>
    </row>
    <row r="3364" spans="6:7" x14ac:dyDescent="0.35">
      <c r="F3364">
        <v>3359</v>
      </c>
      <c r="G3364" s="102">
        <f t="shared" ca="1" si="56"/>
        <v>-0.10148802061273214</v>
      </c>
    </row>
    <row r="3365" spans="6:7" x14ac:dyDescent="0.35">
      <c r="F3365">
        <v>3360</v>
      </c>
      <c r="G3365" s="102">
        <f t="shared" ca="1" si="56"/>
        <v>-2.3824179551639537E-2</v>
      </c>
    </row>
    <row r="3366" spans="6:7" x14ac:dyDescent="0.35">
      <c r="F3366">
        <v>3361</v>
      </c>
      <c r="G3366" s="102">
        <f t="shared" ca="1" si="56"/>
        <v>4.1163420012879551E-2</v>
      </c>
    </row>
    <row r="3367" spans="6:7" x14ac:dyDescent="0.35">
      <c r="F3367">
        <v>3362</v>
      </c>
      <c r="G3367" s="102">
        <f t="shared" ca="1" si="56"/>
        <v>1.0174451391722381E-2</v>
      </c>
    </row>
    <row r="3368" spans="6:7" x14ac:dyDescent="0.35">
      <c r="F3368">
        <v>3363</v>
      </c>
      <c r="G3368" s="102">
        <f t="shared" ca="1" si="56"/>
        <v>-9.219452493049474E-3</v>
      </c>
    </row>
    <row r="3369" spans="6:7" x14ac:dyDescent="0.35">
      <c r="F3369">
        <v>3364</v>
      </c>
      <c r="G3369" s="102">
        <f t="shared" ca="1" si="56"/>
        <v>-2.6511804224994984E-2</v>
      </c>
    </row>
    <row r="3370" spans="6:7" x14ac:dyDescent="0.35">
      <c r="F3370">
        <v>3365</v>
      </c>
      <c r="G3370" s="102">
        <f t="shared" ca="1" si="56"/>
        <v>7.2163058114515562E-3</v>
      </c>
    </row>
    <row r="3371" spans="6:7" x14ac:dyDescent="0.35">
      <c r="F3371">
        <v>3366</v>
      </c>
      <c r="G3371" s="102">
        <f t="shared" ca="1" si="56"/>
        <v>4.4968553879073045E-2</v>
      </c>
    </row>
    <row r="3372" spans="6:7" x14ac:dyDescent="0.35">
      <c r="F3372">
        <v>3367</v>
      </c>
      <c r="G3372" s="102">
        <f t="shared" ca="1" si="56"/>
        <v>-4.293315838972496E-2</v>
      </c>
    </row>
    <row r="3373" spans="6:7" x14ac:dyDescent="0.35">
      <c r="F3373">
        <v>3368</v>
      </c>
      <c r="G3373" s="102">
        <f t="shared" ca="1" si="56"/>
        <v>6.9588255730048204E-2</v>
      </c>
    </row>
    <row r="3374" spans="6:7" x14ac:dyDescent="0.35">
      <c r="F3374">
        <v>3369</v>
      </c>
      <c r="G3374" s="102">
        <f t="shared" ca="1" si="56"/>
        <v>-7.1822035021775102E-2</v>
      </c>
    </row>
    <row r="3375" spans="6:7" x14ac:dyDescent="0.35">
      <c r="F3375">
        <v>3370</v>
      </c>
      <c r="G3375" s="102">
        <f t="shared" ca="1" si="56"/>
        <v>1.116667464340446E-2</v>
      </c>
    </row>
    <row r="3376" spans="6:7" x14ac:dyDescent="0.35">
      <c r="F3376">
        <v>3371</v>
      </c>
      <c r="G3376" s="102">
        <f t="shared" ca="1" si="56"/>
        <v>-3.0433803455072829E-2</v>
      </c>
    </row>
    <row r="3377" spans="6:7" x14ac:dyDescent="0.35">
      <c r="F3377">
        <v>3372</v>
      </c>
      <c r="G3377" s="102">
        <f t="shared" ca="1" si="56"/>
        <v>1.5842171245950692E-3</v>
      </c>
    </row>
    <row r="3378" spans="6:7" x14ac:dyDescent="0.35">
      <c r="F3378">
        <v>3373</v>
      </c>
      <c r="G3378" s="102">
        <f t="shared" ca="1" si="56"/>
        <v>2.6116091743143385E-2</v>
      </c>
    </row>
    <row r="3379" spans="6:7" x14ac:dyDescent="0.35">
      <c r="F3379">
        <v>3374</v>
      </c>
      <c r="G3379" s="102">
        <f t="shared" ca="1" si="56"/>
        <v>4.2291433742452866E-2</v>
      </c>
    </row>
    <row r="3380" spans="6:7" x14ac:dyDescent="0.35">
      <c r="F3380">
        <v>3375</v>
      </c>
      <c r="G3380" s="102">
        <f t="shared" ca="1" si="56"/>
        <v>-8.0008469954103323E-2</v>
      </c>
    </row>
    <row r="3381" spans="6:7" x14ac:dyDescent="0.35">
      <c r="F3381">
        <v>3376</v>
      </c>
      <c r="G3381" s="102">
        <f t="shared" ca="1" si="56"/>
        <v>-3.9635866145097842E-2</v>
      </c>
    </row>
    <row r="3382" spans="6:7" x14ac:dyDescent="0.35">
      <c r="F3382">
        <v>3377</v>
      </c>
      <c r="G3382" s="102">
        <f t="shared" ca="1" si="56"/>
        <v>-5.6285099597419924E-2</v>
      </c>
    </row>
    <row r="3383" spans="6:7" x14ac:dyDescent="0.35">
      <c r="F3383">
        <v>3378</v>
      </c>
      <c r="G3383" s="102">
        <f t="shared" ca="1" si="56"/>
        <v>-5.9657963296439629E-3</v>
      </c>
    </row>
    <row r="3384" spans="6:7" x14ac:dyDescent="0.35">
      <c r="F3384">
        <v>3379</v>
      </c>
      <c r="G3384" s="102">
        <f t="shared" ca="1" si="56"/>
        <v>-3.7848619673015352E-2</v>
      </c>
    </row>
    <row r="3385" spans="6:7" x14ac:dyDescent="0.35">
      <c r="F3385">
        <v>3380</v>
      </c>
      <c r="G3385" s="102">
        <f t="shared" ca="1" si="56"/>
        <v>-3.6826629456876203E-2</v>
      </c>
    </row>
    <row r="3386" spans="6:7" x14ac:dyDescent="0.35">
      <c r="F3386">
        <v>3381</v>
      </c>
      <c r="G3386" s="102">
        <f t="shared" ca="1" si="56"/>
        <v>3.8380412428487415E-3</v>
      </c>
    </row>
    <row r="3387" spans="6:7" x14ac:dyDescent="0.35">
      <c r="F3387">
        <v>3382</v>
      </c>
      <c r="G3387" s="102">
        <f t="shared" ca="1" si="56"/>
        <v>1.8641631298039439E-3</v>
      </c>
    </row>
    <row r="3388" spans="6:7" x14ac:dyDescent="0.35">
      <c r="F3388">
        <v>3383</v>
      </c>
      <c r="G3388" s="102">
        <f t="shared" ca="1" si="56"/>
        <v>-2.8555909349519095E-2</v>
      </c>
    </row>
    <row r="3389" spans="6:7" x14ac:dyDescent="0.35">
      <c r="F3389">
        <v>3384</v>
      </c>
      <c r="G3389" s="102">
        <f t="shared" ca="1" si="56"/>
        <v>-9.1691424810218143E-3</v>
      </c>
    </row>
    <row r="3390" spans="6:7" x14ac:dyDescent="0.35">
      <c r="F3390">
        <v>3385</v>
      </c>
      <c r="G3390" s="102">
        <f t="shared" ca="1" si="56"/>
        <v>3.9278336276588E-2</v>
      </c>
    </row>
    <row r="3391" spans="6:7" x14ac:dyDescent="0.35">
      <c r="F3391">
        <v>3386</v>
      </c>
      <c r="G3391" s="102">
        <f t="shared" ca="1" si="56"/>
        <v>1.236784634147578E-2</v>
      </c>
    </row>
    <row r="3392" spans="6:7" x14ac:dyDescent="0.35">
      <c r="F3392">
        <v>3387</v>
      </c>
      <c r="G3392" s="102">
        <f t="shared" ca="1" si="56"/>
        <v>-6.2694632750999971E-2</v>
      </c>
    </row>
    <row r="3393" spans="6:7" x14ac:dyDescent="0.35">
      <c r="F3393">
        <v>3388</v>
      </c>
      <c r="G3393" s="102">
        <f t="shared" ca="1" si="56"/>
        <v>-5.1631879220254751E-2</v>
      </c>
    </row>
    <row r="3394" spans="6:7" x14ac:dyDescent="0.35">
      <c r="F3394">
        <v>3389</v>
      </c>
      <c r="G3394" s="102">
        <f t="shared" ca="1" si="56"/>
        <v>5.5385879263155649E-2</v>
      </c>
    </row>
    <row r="3395" spans="6:7" x14ac:dyDescent="0.35">
      <c r="F3395">
        <v>3390</v>
      </c>
      <c r="G3395" s="102">
        <f t="shared" ca="1" si="56"/>
        <v>-3.5395402536631468E-2</v>
      </c>
    </row>
    <row r="3396" spans="6:7" x14ac:dyDescent="0.35">
      <c r="F3396">
        <v>3391</v>
      </c>
      <c r="G3396" s="102">
        <f t="shared" ca="1" si="56"/>
        <v>-6.6713661264601501E-2</v>
      </c>
    </row>
    <row r="3397" spans="6:7" x14ac:dyDescent="0.35">
      <c r="F3397">
        <v>3392</v>
      </c>
      <c r="G3397" s="102">
        <f t="shared" ca="1" si="56"/>
        <v>-4.6302113541725573E-2</v>
      </c>
    </row>
    <row r="3398" spans="6:7" x14ac:dyDescent="0.35">
      <c r="F3398">
        <v>3393</v>
      </c>
      <c r="G3398" s="102">
        <f t="shared" ca="1" si="56"/>
        <v>-3.8078277016869236E-2</v>
      </c>
    </row>
    <row r="3399" spans="6:7" x14ac:dyDescent="0.35">
      <c r="F3399">
        <v>3394</v>
      </c>
      <c r="G3399" s="102">
        <f t="shared" ref="G3399:G3462" ca="1" si="57">_xlfn.NORM.INV(RAND(),M$9,M$10)</f>
        <v>-5.0894068308076371E-2</v>
      </c>
    </row>
    <row r="3400" spans="6:7" x14ac:dyDescent="0.35">
      <c r="F3400">
        <v>3395</v>
      </c>
      <c r="G3400" s="102">
        <f t="shared" ca="1" si="57"/>
        <v>7.39475658709258E-3</v>
      </c>
    </row>
    <row r="3401" spans="6:7" x14ac:dyDescent="0.35">
      <c r="F3401">
        <v>3396</v>
      </c>
      <c r="G3401" s="102">
        <f t="shared" ca="1" si="57"/>
        <v>5.5711835171970685E-3</v>
      </c>
    </row>
    <row r="3402" spans="6:7" x14ac:dyDescent="0.35">
      <c r="F3402">
        <v>3397</v>
      </c>
      <c r="G3402" s="102">
        <f t="shared" ca="1" si="57"/>
        <v>-8.4762285099772836E-2</v>
      </c>
    </row>
    <row r="3403" spans="6:7" x14ac:dyDescent="0.35">
      <c r="F3403">
        <v>3398</v>
      </c>
      <c r="G3403" s="102">
        <f t="shared" ca="1" si="57"/>
        <v>6.5294398086277738E-2</v>
      </c>
    </row>
    <row r="3404" spans="6:7" x14ac:dyDescent="0.35">
      <c r="F3404">
        <v>3399</v>
      </c>
      <c r="G3404" s="102">
        <f t="shared" ca="1" si="57"/>
        <v>5.704232172786676E-2</v>
      </c>
    </row>
    <row r="3405" spans="6:7" x14ac:dyDescent="0.35">
      <c r="F3405">
        <v>3400</v>
      </c>
      <c r="G3405" s="102">
        <f t="shared" ca="1" si="57"/>
        <v>7.8894496858584989E-2</v>
      </c>
    </row>
    <row r="3406" spans="6:7" x14ac:dyDescent="0.35">
      <c r="F3406">
        <v>3401</v>
      </c>
      <c r="G3406" s="102">
        <f t="shared" ca="1" si="57"/>
        <v>3.310192710024161E-2</v>
      </c>
    </row>
    <row r="3407" spans="6:7" x14ac:dyDescent="0.35">
      <c r="F3407">
        <v>3402</v>
      </c>
      <c r="G3407" s="102">
        <f t="shared" ca="1" si="57"/>
        <v>-9.923956762187193E-2</v>
      </c>
    </row>
    <row r="3408" spans="6:7" x14ac:dyDescent="0.35">
      <c r="F3408">
        <v>3403</v>
      </c>
      <c r="G3408" s="102">
        <f t="shared" ca="1" si="57"/>
        <v>-5.2551811749014174E-2</v>
      </c>
    </row>
    <row r="3409" spans="6:7" x14ac:dyDescent="0.35">
      <c r="F3409">
        <v>3404</v>
      </c>
      <c r="G3409" s="102">
        <f t="shared" ca="1" si="57"/>
        <v>3.5671686787553739E-3</v>
      </c>
    </row>
    <row r="3410" spans="6:7" x14ac:dyDescent="0.35">
      <c r="F3410">
        <v>3405</v>
      </c>
      <c r="G3410" s="102">
        <f t="shared" ca="1" si="57"/>
        <v>4.68662505222395E-2</v>
      </c>
    </row>
    <row r="3411" spans="6:7" x14ac:dyDescent="0.35">
      <c r="F3411">
        <v>3406</v>
      </c>
      <c r="G3411" s="102">
        <f t="shared" ca="1" si="57"/>
        <v>6.144818031784495E-2</v>
      </c>
    </row>
    <row r="3412" spans="6:7" x14ac:dyDescent="0.35">
      <c r="F3412">
        <v>3407</v>
      </c>
      <c r="G3412" s="102">
        <f t="shared" ca="1" si="57"/>
        <v>-5.4873527855705678E-2</v>
      </c>
    </row>
    <row r="3413" spans="6:7" x14ac:dyDescent="0.35">
      <c r="F3413">
        <v>3408</v>
      </c>
      <c r="G3413" s="102">
        <f t="shared" ca="1" si="57"/>
        <v>-9.8641820411019265E-2</v>
      </c>
    </row>
    <row r="3414" spans="6:7" x14ac:dyDescent="0.35">
      <c r="F3414">
        <v>3409</v>
      </c>
      <c r="G3414" s="102">
        <f t="shared" ca="1" si="57"/>
        <v>-8.9656092737814663E-2</v>
      </c>
    </row>
    <row r="3415" spans="6:7" x14ac:dyDescent="0.35">
      <c r="F3415">
        <v>3410</v>
      </c>
      <c r="G3415" s="102">
        <f t="shared" ca="1" si="57"/>
        <v>-7.0815608104563263E-2</v>
      </c>
    </row>
    <row r="3416" spans="6:7" x14ac:dyDescent="0.35">
      <c r="F3416">
        <v>3411</v>
      </c>
      <c r="G3416" s="102">
        <f t="shared" ca="1" si="57"/>
        <v>0.16584071603291328</v>
      </c>
    </row>
    <row r="3417" spans="6:7" x14ac:dyDescent="0.35">
      <c r="F3417">
        <v>3412</v>
      </c>
      <c r="G3417" s="102">
        <f t="shared" ca="1" si="57"/>
        <v>-0.12084997372330669</v>
      </c>
    </row>
    <row r="3418" spans="6:7" x14ac:dyDescent="0.35">
      <c r="F3418">
        <v>3413</v>
      </c>
      <c r="G3418" s="102">
        <f t="shared" ca="1" si="57"/>
        <v>-6.3870915781373716E-2</v>
      </c>
    </row>
    <row r="3419" spans="6:7" x14ac:dyDescent="0.35">
      <c r="F3419">
        <v>3414</v>
      </c>
      <c r="G3419" s="102">
        <f t="shared" ca="1" si="57"/>
        <v>0.11750014545746316</v>
      </c>
    </row>
    <row r="3420" spans="6:7" x14ac:dyDescent="0.35">
      <c r="F3420">
        <v>3415</v>
      </c>
      <c r="G3420" s="102">
        <f t="shared" ca="1" si="57"/>
        <v>-5.4384106877119961E-2</v>
      </c>
    </row>
    <row r="3421" spans="6:7" x14ac:dyDescent="0.35">
      <c r="F3421">
        <v>3416</v>
      </c>
      <c r="G3421" s="102">
        <f t="shared" ca="1" si="57"/>
        <v>5.5708358183550827E-2</v>
      </c>
    </row>
    <row r="3422" spans="6:7" x14ac:dyDescent="0.35">
      <c r="F3422">
        <v>3417</v>
      </c>
      <c r="G3422" s="102">
        <f t="shared" ca="1" si="57"/>
        <v>4.6500008879055976E-2</v>
      </c>
    </row>
    <row r="3423" spans="6:7" x14ac:dyDescent="0.35">
      <c r="F3423">
        <v>3418</v>
      </c>
      <c r="G3423" s="102">
        <f t="shared" ca="1" si="57"/>
        <v>-0.10371161895202467</v>
      </c>
    </row>
    <row r="3424" spans="6:7" x14ac:dyDescent="0.35">
      <c r="F3424">
        <v>3419</v>
      </c>
      <c r="G3424" s="102">
        <f t="shared" ca="1" si="57"/>
        <v>-3.4593796552338935E-2</v>
      </c>
    </row>
    <row r="3425" spans="6:7" x14ac:dyDescent="0.35">
      <c r="F3425">
        <v>3420</v>
      </c>
      <c r="G3425" s="102">
        <f t="shared" ca="1" si="57"/>
        <v>4.4879878597014297E-2</v>
      </c>
    </row>
    <row r="3426" spans="6:7" x14ac:dyDescent="0.35">
      <c r="F3426">
        <v>3421</v>
      </c>
      <c r="G3426" s="102">
        <f t="shared" ca="1" si="57"/>
        <v>3.7078644088994833E-2</v>
      </c>
    </row>
    <row r="3427" spans="6:7" x14ac:dyDescent="0.35">
      <c r="F3427">
        <v>3422</v>
      </c>
      <c r="G3427" s="102">
        <f t="shared" ca="1" si="57"/>
        <v>-4.5465699273367615E-3</v>
      </c>
    </row>
    <row r="3428" spans="6:7" x14ac:dyDescent="0.35">
      <c r="F3428">
        <v>3423</v>
      </c>
      <c r="G3428" s="102">
        <f t="shared" ca="1" si="57"/>
        <v>-4.7875174515101685E-3</v>
      </c>
    </row>
    <row r="3429" spans="6:7" x14ac:dyDescent="0.35">
      <c r="F3429">
        <v>3424</v>
      </c>
      <c r="G3429" s="102">
        <f t="shared" ca="1" si="57"/>
        <v>-2.7826174864302153E-2</v>
      </c>
    </row>
    <row r="3430" spans="6:7" x14ac:dyDescent="0.35">
      <c r="F3430">
        <v>3425</v>
      </c>
      <c r="G3430" s="102">
        <f t="shared" ca="1" si="57"/>
        <v>6.7653566021430495E-2</v>
      </c>
    </row>
    <row r="3431" spans="6:7" x14ac:dyDescent="0.35">
      <c r="F3431">
        <v>3426</v>
      </c>
      <c r="G3431" s="102">
        <f t="shared" ca="1" si="57"/>
        <v>-4.0142872221921116E-2</v>
      </c>
    </row>
    <row r="3432" spans="6:7" x14ac:dyDescent="0.35">
      <c r="F3432">
        <v>3427</v>
      </c>
      <c r="G3432" s="102">
        <f t="shared" ca="1" si="57"/>
        <v>-3.0169626791056638E-2</v>
      </c>
    </row>
    <row r="3433" spans="6:7" x14ac:dyDescent="0.35">
      <c r="F3433">
        <v>3428</v>
      </c>
      <c r="G3433" s="102">
        <f t="shared" ca="1" si="57"/>
        <v>-1.3049143515492769E-2</v>
      </c>
    </row>
    <row r="3434" spans="6:7" x14ac:dyDescent="0.35">
      <c r="F3434">
        <v>3429</v>
      </c>
      <c r="G3434" s="102">
        <f t="shared" ca="1" si="57"/>
        <v>7.054763524946947E-2</v>
      </c>
    </row>
    <row r="3435" spans="6:7" x14ac:dyDescent="0.35">
      <c r="F3435">
        <v>3430</v>
      </c>
      <c r="G3435" s="102">
        <f t="shared" ca="1" si="57"/>
        <v>-5.8800437640484648E-2</v>
      </c>
    </row>
    <row r="3436" spans="6:7" x14ac:dyDescent="0.35">
      <c r="F3436">
        <v>3431</v>
      </c>
      <c r="G3436" s="102">
        <f t="shared" ca="1" si="57"/>
        <v>0.12946341571748093</v>
      </c>
    </row>
    <row r="3437" spans="6:7" x14ac:dyDescent="0.35">
      <c r="F3437">
        <v>3432</v>
      </c>
      <c r="G3437" s="102">
        <f t="shared" ca="1" si="57"/>
        <v>5.2975190594315887E-3</v>
      </c>
    </row>
    <row r="3438" spans="6:7" x14ac:dyDescent="0.35">
      <c r="F3438">
        <v>3433</v>
      </c>
      <c r="G3438" s="102">
        <f t="shared" ca="1" si="57"/>
        <v>-3.5274401656475149E-2</v>
      </c>
    </row>
    <row r="3439" spans="6:7" x14ac:dyDescent="0.35">
      <c r="F3439">
        <v>3434</v>
      </c>
      <c r="G3439" s="102">
        <f t="shared" ca="1" si="57"/>
        <v>2.737341085790999E-2</v>
      </c>
    </row>
    <row r="3440" spans="6:7" x14ac:dyDescent="0.35">
      <c r="F3440">
        <v>3435</v>
      </c>
      <c r="G3440" s="102">
        <f t="shared" ca="1" si="57"/>
        <v>-5.687324173380022E-2</v>
      </c>
    </row>
    <row r="3441" spans="6:7" x14ac:dyDescent="0.35">
      <c r="F3441">
        <v>3436</v>
      </c>
      <c r="G3441" s="102">
        <f t="shared" ca="1" si="57"/>
        <v>-7.2012657472063119E-2</v>
      </c>
    </row>
    <row r="3442" spans="6:7" x14ac:dyDescent="0.35">
      <c r="F3442">
        <v>3437</v>
      </c>
      <c r="G3442" s="102">
        <f t="shared" ca="1" si="57"/>
        <v>2.276269237420776E-2</v>
      </c>
    </row>
    <row r="3443" spans="6:7" x14ac:dyDescent="0.35">
      <c r="F3443">
        <v>3438</v>
      </c>
      <c r="G3443" s="102">
        <f t="shared" ca="1" si="57"/>
        <v>-1.1411311350220565E-2</v>
      </c>
    </row>
    <row r="3444" spans="6:7" x14ac:dyDescent="0.35">
      <c r="F3444">
        <v>3439</v>
      </c>
      <c r="G3444" s="102">
        <f t="shared" ca="1" si="57"/>
        <v>-3.2209132624855725E-3</v>
      </c>
    </row>
    <row r="3445" spans="6:7" x14ac:dyDescent="0.35">
      <c r="F3445">
        <v>3440</v>
      </c>
      <c r="G3445" s="102">
        <f t="shared" ca="1" si="57"/>
        <v>-6.1938946301770173E-2</v>
      </c>
    </row>
    <row r="3446" spans="6:7" x14ac:dyDescent="0.35">
      <c r="F3446">
        <v>3441</v>
      </c>
      <c r="G3446" s="102">
        <f t="shared" ca="1" si="57"/>
        <v>-7.1466201121510656E-2</v>
      </c>
    </row>
    <row r="3447" spans="6:7" x14ac:dyDescent="0.35">
      <c r="F3447">
        <v>3442</v>
      </c>
      <c r="G3447" s="102">
        <f t="shared" ca="1" si="57"/>
        <v>-1.8423512655739056E-3</v>
      </c>
    </row>
    <row r="3448" spans="6:7" x14ac:dyDescent="0.35">
      <c r="F3448">
        <v>3443</v>
      </c>
      <c r="G3448" s="102">
        <f t="shared" ca="1" si="57"/>
        <v>1.9703747372895462E-2</v>
      </c>
    </row>
    <row r="3449" spans="6:7" x14ac:dyDescent="0.35">
      <c r="F3449">
        <v>3444</v>
      </c>
      <c r="G3449" s="102">
        <f t="shared" ca="1" si="57"/>
        <v>2.9921434178063883E-2</v>
      </c>
    </row>
    <row r="3450" spans="6:7" x14ac:dyDescent="0.35">
      <c r="F3450">
        <v>3445</v>
      </c>
      <c r="G3450" s="102">
        <f t="shared" ca="1" si="57"/>
        <v>2.3105505877925824E-2</v>
      </c>
    </row>
    <row r="3451" spans="6:7" x14ac:dyDescent="0.35">
      <c r="F3451">
        <v>3446</v>
      </c>
      <c r="G3451" s="102">
        <f t="shared" ca="1" si="57"/>
        <v>4.6494258428890503E-2</v>
      </c>
    </row>
    <row r="3452" spans="6:7" x14ac:dyDescent="0.35">
      <c r="F3452">
        <v>3447</v>
      </c>
      <c r="G3452" s="102">
        <f t="shared" ca="1" si="57"/>
        <v>-6.3713574640868964E-2</v>
      </c>
    </row>
    <row r="3453" spans="6:7" x14ac:dyDescent="0.35">
      <c r="F3453">
        <v>3448</v>
      </c>
      <c r="G3453" s="102">
        <f t="shared" ca="1" si="57"/>
        <v>2.8090470754836654E-2</v>
      </c>
    </row>
    <row r="3454" spans="6:7" x14ac:dyDescent="0.35">
      <c r="F3454">
        <v>3449</v>
      </c>
      <c r="G3454" s="102">
        <f t="shared" ca="1" si="57"/>
        <v>-6.4424512613898812E-3</v>
      </c>
    </row>
    <row r="3455" spans="6:7" x14ac:dyDescent="0.35">
      <c r="F3455">
        <v>3450</v>
      </c>
      <c r="G3455" s="102">
        <f t="shared" ca="1" si="57"/>
        <v>-4.8170707264402396E-2</v>
      </c>
    </row>
    <row r="3456" spans="6:7" x14ac:dyDescent="0.35">
      <c r="F3456">
        <v>3451</v>
      </c>
      <c r="G3456" s="102">
        <f t="shared" ca="1" si="57"/>
        <v>2.1375102335959063E-2</v>
      </c>
    </row>
    <row r="3457" spans="6:7" x14ac:dyDescent="0.35">
      <c r="F3457">
        <v>3452</v>
      </c>
      <c r="G3457" s="102">
        <f t="shared" ca="1" si="57"/>
        <v>2.048622229276131E-4</v>
      </c>
    </row>
    <row r="3458" spans="6:7" x14ac:dyDescent="0.35">
      <c r="F3458">
        <v>3453</v>
      </c>
      <c r="G3458" s="102">
        <f t="shared" ca="1" si="57"/>
        <v>-2.2222155277467005E-2</v>
      </c>
    </row>
    <row r="3459" spans="6:7" x14ac:dyDescent="0.35">
      <c r="F3459">
        <v>3454</v>
      </c>
      <c r="G3459" s="102">
        <f t="shared" ca="1" si="57"/>
        <v>-5.26935547939925E-2</v>
      </c>
    </row>
    <row r="3460" spans="6:7" x14ac:dyDescent="0.35">
      <c r="F3460">
        <v>3455</v>
      </c>
      <c r="G3460" s="102">
        <f t="shared" ca="1" si="57"/>
        <v>-3.1226930169696566E-2</v>
      </c>
    </row>
    <row r="3461" spans="6:7" x14ac:dyDescent="0.35">
      <c r="F3461">
        <v>3456</v>
      </c>
      <c r="G3461" s="102">
        <f t="shared" ca="1" si="57"/>
        <v>-7.9783763935117866E-2</v>
      </c>
    </row>
    <row r="3462" spans="6:7" x14ac:dyDescent="0.35">
      <c r="F3462">
        <v>3457</v>
      </c>
      <c r="G3462" s="102">
        <f t="shared" ca="1" si="57"/>
        <v>4.8035799660574072E-2</v>
      </c>
    </row>
    <row r="3463" spans="6:7" x14ac:dyDescent="0.35">
      <c r="F3463">
        <v>3458</v>
      </c>
      <c r="G3463" s="102">
        <f t="shared" ref="G3463:G3526" ca="1" si="58">_xlfn.NORM.INV(RAND(),M$9,M$10)</f>
        <v>-2.2863022680570461E-2</v>
      </c>
    </row>
    <row r="3464" spans="6:7" x14ac:dyDescent="0.35">
      <c r="F3464">
        <v>3459</v>
      </c>
      <c r="G3464" s="102">
        <f t="shared" ca="1" si="58"/>
        <v>1.0957194099361064E-2</v>
      </c>
    </row>
    <row r="3465" spans="6:7" x14ac:dyDescent="0.35">
      <c r="F3465">
        <v>3460</v>
      </c>
      <c r="G3465" s="102">
        <f t="shared" ca="1" si="58"/>
        <v>-5.4079723511250413E-2</v>
      </c>
    </row>
    <row r="3466" spans="6:7" x14ac:dyDescent="0.35">
      <c r="F3466">
        <v>3461</v>
      </c>
      <c r="G3466" s="102">
        <f t="shared" ca="1" si="58"/>
        <v>-1.502234182967775E-2</v>
      </c>
    </row>
    <row r="3467" spans="6:7" x14ac:dyDescent="0.35">
      <c r="F3467">
        <v>3462</v>
      </c>
      <c r="G3467" s="102">
        <f t="shared" ca="1" si="58"/>
        <v>-3.6309543686408124E-2</v>
      </c>
    </row>
    <row r="3468" spans="6:7" x14ac:dyDescent="0.35">
      <c r="F3468">
        <v>3463</v>
      </c>
      <c r="G3468" s="102">
        <f t="shared" ca="1" si="58"/>
        <v>-6.6215565106739899E-2</v>
      </c>
    </row>
    <row r="3469" spans="6:7" x14ac:dyDescent="0.35">
      <c r="F3469">
        <v>3464</v>
      </c>
      <c r="G3469" s="102">
        <f t="shared" ca="1" si="58"/>
        <v>6.1253389389675422E-2</v>
      </c>
    </row>
    <row r="3470" spans="6:7" x14ac:dyDescent="0.35">
      <c r="F3470">
        <v>3465</v>
      </c>
      <c r="G3470" s="102">
        <f t="shared" ca="1" si="58"/>
        <v>-4.0734384385105876E-2</v>
      </c>
    </row>
    <row r="3471" spans="6:7" x14ac:dyDescent="0.35">
      <c r="F3471">
        <v>3466</v>
      </c>
      <c r="G3471" s="102">
        <f t="shared" ca="1" si="58"/>
        <v>5.7738947412781086E-2</v>
      </c>
    </row>
    <row r="3472" spans="6:7" x14ac:dyDescent="0.35">
      <c r="F3472">
        <v>3467</v>
      </c>
      <c r="G3472" s="102">
        <f t="shared" ca="1" si="58"/>
        <v>4.5450029390798244E-2</v>
      </c>
    </row>
    <row r="3473" spans="6:7" x14ac:dyDescent="0.35">
      <c r="F3473">
        <v>3468</v>
      </c>
      <c r="G3473" s="102">
        <f t="shared" ca="1" si="58"/>
        <v>7.9963007793660543E-2</v>
      </c>
    </row>
    <row r="3474" spans="6:7" x14ac:dyDescent="0.35">
      <c r="F3474">
        <v>3469</v>
      </c>
      <c r="G3474" s="102">
        <f t="shared" ca="1" si="58"/>
        <v>9.686951143726745E-2</v>
      </c>
    </row>
    <row r="3475" spans="6:7" x14ac:dyDescent="0.35">
      <c r="F3475">
        <v>3470</v>
      </c>
      <c r="G3475" s="102">
        <f t="shared" ca="1" si="58"/>
        <v>-5.2242164409997738E-2</v>
      </c>
    </row>
    <row r="3476" spans="6:7" x14ac:dyDescent="0.35">
      <c r="F3476">
        <v>3471</v>
      </c>
      <c r="G3476" s="102">
        <f t="shared" ca="1" si="58"/>
        <v>-3.5896336939088086E-2</v>
      </c>
    </row>
    <row r="3477" spans="6:7" x14ac:dyDescent="0.35">
      <c r="F3477">
        <v>3472</v>
      </c>
      <c r="G3477" s="102">
        <f t="shared" ca="1" si="58"/>
        <v>2.1485285659591648E-2</v>
      </c>
    </row>
    <row r="3478" spans="6:7" x14ac:dyDescent="0.35">
      <c r="F3478">
        <v>3473</v>
      </c>
      <c r="G3478" s="102">
        <f t="shared" ca="1" si="58"/>
        <v>0.12332468617148497</v>
      </c>
    </row>
    <row r="3479" spans="6:7" x14ac:dyDescent="0.35">
      <c r="F3479">
        <v>3474</v>
      </c>
      <c r="G3479" s="102">
        <f t="shared" ca="1" si="58"/>
        <v>-6.7311297275990181E-2</v>
      </c>
    </row>
    <row r="3480" spans="6:7" x14ac:dyDescent="0.35">
      <c r="F3480">
        <v>3475</v>
      </c>
      <c r="G3480" s="102">
        <f t="shared" ca="1" si="58"/>
        <v>2.1161542717695381E-2</v>
      </c>
    </row>
    <row r="3481" spans="6:7" x14ac:dyDescent="0.35">
      <c r="F3481">
        <v>3476</v>
      </c>
      <c r="G3481" s="102">
        <f t="shared" ca="1" si="58"/>
        <v>2.7995057545571637E-2</v>
      </c>
    </row>
    <row r="3482" spans="6:7" x14ac:dyDescent="0.35">
      <c r="F3482">
        <v>3477</v>
      </c>
      <c r="G3482" s="102">
        <f t="shared" ca="1" si="58"/>
        <v>-9.2566061639594716E-2</v>
      </c>
    </row>
    <row r="3483" spans="6:7" x14ac:dyDescent="0.35">
      <c r="F3483">
        <v>3478</v>
      </c>
      <c r="G3483" s="102">
        <f t="shared" ca="1" si="58"/>
        <v>8.9186935529796032E-4</v>
      </c>
    </row>
    <row r="3484" spans="6:7" x14ac:dyDescent="0.35">
      <c r="F3484">
        <v>3479</v>
      </c>
      <c r="G3484" s="102">
        <f t="shared" ca="1" si="58"/>
        <v>-2.4720424892355212E-2</v>
      </c>
    </row>
    <row r="3485" spans="6:7" x14ac:dyDescent="0.35">
      <c r="F3485">
        <v>3480</v>
      </c>
      <c r="G3485" s="102">
        <f t="shared" ca="1" si="58"/>
        <v>0.1049275174453244</v>
      </c>
    </row>
    <row r="3486" spans="6:7" x14ac:dyDescent="0.35">
      <c r="F3486">
        <v>3481</v>
      </c>
      <c r="G3486" s="102">
        <f t="shared" ca="1" si="58"/>
        <v>2.5606321332983108E-2</v>
      </c>
    </row>
    <row r="3487" spans="6:7" x14ac:dyDescent="0.35">
      <c r="F3487">
        <v>3482</v>
      </c>
      <c r="G3487" s="102">
        <f t="shared" ca="1" si="58"/>
        <v>1.1496268660195326E-2</v>
      </c>
    </row>
    <row r="3488" spans="6:7" x14ac:dyDescent="0.35">
      <c r="F3488">
        <v>3483</v>
      </c>
      <c r="G3488" s="102">
        <f t="shared" ca="1" si="58"/>
        <v>-2.4906812430136729E-2</v>
      </c>
    </row>
    <row r="3489" spans="6:7" x14ac:dyDescent="0.35">
      <c r="F3489">
        <v>3484</v>
      </c>
      <c r="G3489" s="102">
        <f t="shared" ca="1" si="58"/>
        <v>1.6237643083419753E-2</v>
      </c>
    </row>
    <row r="3490" spans="6:7" x14ac:dyDescent="0.35">
      <c r="F3490">
        <v>3485</v>
      </c>
      <c r="G3490" s="102">
        <f t="shared" ca="1" si="58"/>
        <v>5.4473438703207436E-2</v>
      </c>
    </row>
    <row r="3491" spans="6:7" x14ac:dyDescent="0.35">
      <c r="F3491">
        <v>3486</v>
      </c>
      <c r="G3491" s="102">
        <f t="shared" ca="1" si="58"/>
        <v>-3.6409361474079596E-2</v>
      </c>
    </row>
    <row r="3492" spans="6:7" x14ac:dyDescent="0.35">
      <c r="F3492">
        <v>3487</v>
      </c>
      <c r="G3492" s="102">
        <f t="shared" ca="1" si="58"/>
        <v>3.088218190531301E-2</v>
      </c>
    </row>
    <row r="3493" spans="6:7" x14ac:dyDescent="0.35">
      <c r="F3493">
        <v>3488</v>
      </c>
      <c r="G3493" s="102">
        <f t="shared" ca="1" si="58"/>
        <v>-5.6577561652028617E-3</v>
      </c>
    </row>
    <row r="3494" spans="6:7" x14ac:dyDescent="0.35">
      <c r="F3494">
        <v>3489</v>
      </c>
      <c r="G3494" s="102">
        <f t="shared" ca="1" si="58"/>
        <v>-4.649923580472376E-2</v>
      </c>
    </row>
    <row r="3495" spans="6:7" x14ac:dyDescent="0.35">
      <c r="F3495">
        <v>3490</v>
      </c>
      <c r="G3495" s="102">
        <f t="shared" ca="1" si="58"/>
        <v>-8.8809453892108481E-2</v>
      </c>
    </row>
    <row r="3496" spans="6:7" x14ac:dyDescent="0.35">
      <c r="F3496">
        <v>3491</v>
      </c>
      <c r="G3496" s="102">
        <f t="shared" ca="1" si="58"/>
        <v>2.4300120609953093E-2</v>
      </c>
    </row>
    <row r="3497" spans="6:7" x14ac:dyDescent="0.35">
      <c r="F3497">
        <v>3492</v>
      </c>
      <c r="G3497" s="102">
        <f t="shared" ca="1" si="58"/>
        <v>-4.1588860352092374E-2</v>
      </c>
    </row>
    <row r="3498" spans="6:7" x14ac:dyDescent="0.35">
      <c r="F3498">
        <v>3493</v>
      </c>
      <c r="G3498" s="102">
        <f t="shared" ca="1" si="58"/>
        <v>5.3042492776388922E-2</v>
      </c>
    </row>
    <row r="3499" spans="6:7" x14ac:dyDescent="0.35">
      <c r="F3499">
        <v>3494</v>
      </c>
      <c r="G3499" s="102">
        <f t="shared" ca="1" si="58"/>
        <v>-1.4785666439550515E-2</v>
      </c>
    </row>
    <row r="3500" spans="6:7" x14ac:dyDescent="0.35">
      <c r="F3500">
        <v>3495</v>
      </c>
      <c r="G3500" s="102">
        <f t="shared" ca="1" si="58"/>
        <v>-8.2091581090767571E-2</v>
      </c>
    </row>
    <row r="3501" spans="6:7" x14ac:dyDescent="0.35">
      <c r="F3501">
        <v>3496</v>
      </c>
      <c r="G3501" s="102">
        <f t="shared" ca="1" si="58"/>
        <v>6.2769182246069907E-2</v>
      </c>
    </row>
    <row r="3502" spans="6:7" x14ac:dyDescent="0.35">
      <c r="F3502">
        <v>3497</v>
      </c>
      <c r="G3502" s="102">
        <f t="shared" ca="1" si="58"/>
        <v>4.6514641742943039E-3</v>
      </c>
    </row>
    <row r="3503" spans="6:7" x14ac:dyDescent="0.35">
      <c r="F3503">
        <v>3498</v>
      </c>
      <c r="G3503" s="102">
        <f t="shared" ca="1" si="58"/>
        <v>1.4169391343500301E-2</v>
      </c>
    </row>
    <row r="3504" spans="6:7" x14ac:dyDescent="0.35">
      <c r="F3504">
        <v>3499</v>
      </c>
      <c r="G3504" s="102">
        <f t="shared" ca="1" si="58"/>
        <v>-7.043418166399644E-2</v>
      </c>
    </row>
    <row r="3505" spans="6:7" x14ac:dyDescent="0.35">
      <c r="F3505">
        <v>3500</v>
      </c>
      <c r="G3505" s="102">
        <f t="shared" ca="1" si="58"/>
        <v>-5.4257161176906696E-2</v>
      </c>
    </row>
    <row r="3506" spans="6:7" x14ac:dyDescent="0.35">
      <c r="F3506">
        <v>3501</v>
      </c>
      <c r="G3506" s="102">
        <f t="shared" ca="1" si="58"/>
        <v>-4.0667553966850387E-2</v>
      </c>
    </row>
    <row r="3507" spans="6:7" x14ac:dyDescent="0.35">
      <c r="F3507">
        <v>3502</v>
      </c>
      <c r="G3507" s="102">
        <f t="shared" ca="1" si="58"/>
        <v>-8.1816324264369009E-4</v>
      </c>
    </row>
    <row r="3508" spans="6:7" x14ac:dyDescent="0.35">
      <c r="F3508">
        <v>3503</v>
      </c>
      <c r="G3508" s="102">
        <f t="shared" ca="1" si="58"/>
        <v>7.4805240151083197E-2</v>
      </c>
    </row>
    <row r="3509" spans="6:7" x14ac:dyDescent="0.35">
      <c r="F3509">
        <v>3504</v>
      </c>
      <c r="G3509" s="102">
        <f t="shared" ca="1" si="58"/>
        <v>3.1790846379587595E-2</v>
      </c>
    </row>
    <row r="3510" spans="6:7" x14ac:dyDescent="0.35">
      <c r="F3510">
        <v>3505</v>
      </c>
      <c r="G3510" s="102">
        <f t="shared" ca="1" si="58"/>
        <v>5.998199294874898E-2</v>
      </c>
    </row>
    <row r="3511" spans="6:7" x14ac:dyDescent="0.35">
      <c r="F3511">
        <v>3506</v>
      </c>
      <c r="G3511" s="102">
        <f t="shared" ca="1" si="58"/>
        <v>6.010016958815495E-2</v>
      </c>
    </row>
    <row r="3512" spans="6:7" x14ac:dyDescent="0.35">
      <c r="F3512">
        <v>3507</v>
      </c>
      <c r="G3512" s="102">
        <f t="shared" ca="1" si="58"/>
        <v>2.7283435335286408E-3</v>
      </c>
    </row>
    <row r="3513" spans="6:7" x14ac:dyDescent="0.35">
      <c r="F3513">
        <v>3508</v>
      </c>
      <c r="G3513" s="102">
        <f t="shared" ca="1" si="58"/>
        <v>-7.7257153706598927E-2</v>
      </c>
    </row>
    <row r="3514" spans="6:7" x14ac:dyDescent="0.35">
      <c r="F3514">
        <v>3509</v>
      </c>
      <c r="G3514" s="102">
        <f t="shared" ca="1" si="58"/>
        <v>-6.0715600690210966E-2</v>
      </c>
    </row>
    <row r="3515" spans="6:7" x14ac:dyDescent="0.35">
      <c r="F3515">
        <v>3510</v>
      </c>
      <c r="G3515" s="102">
        <f t="shared" ca="1" si="58"/>
        <v>3.9668839713988935E-2</v>
      </c>
    </row>
    <row r="3516" spans="6:7" x14ac:dyDescent="0.35">
      <c r="F3516">
        <v>3511</v>
      </c>
      <c r="G3516" s="102">
        <f t="shared" ca="1" si="58"/>
        <v>2.7218975902842255E-2</v>
      </c>
    </row>
    <row r="3517" spans="6:7" x14ac:dyDescent="0.35">
      <c r="F3517">
        <v>3512</v>
      </c>
      <c r="G3517" s="102">
        <f t="shared" ca="1" si="58"/>
        <v>-5.1779091890117174E-2</v>
      </c>
    </row>
    <row r="3518" spans="6:7" x14ac:dyDescent="0.35">
      <c r="F3518">
        <v>3513</v>
      </c>
      <c r="G3518" s="102">
        <f t="shared" ca="1" si="58"/>
        <v>-0.12927957646123781</v>
      </c>
    </row>
    <row r="3519" spans="6:7" x14ac:dyDescent="0.35">
      <c r="F3519">
        <v>3514</v>
      </c>
      <c r="G3519" s="102">
        <f t="shared" ca="1" si="58"/>
        <v>8.7709496055002292E-2</v>
      </c>
    </row>
    <row r="3520" spans="6:7" x14ac:dyDescent="0.35">
      <c r="F3520">
        <v>3515</v>
      </c>
      <c r="G3520" s="102">
        <f t="shared" ca="1" si="58"/>
        <v>-7.1187316342324503E-2</v>
      </c>
    </row>
    <row r="3521" spans="6:7" x14ac:dyDescent="0.35">
      <c r="F3521">
        <v>3516</v>
      </c>
      <c r="G3521" s="102">
        <f t="shared" ca="1" si="58"/>
        <v>-7.6724782916419796E-3</v>
      </c>
    </row>
    <row r="3522" spans="6:7" x14ac:dyDescent="0.35">
      <c r="F3522">
        <v>3517</v>
      </c>
      <c r="G3522" s="102">
        <f t="shared" ca="1" si="58"/>
        <v>5.1886845921676594E-3</v>
      </c>
    </row>
    <row r="3523" spans="6:7" x14ac:dyDescent="0.35">
      <c r="F3523">
        <v>3518</v>
      </c>
      <c r="G3523" s="102">
        <f t="shared" ca="1" si="58"/>
        <v>6.6271717031288452E-2</v>
      </c>
    </row>
    <row r="3524" spans="6:7" x14ac:dyDescent="0.35">
      <c r="F3524">
        <v>3519</v>
      </c>
      <c r="G3524" s="102">
        <f t="shared" ca="1" si="58"/>
        <v>-1.1542730421431686E-2</v>
      </c>
    </row>
    <row r="3525" spans="6:7" x14ac:dyDescent="0.35">
      <c r="F3525">
        <v>3520</v>
      </c>
      <c r="G3525" s="102">
        <f t="shared" ca="1" si="58"/>
        <v>-9.9542971076544279E-2</v>
      </c>
    </row>
    <row r="3526" spans="6:7" x14ac:dyDescent="0.35">
      <c r="F3526">
        <v>3521</v>
      </c>
      <c r="G3526" s="102">
        <f t="shared" ca="1" si="58"/>
        <v>6.1236531248434908E-2</v>
      </c>
    </row>
    <row r="3527" spans="6:7" x14ac:dyDescent="0.35">
      <c r="F3527">
        <v>3522</v>
      </c>
      <c r="G3527" s="102">
        <f t="shared" ref="G3527:G3590" ca="1" si="59">_xlfn.NORM.INV(RAND(),M$9,M$10)</f>
        <v>9.982391095602576E-2</v>
      </c>
    </row>
    <row r="3528" spans="6:7" x14ac:dyDescent="0.35">
      <c r="F3528">
        <v>3523</v>
      </c>
      <c r="G3528" s="102">
        <f t="shared" ca="1" si="59"/>
        <v>-9.0565914605980513E-2</v>
      </c>
    </row>
    <row r="3529" spans="6:7" x14ac:dyDescent="0.35">
      <c r="F3529">
        <v>3524</v>
      </c>
      <c r="G3529" s="102">
        <f t="shared" ca="1" si="59"/>
        <v>2.8056696127185563E-2</v>
      </c>
    </row>
    <row r="3530" spans="6:7" x14ac:dyDescent="0.35">
      <c r="F3530">
        <v>3525</v>
      </c>
      <c r="G3530" s="102">
        <f t="shared" ca="1" si="59"/>
        <v>-7.7384091171855365E-2</v>
      </c>
    </row>
    <row r="3531" spans="6:7" x14ac:dyDescent="0.35">
      <c r="F3531">
        <v>3526</v>
      </c>
      <c r="G3531" s="102">
        <f t="shared" ca="1" si="59"/>
        <v>7.1554092441217257E-2</v>
      </c>
    </row>
    <row r="3532" spans="6:7" x14ac:dyDescent="0.35">
      <c r="F3532">
        <v>3527</v>
      </c>
      <c r="G3532" s="102">
        <f t="shared" ca="1" si="59"/>
        <v>3.1388581373452476E-3</v>
      </c>
    </row>
    <row r="3533" spans="6:7" x14ac:dyDescent="0.35">
      <c r="F3533">
        <v>3528</v>
      </c>
      <c r="G3533" s="102">
        <f t="shared" ca="1" si="59"/>
        <v>7.1992608426544605E-2</v>
      </c>
    </row>
    <row r="3534" spans="6:7" x14ac:dyDescent="0.35">
      <c r="F3534">
        <v>3529</v>
      </c>
      <c r="G3534" s="102">
        <f t="shared" ca="1" si="59"/>
        <v>-0.14415331995859607</v>
      </c>
    </row>
    <row r="3535" spans="6:7" x14ac:dyDescent="0.35">
      <c r="F3535">
        <v>3530</v>
      </c>
      <c r="G3535" s="102">
        <f t="shared" ca="1" si="59"/>
        <v>7.4599857363989705E-2</v>
      </c>
    </row>
    <row r="3536" spans="6:7" x14ac:dyDescent="0.35">
      <c r="F3536">
        <v>3531</v>
      </c>
      <c r="G3536" s="102">
        <f t="shared" ca="1" si="59"/>
        <v>-1.7919423118519393E-2</v>
      </c>
    </row>
    <row r="3537" spans="6:7" x14ac:dyDescent="0.35">
      <c r="F3537">
        <v>3532</v>
      </c>
      <c r="G3537" s="102">
        <f t="shared" ca="1" si="59"/>
        <v>0.12799638816535716</v>
      </c>
    </row>
    <row r="3538" spans="6:7" x14ac:dyDescent="0.35">
      <c r="F3538">
        <v>3533</v>
      </c>
      <c r="G3538" s="102">
        <f t="shared" ca="1" si="59"/>
        <v>1.5878751257130803E-2</v>
      </c>
    </row>
    <row r="3539" spans="6:7" x14ac:dyDescent="0.35">
      <c r="F3539">
        <v>3534</v>
      </c>
      <c r="G3539" s="102">
        <f t="shared" ca="1" si="59"/>
        <v>0.12914044197954505</v>
      </c>
    </row>
    <row r="3540" spans="6:7" x14ac:dyDescent="0.35">
      <c r="F3540">
        <v>3535</v>
      </c>
      <c r="G3540" s="102">
        <f t="shared" ca="1" si="59"/>
        <v>-9.3356511844528242E-2</v>
      </c>
    </row>
    <row r="3541" spans="6:7" x14ac:dyDescent="0.35">
      <c r="F3541">
        <v>3536</v>
      </c>
      <c r="G3541" s="102">
        <f t="shared" ca="1" si="59"/>
        <v>-2.6731651937739978E-2</v>
      </c>
    </row>
    <row r="3542" spans="6:7" x14ac:dyDescent="0.35">
      <c r="F3542">
        <v>3537</v>
      </c>
      <c r="G3542" s="102">
        <f t="shared" ca="1" si="59"/>
        <v>-7.9624407023097477E-2</v>
      </c>
    </row>
    <row r="3543" spans="6:7" x14ac:dyDescent="0.35">
      <c r="F3543">
        <v>3538</v>
      </c>
      <c r="G3543" s="102">
        <f t="shared" ca="1" si="59"/>
        <v>-6.7892179111322851E-2</v>
      </c>
    </row>
    <row r="3544" spans="6:7" x14ac:dyDescent="0.35">
      <c r="F3544">
        <v>3539</v>
      </c>
      <c r="G3544" s="102">
        <f t="shared" ca="1" si="59"/>
        <v>0.10724058626336509</v>
      </c>
    </row>
    <row r="3545" spans="6:7" x14ac:dyDescent="0.35">
      <c r="F3545">
        <v>3540</v>
      </c>
      <c r="G3545" s="102">
        <f t="shared" ca="1" si="59"/>
        <v>0.10174710947908348</v>
      </c>
    </row>
    <row r="3546" spans="6:7" x14ac:dyDescent="0.35">
      <c r="F3546">
        <v>3541</v>
      </c>
      <c r="G3546" s="102">
        <f t="shared" ca="1" si="59"/>
        <v>-4.7379695437452782E-2</v>
      </c>
    </row>
    <row r="3547" spans="6:7" x14ac:dyDescent="0.35">
      <c r="F3547">
        <v>3542</v>
      </c>
      <c r="G3547" s="102">
        <f t="shared" ca="1" si="59"/>
        <v>7.9454895060799433E-2</v>
      </c>
    </row>
    <row r="3548" spans="6:7" x14ac:dyDescent="0.35">
      <c r="F3548">
        <v>3543</v>
      </c>
      <c r="G3548" s="102">
        <f t="shared" ca="1" si="59"/>
        <v>-6.0834769894173385E-2</v>
      </c>
    </row>
    <row r="3549" spans="6:7" x14ac:dyDescent="0.35">
      <c r="F3549">
        <v>3544</v>
      </c>
      <c r="G3549" s="102">
        <f t="shared" ca="1" si="59"/>
        <v>-0.11255717556542644</v>
      </c>
    </row>
    <row r="3550" spans="6:7" x14ac:dyDescent="0.35">
      <c r="F3550">
        <v>3545</v>
      </c>
      <c r="G3550" s="102">
        <f t="shared" ca="1" si="59"/>
        <v>-2.1673312656267159E-2</v>
      </c>
    </row>
    <row r="3551" spans="6:7" x14ac:dyDescent="0.35">
      <c r="F3551">
        <v>3546</v>
      </c>
      <c r="G3551" s="102">
        <f t="shared" ca="1" si="59"/>
        <v>-6.1276451457946218E-2</v>
      </c>
    </row>
    <row r="3552" spans="6:7" x14ac:dyDescent="0.35">
      <c r="F3552">
        <v>3547</v>
      </c>
      <c r="G3552" s="102">
        <f t="shared" ca="1" si="59"/>
        <v>9.837775741662938E-2</v>
      </c>
    </row>
    <row r="3553" spans="6:7" x14ac:dyDescent="0.35">
      <c r="F3553">
        <v>3548</v>
      </c>
      <c r="G3553" s="102">
        <f t="shared" ca="1" si="59"/>
        <v>1.2482664601876168E-4</v>
      </c>
    </row>
    <row r="3554" spans="6:7" x14ac:dyDescent="0.35">
      <c r="F3554">
        <v>3549</v>
      </c>
      <c r="G3554" s="102">
        <f t="shared" ca="1" si="59"/>
        <v>-9.3028443347658946E-2</v>
      </c>
    </row>
    <row r="3555" spans="6:7" x14ac:dyDescent="0.35">
      <c r="F3555">
        <v>3550</v>
      </c>
      <c r="G3555" s="102">
        <f t="shared" ca="1" si="59"/>
        <v>3.8656549452793357E-2</v>
      </c>
    </row>
    <row r="3556" spans="6:7" x14ac:dyDescent="0.35">
      <c r="F3556">
        <v>3551</v>
      </c>
      <c r="G3556" s="102">
        <f t="shared" ca="1" si="59"/>
        <v>-3.5820930389544356E-2</v>
      </c>
    </row>
    <row r="3557" spans="6:7" x14ac:dyDescent="0.35">
      <c r="F3557">
        <v>3552</v>
      </c>
      <c r="G3557" s="102">
        <f t="shared" ca="1" si="59"/>
        <v>2.7597756185882231E-2</v>
      </c>
    </row>
    <row r="3558" spans="6:7" x14ac:dyDescent="0.35">
      <c r="F3558">
        <v>3553</v>
      </c>
      <c r="G3558" s="102">
        <f t="shared" ca="1" si="59"/>
        <v>5.6332262402478919E-2</v>
      </c>
    </row>
    <row r="3559" spans="6:7" x14ac:dyDescent="0.35">
      <c r="F3559">
        <v>3554</v>
      </c>
      <c r="G3559" s="102">
        <f t="shared" ca="1" si="59"/>
        <v>9.0892474624847994E-2</v>
      </c>
    </row>
    <row r="3560" spans="6:7" x14ac:dyDescent="0.35">
      <c r="F3560">
        <v>3555</v>
      </c>
      <c r="G3560" s="102">
        <f t="shared" ca="1" si="59"/>
        <v>2.3195476670815618E-3</v>
      </c>
    </row>
    <row r="3561" spans="6:7" x14ac:dyDescent="0.35">
      <c r="F3561">
        <v>3556</v>
      </c>
      <c r="G3561" s="102">
        <f t="shared" ca="1" si="59"/>
        <v>-2.4913711545380558E-2</v>
      </c>
    </row>
    <row r="3562" spans="6:7" x14ac:dyDescent="0.35">
      <c r="F3562">
        <v>3557</v>
      </c>
      <c r="G3562" s="102">
        <f t="shared" ca="1" si="59"/>
        <v>8.7395388599121202E-2</v>
      </c>
    </row>
    <row r="3563" spans="6:7" x14ac:dyDescent="0.35">
      <c r="F3563">
        <v>3558</v>
      </c>
      <c r="G3563" s="102">
        <f t="shared" ca="1" si="59"/>
        <v>-4.5914433305290159E-2</v>
      </c>
    </row>
    <row r="3564" spans="6:7" x14ac:dyDescent="0.35">
      <c r="F3564">
        <v>3559</v>
      </c>
      <c r="G3564" s="102">
        <f t="shared" ca="1" si="59"/>
        <v>-7.4049173411513167E-2</v>
      </c>
    </row>
    <row r="3565" spans="6:7" x14ac:dyDescent="0.35">
      <c r="F3565">
        <v>3560</v>
      </c>
      <c r="G3565" s="102">
        <f t="shared" ca="1" si="59"/>
        <v>5.4606998331344692E-2</v>
      </c>
    </row>
    <row r="3566" spans="6:7" x14ac:dyDescent="0.35">
      <c r="F3566">
        <v>3561</v>
      </c>
      <c r="G3566" s="102">
        <f t="shared" ca="1" si="59"/>
        <v>-3.8840375834023347E-2</v>
      </c>
    </row>
    <row r="3567" spans="6:7" x14ac:dyDescent="0.35">
      <c r="F3567">
        <v>3562</v>
      </c>
      <c r="G3567" s="102">
        <f t="shared" ca="1" si="59"/>
        <v>7.5348002731743399E-2</v>
      </c>
    </row>
    <row r="3568" spans="6:7" x14ac:dyDescent="0.35">
      <c r="F3568">
        <v>3563</v>
      </c>
      <c r="G3568" s="102">
        <f t="shared" ca="1" si="59"/>
        <v>1.8525789337273391E-2</v>
      </c>
    </row>
    <row r="3569" spans="6:7" x14ac:dyDescent="0.35">
      <c r="F3569">
        <v>3564</v>
      </c>
      <c r="G3569" s="102">
        <f t="shared" ca="1" si="59"/>
        <v>-5.661977215693674E-2</v>
      </c>
    </row>
    <row r="3570" spans="6:7" x14ac:dyDescent="0.35">
      <c r="F3570">
        <v>3565</v>
      </c>
      <c r="G3570" s="102">
        <f t="shared" ca="1" si="59"/>
        <v>-6.9684781093085915E-2</v>
      </c>
    </row>
    <row r="3571" spans="6:7" x14ac:dyDescent="0.35">
      <c r="F3571">
        <v>3566</v>
      </c>
      <c r="G3571" s="102">
        <f t="shared" ca="1" si="59"/>
        <v>4.3600580035852002E-2</v>
      </c>
    </row>
    <row r="3572" spans="6:7" x14ac:dyDescent="0.35">
      <c r="F3572">
        <v>3567</v>
      </c>
      <c r="G3572" s="102">
        <f t="shared" ca="1" si="59"/>
        <v>2.6127350727350934E-2</v>
      </c>
    </row>
    <row r="3573" spans="6:7" x14ac:dyDescent="0.35">
      <c r="F3573">
        <v>3568</v>
      </c>
      <c r="G3573" s="102">
        <f t="shared" ca="1" si="59"/>
        <v>-4.6252700538206001E-2</v>
      </c>
    </row>
    <row r="3574" spans="6:7" x14ac:dyDescent="0.35">
      <c r="F3574">
        <v>3569</v>
      </c>
      <c r="G3574" s="102">
        <f t="shared" ca="1" si="59"/>
        <v>0.10741123791347613</v>
      </c>
    </row>
    <row r="3575" spans="6:7" x14ac:dyDescent="0.35">
      <c r="F3575">
        <v>3570</v>
      </c>
      <c r="G3575" s="102">
        <f t="shared" ca="1" si="59"/>
        <v>-3.4248297988189891E-3</v>
      </c>
    </row>
    <row r="3576" spans="6:7" x14ac:dyDescent="0.35">
      <c r="F3576">
        <v>3571</v>
      </c>
      <c r="G3576" s="102">
        <f t="shared" ca="1" si="59"/>
        <v>-6.4993923796563366E-2</v>
      </c>
    </row>
    <row r="3577" spans="6:7" x14ac:dyDescent="0.35">
      <c r="F3577">
        <v>3572</v>
      </c>
      <c r="G3577" s="102">
        <f t="shared" ca="1" si="59"/>
        <v>9.0890578695149105E-2</v>
      </c>
    </row>
    <row r="3578" spans="6:7" x14ac:dyDescent="0.35">
      <c r="F3578">
        <v>3573</v>
      </c>
      <c r="G3578" s="102">
        <f t="shared" ca="1" si="59"/>
        <v>3.2818170215244885E-2</v>
      </c>
    </row>
    <row r="3579" spans="6:7" x14ac:dyDescent="0.35">
      <c r="F3579">
        <v>3574</v>
      </c>
      <c r="G3579" s="102">
        <f t="shared" ca="1" si="59"/>
        <v>1.657100467385483E-2</v>
      </c>
    </row>
    <row r="3580" spans="6:7" x14ac:dyDescent="0.35">
      <c r="F3580">
        <v>3575</v>
      </c>
      <c r="G3580" s="102">
        <f t="shared" ca="1" si="59"/>
        <v>2.3053139720192874E-2</v>
      </c>
    </row>
    <row r="3581" spans="6:7" x14ac:dyDescent="0.35">
      <c r="F3581">
        <v>3576</v>
      </c>
      <c r="G3581" s="102">
        <f t="shared" ca="1" si="59"/>
        <v>-0.11620903662037874</v>
      </c>
    </row>
    <row r="3582" spans="6:7" x14ac:dyDescent="0.35">
      <c r="F3582">
        <v>3577</v>
      </c>
      <c r="G3582" s="102">
        <f t="shared" ca="1" si="59"/>
        <v>-2.2434100515590573E-3</v>
      </c>
    </row>
    <row r="3583" spans="6:7" x14ac:dyDescent="0.35">
      <c r="F3583">
        <v>3578</v>
      </c>
      <c r="G3583" s="102">
        <f t="shared" ca="1" si="59"/>
        <v>0.13912041567703209</v>
      </c>
    </row>
    <row r="3584" spans="6:7" x14ac:dyDescent="0.35">
      <c r="F3584">
        <v>3579</v>
      </c>
      <c r="G3584" s="102">
        <f t="shared" ca="1" si="59"/>
        <v>4.4066311777167272E-2</v>
      </c>
    </row>
    <row r="3585" spans="6:7" x14ac:dyDescent="0.35">
      <c r="F3585">
        <v>3580</v>
      </c>
      <c r="G3585" s="102">
        <f t="shared" ca="1" si="59"/>
        <v>6.8150476841751309E-4</v>
      </c>
    </row>
    <row r="3586" spans="6:7" x14ac:dyDescent="0.35">
      <c r="F3586">
        <v>3581</v>
      </c>
      <c r="G3586" s="102">
        <f t="shared" ca="1" si="59"/>
        <v>2.9315708865939098E-2</v>
      </c>
    </row>
    <row r="3587" spans="6:7" x14ac:dyDescent="0.35">
      <c r="F3587">
        <v>3582</v>
      </c>
      <c r="G3587" s="102">
        <f t="shared" ca="1" si="59"/>
        <v>-5.6007592392187125E-2</v>
      </c>
    </row>
    <row r="3588" spans="6:7" x14ac:dyDescent="0.35">
      <c r="F3588">
        <v>3583</v>
      </c>
      <c r="G3588" s="102">
        <f t="shared" ca="1" si="59"/>
        <v>2.4588824146347322E-2</v>
      </c>
    </row>
    <row r="3589" spans="6:7" x14ac:dyDescent="0.35">
      <c r="F3589">
        <v>3584</v>
      </c>
      <c r="G3589" s="102">
        <f t="shared" ca="1" si="59"/>
        <v>4.2019385992343519E-2</v>
      </c>
    </row>
    <row r="3590" spans="6:7" x14ac:dyDescent="0.35">
      <c r="F3590">
        <v>3585</v>
      </c>
      <c r="G3590" s="102">
        <f t="shared" ca="1" si="59"/>
        <v>-8.3673234451009132E-2</v>
      </c>
    </row>
    <row r="3591" spans="6:7" x14ac:dyDescent="0.35">
      <c r="F3591">
        <v>3586</v>
      </c>
      <c r="G3591" s="102">
        <f t="shared" ref="G3591:G3654" ca="1" si="60">_xlfn.NORM.INV(RAND(),M$9,M$10)</f>
        <v>5.5812998943399229E-3</v>
      </c>
    </row>
    <row r="3592" spans="6:7" x14ac:dyDescent="0.35">
      <c r="F3592">
        <v>3587</v>
      </c>
      <c r="G3592" s="102">
        <f t="shared" ca="1" si="60"/>
        <v>5.3681571985622206E-2</v>
      </c>
    </row>
    <row r="3593" spans="6:7" x14ac:dyDescent="0.35">
      <c r="F3593">
        <v>3588</v>
      </c>
      <c r="G3593" s="102">
        <f t="shared" ca="1" si="60"/>
        <v>-1.2509223219661116E-2</v>
      </c>
    </row>
    <row r="3594" spans="6:7" x14ac:dyDescent="0.35">
      <c r="F3594">
        <v>3589</v>
      </c>
      <c r="G3594" s="102">
        <f t="shared" ca="1" si="60"/>
        <v>-1.0194646457819359E-2</v>
      </c>
    </row>
    <row r="3595" spans="6:7" x14ac:dyDescent="0.35">
      <c r="F3595">
        <v>3590</v>
      </c>
      <c r="G3595" s="102">
        <f t="shared" ca="1" si="60"/>
        <v>6.3403077228698368E-2</v>
      </c>
    </row>
    <row r="3596" spans="6:7" x14ac:dyDescent="0.35">
      <c r="F3596">
        <v>3591</v>
      </c>
      <c r="G3596" s="102">
        <f t="shared" ca="1" si="60"/>
        <v>2.5388190551733029E-3</v>
      </c>
    </row>
    <row r="3597" spans="6:7" x14ac:dyDescent="0.35">
      <c r="F3597">
        <v>3592</v>
      </c>
      <c r="G3597" s="102">
        <f t="shared" ca="1" si="60"/>
        <v>4.3206163859755453E-2</v>
      </c>
    </row>
    <row r="3598" spans="6:7" x14ac:dyDescent="0.35">
      <c r="F3598">
        <v>3593</v>
      </c>
      <c r="G3598" s="102">
        <f t="shared" ca="1" si="60"/>
        <v>8.8094958407408941E-2</v>
      </c>
    </row>
    <row r="3599" spans="6:7" x14ac:dyDescent="0.35">
      <c r="F3599">
        <v>3594</v>
      </c>
      <c r="G3599" s="102">
        <f t="shared" ca="1" si="60"/>
        <v>7.3093600480666834E-2</v>
      </c>
    </row>
    <row r="3600" spans="6:7" x14ac:dyDescent="0.35">
      <c r="F3600">
        <v>3595</v>
      </c>
      <c r="G3600" s="102">
        <f t="shared" ca="1" si="60"/>
        <v>-2.9334037296338541E-2</v>
      </c>
    </row>
    <row r="3601" spans="6:7" x14ac:dyDescent="0.35">
      <c r="F3601">
        <v>3596</v>
      </c>
      <c r="G3601" s="102">
        <f t="shared" ca="1" si="60"/>
        <v>-5.2036615501800221E-2</v>
      </c>
    </row>
    <row r="3602" spans="6:7" x14ac:dyDescent="0.35">
      <c r="F3602">
        <v>3597</v>
      </c>
      <c r="G3602" s="102">
        <f t="shared" ca="1" si="60"/>
        <v>1.9690818639815307E-2</v>
      </c>
    </row>
    <row r="3603" spans="6:7" x14ac:dyDescent="0.35">
      <c r="F3603">
        <v>3598</v>
      </c>
      <c r="G3603" s="102">
        <f t="shared" ca="1" si="60"/>
        <v>-7.2108815722565139E-2</v>
      </c>
    </row>
    <row r="3604" spans="6:7" x14ac:dyDescent="0.35">
      <c r="F3604">
        <v>3599</v>
      </c>
      <c r="G3604" s="102">
        <f t="shared" ca="1" si="60"/>
        <v>3.5740096353529885E-2</v>
      </c>
    </row>
    <row r="3605" spans="6:7" x14ac:dyDescent="0.35">
      <c r="F3605">
        <v>3600</v>
      </c>
      <c r="G3605" s="102">
        <f t="shared" ca="1" si="60"/>
        <v>2.4683462945818472E-2</v>
      </c>
    </row>
    <row r="3606" spans="6:7" x14ac:dyDescent="0.35">
      <c r="F3606">
        <v>3601</v>
      </c>
      <c r="G3606" s="102">
        <f t="shared" ca="1" si="60"/>
        <v>-0.10801097770990427</v>
      </c>
    </row>
    <row r="3607" spans="6:7" x14ac:dyDescent="0.35">
      <c r="F3607">
        <v>3602</v>
      </c>
      <c r="G3607" s="102">
        <f t="shared" ca="1" si="60"/>
        <v>-4.5867026811441149E-3</v>
      </c>
    </row>
    <row r="3608" spans="6:7" x14ac:dyDescent="0.35">
      <c r="F3608">
        <v>3603</v>
      </c>
      <c r="G3608" s="102">
        <f t="shared" ca="1" si="60"/>
        <v>-6.3562733978443725E-2</v>
      </c>
    </row>
    <row r="3609" spans="6:7" x14ac:dyDescent="0.35">
      <c r="F3609">
        <v>3604</v>
      </c>
      <c r="G3609" s="102">
        <f t="shared" ca="1" si="60"/>
        <v>1.2960129819669042E-2</v>
      </c>
    </row>
    <row r="3610" spans="6:7" x14ac:dyDescent="0.35">
      <c r="F3610">
        <v>3605</v>
      </c>
      <c r="G3610" s="102">
        <f t="shared" ca="1" si="60"/>
        <v>-8.2682732799408881E-2</v>
      </c>
    </row>
    <row r="3611" spans="6:7" x14ac:dyDescent="0.35">
      <c r="F3611">
        <v>3606</v>
      </c>
      <c r="G3611" s="102">
        <f t="shared" ca="1" si="60"/>
        <v>9.2356235699417241E-3</v>
      </c>
    </row>
    <row r="3612" spans="6:7" x14ac:dyDescent="0.35">
      <c r="F3612">
        <v>3607</v>
      </c>
      <c r="G3612" s="102">
        <f t="shared" ca="1" si="60"/>
        <v>4.8964949032178337E-2</v>
      </c>
    </row>
    <row r="3613" spans="6:7" x14ac:dyDescent="0.35">
      <c r="F3613">
        <v>3608</v>
      </c>
      <c r="G3613" s="102">
        <f t="shared" ca="1" si="60"/>
        <v>0.13070327905308532</v>
      </c>
    </row>
    <row r="3614" spans="6:7" x14ac:dyDescent="0.35">
      <c r="F3614">
        <v>3609</v>
      </c>
      <c r="G3614" s="102">
        <f t="shared" ca="1" si="60"/>
        <v>-4.6055099224660112E-2</v>
      </c>
    </row>
    <row r="3615" spans="6:7" x14ac:dyDescent="0.35">
      <c r="F3615">
        <v>3610</v>
      </c>
      <c r="G3615" s="102">
        <f t="shared" ca="1" si="60"/>
        <v>2.6977810605647554E-2</v>
      </c>
    </row>
    <row r="3616" spans="6:7" x14ac:dyDescent="0.35">
      <c r="F3616">
        <v>3611</v>
      </c>
      <c r="G3616" s="102">
        <f t="shared" ca="1" si="60"/>
        <v>2.00042570333905E-2</v>
      </c>
    </row>
    <row r="3617" spans="6:7" x14ac:dyDescent="0.35">
      <c r="F3617">
        <v>3612</v>
      </c>
      <c r="G3617" s="102">
        <f t="shared" ca="1" si="60"/>
        <v>-0.13376084510269129</v>
      </c>
    </row>
    <row r="3618" spans="6:7" x14ac:dyDescent="0.35">
      <c r="F3618">
        <v>3613</v>
      </c>
      <c r="G3618" s="102">
        <f t="shared" ca="1" si="60"/>
        <v>4.3735792171516907E-2</v>
      </c>
    </row>
    <row r="3619" spans="6:7" x14ac:dyDescent="0.35">
      <c r="F3619">
        <v>3614</v>
      </c>
      <c r="G3619" s="102">
        <f t="shared" ca="1" si="60"/>
        <v>2.0683453015523181E-2</v>
      </c>
    </row>
    <row r="3620" spans="6:7" x14ac:dyDescent="0.35">
      <c r="F3620">
        <v>3615</v>
      </c>
      <c r="G3620" s="102">
        <f t="shared" ca="1" si="60"/>
        <v>-5.663800438123286E-3</v>
      </c>
    </row>
    <row r="3621" spans="6:7" x14ac:dyDescent="0.35">
      <c r="F3621">
        <v>3616</v>
      </c>
      <c r="G3621" s="102">
        <f t="shared" ca="1" si="60"/>
        <v>-4.4989441813519743E-2</v>
      </c>
    </row>
    <row r="3622" spans="6:7" x14ac:dyDescent="0.35">
      <c r="F3622">
        <v>3617</v>
      </c>
      <c r="G3622" s="102">
        <f t="shared" ca="1" si="60"/>
        <v>-6.5367616567830023E-2</v>
      </c>
    </row>
    <row r="3623" spans="6:7" x14ac:dyDescent="0.35">
      <c r="F3623">
        <v>3618</v>
      </c>
      <c r="G3623" s="102">
        <f t="shared" ca="1" si="60"/>
        <v>-2.7891500668349254E-2</v>
      </c>
    </row>
    <row r="3624" spans="6:7" x14ac:dyDescent="0.35">
      <c r="F3624">
        <v>3619</v>
      </c>
      <c r="G3624" s="102">
        <f t="shared" ca="1" si="60"/>
        <v>-0.20100930227216648</v>
      </c>
    </row>
    <row r="3625" spans="6:7" x14ac:dyDescent="0.35">
      <c r="F3625">
        <v>3620</v>
      </c>
      <c r="G3625" s="102">
        <f t="shared" ca="1" si="60"/>
        <v>4.4828813420307992E-2</v>
      </c>
    </row>
    <row r="3626" spans="6:7" x14ac:dyDescent="0.35">
      <c r="F3626">
        <v>3621</v>
      </c>
      <c r="G3626" s="102">
        <f t="shared" ca="1" si="60"/>
        <v>3.6180460968339906E-2</v>
      </c>
    </row>
    <row r="3627" spans="6:7" x14ac:dyDescent="0.35">
      <c r="F3627">
        <v>3622</v>
      </c>
      <c r="G3627" s="102">
        <f t="shared" ca="1" si="60"/>
        <v>-0.11775281898539444</v>
      </c>
    </row>
    <row r="3628" spans="6:7" x14ac:dyDescent="0.35">
      <c r="F3628">
        <v>3623</v>
      </c>
      <c r="G3628" s="102">
        <f t="shared" ca="1" si="60"/>
        <v>-1.797850501473864E-2</v>
      </c>
    </row>
    <row r="3629" spans="6:7" x14ac:dyDescent="0.35">
      <c r="F3629">
        <v>3624</v>
      </c>
      <c r="G3629" s="102">
        <f t="shared" ca="1" si="60"/>
        <v>-9.8403628370303448E-2</v>
      </c>
    </row>
    <row r="3630" spans="6:7" x14ac:dyDescent="0.35">
      <c r="F3630">
        <v>3625</v>
      </c>
      <c r="G3630" s="102">
        <f t="shared" ca="1" si="60"/>
        <v>8.8781626671644298E-2</v>
      </c>
    </row>
    <row r="3631" spans="6:7" x14ac:dyDescent="0.35">
      <c r="F3631">
        <v>3626</v>
      </c>
      <c r="G3631" s="102">
        <f t="shared" ca="1" si="60"/>
        <v>-5.3847176750176475E-3</v>
      </c>
    </row>
    <row r="3632" spans="6:7" x14ac:dyDescent="0.35">
      <c r="F3632">
        <v>3627</v>
      </c>
      <c r="G3632" s="102">
        <f t="shared" ca="1" si="60"/>
        <v>-5.3247073691341684E-2</v>
      </c>
    </row>
    <row r="3633" spans="6:7" x14ac:dyDescent="0.35">
      <c r="F3633">
        <v>3628</v>
      </c>
      <c r="G3633" s="102">
        <f t="shared" ca="1" si="60"/>
        <v>6.157577333870777E-2</v>
      </c>
    </row>
    <row r="3634" spans="6:7" x14ac:dyDescent="0.35">
      <c r="F3634">
        <v>3629</v>
      </c>
      <c r="G3634" s="102">
        <f t="shared" ca="1" si="60"/>
        <v>-7.9355079839923348E-2</v>
      </c>
    </row>
    <row r="3635" spans="6:7" x14ac:dyDescent="0.35">
      <c r="F3635">
        <v>3630</v>
      </c>
      <c r="G3635" s="102">
        <f t="shared" ca="1" si="60"/>
        <v>-9.7413763219831827E-3</v>
      </c>
    </row>
    <row r="3636" spans="6:7" x14ac:dyDescent="0.35">
      <c r="F3636">
        <v>3631</v>
      </c>
      <c r="G3636" s="102">
        <f t="shared" ca="1" si="60"/>
        <v>-7.8935621988283945E-3</v>
      </c>
    </row>
    <row r="3637" spans="6:7" x14ac:dyDescent="0.35">
      <c r="F3637">
        <v>3632</v>
      </c>
      <c r="G3637" s="102">
        <f t="shared" ca="1" si="60"/>
        <v>4.5964201566685237E-2</v>
      </c>
    </row>
    <row r="3638" spans="6:7" x14ac:dyDescent="0.35">
      <c r="F3638">
        <v>3633</v>
      </c>
      <c r="G3638" s="102">
        <f t="shared" ca="1" si="60"/>
        <v>-4.4809697060493883E-2</v>
      </c>
    </row>
    <row r="3639" spans="6:7" x14ac:dyDescent="0.35">
      <c r="F3639">
        <v>3634</v>
      </c>
      <c r="G3639" s="102">
        <f t="shared" ca="1" si="60"/>
        <v>-9.4629504211343557E-2</v>
      </c>
    </row>
    <row r="3640" spans="6:7" x14ac:dyDescent="0.35">
      <c r="F3640">
        <v>3635</v>
      </c>
      <c r="G3640" s="102">
        <f t="shared" ca="1" si="60"/>
        <v>-0.1584980109446372</v>
      </c>
    </row>
    <row r="3641" spans="6:7" x14ac:dyDescent="0.35">
      <c r="F3641">
        <v>3636</v>
      </c>
      <c r="G3641" s="102">
        <f t="shared" ca="1" si="60"/>
        <v>-7.8680138599452817E-2</v>
      </c>
    </row>
    <row r="3642" spans="6:7" x14ac:dyDescent="0.35">
      <c r="F3642">
        <v>3637</v>
      </c>
      <c r="G3642" s="102">
        <f t="shared" ca="1" si="60"/>
        <v>5.3831412807589643E-2</v>
      </c>
    </row>
    <row r="3643" spans="6:7" x14ac:dyDescent="0.35">
      <c r="F3643">
        <v>3638</v>
      </c>
      <c r="G3643" s="102">
        <f t="shared" ca="1" si="60"/>
        <v>-5.2657244448438237E-2</v>
      </c>
    </row>
    <row r="3644" spans="6:7" x14ac:dyDescent="0.35">
      <c r="F3644">
        <v>3639</v>
      </c>
      <c r="G3644" s="102">
        <f t="shared" ca="1" si="60"/>
        <v>6.8034213364142629E-2</v>
      </c>
    </row>
    <row r="3645" spans="6:7" x14ac:dyDescent="0.35">
      <c r="F3645">
        <v>3640</v>
      </c>
      <c r="G3645" s="102">
        <f t="shared" ca="1" si="60"/>
        <v>-8.4846057730634666E-2</v>
      </c>
    </row>
    <row r="3646" spans="6:7" x14ac:dyDescent="0.35">
      <c r="F3646">
        <v>3641</v>
      </c>
      <c r="G3646" s="102">
        <f t="shared" ca="1" si="60"/>
        <v>-4.6150883005924626E-2</v>
      </c>
    </row>
    <row r="3647" spans="6:7" x14ac:dyDescent="0.35">
      <c r="F3647">
        <v>3642</v>
      </c>
      <c r="G3647" s="102">
        <f t="shared" ca="1" si="60"/>
        <v>0.11061931330287943</v>
      </c>
    </row>
    <row r="3648" spans="6:7" x14ac:dyDescent="0.35">
      <c r="F3648">
        <v>3643</v>
      </c>
      <c r="G3648" s="102">
        <f t="shared" ca="1" si="60"/>
        <v>2.8870996974048147E-2</v>
      </c>
    </row>
    <row r="3649" spans="6:7" x14ac:dyDescent="0.35">
      <c r="F3649">
        <v>3644</v>
      </c>
      <c r="G3649" s="102">
        <f t="shared" ca="1" si="60"/>
        <v>-1.0359392194825838E-2</v>
      </c>
    </row>
    <row r="3650" spans="6:7" x14ac:dyDescent="0.35">
      <c r="F3650">
        <v>3645</v>
      </c>
      <c r="G3650" s="102">
        <f t="shared" ca="1" si="60"/>
        <v>1.8435822778504942E-2</v>
      </c>
    </row>
    <row r="3651" spans="6:7" x14ac:dyDescent="0.35">
      <c r="F3651">
        <v>3646</v>
      </c>
      <c r="G3651" s="102">
        <f t="shared" ca="1" si="60"/>
        <v>-2.1856413178526306E-2</v>
      </c>
    </row>
    <row r="3652" spans="6:7" x14ac:dyDescent="0.35">
      <c r="F3652">
        <v>3647</v>
      </c>
      <c r="G3652" s="102">
        <f t="shared" ca="1" si="60"/>
        <v>3.0272581947906493E-2</v>
      </c>
    </row>
    <row r="3653" spans="6:7" x14ac:dyDescent="0.35">
      <c r="F3653">
        <v>3648</v>
      </c>
      <c r="G3653" s="102">
        <f t="shared" ca="1" si="60"/>
        <v>-7.223708513797919E-2</v>
      </c>
    </row>
    <row r="3654" spans="6:7" x14ac:dyDescent="0.35">
      <c r="F3654">
        <v>3649</v>
      </c>
      <c r="G3654" s="102">
        <f t="shared" ca="1" si="60"/>
        <v>0.10946661982604827</v>
      </c>
    </row>
    <row r="3655" spans="6:7" x14ac:dyDescent="0.35">
      <c r="F3655">
        <v>3650</v>
      </c>
      <c r="G3655" s="102">
        <f t="shared" ref="G3655:G3718" ca="1" si="61">_xlfn.NORM.INV(RAND(),M$9,M$10)</f>
        <v>1.4867543675010284E-2</v>
      </c>
    </row>
    <row r="3656" spans="6:7" x14ac:dyDescent="0.35">
      <c r="F3656">
        <v>3651</v>
      </c>
      <c r="G3656" s="102">
        <f t="shared" ca="1" si="61"/>
        <v>1.5430120649448577E-2</v>
      </c>
    </row>
    <row r="3657" spans="6:7" x14ac:dyDescent="0.35">
      <c r="F3657">
        <v>3652</v>
      </c>
      <c r="G3657" s="102">
        <f t="shared" ca="1" si="61"/>
        <v>-3.7373723080074292E-2</v>
      </c>
    </row>
    <row r="3658" spans="6:7" x14ac:dyDescent="0.35">
      <c r="F3658">
        <v>3653</v>
      </c>
      <c r="G3658" s="102">
        <f t="shared" ca="1" si="61"/>
        <v>-2.2919585245114688E-2</v>
      </c>
    </row>
    <row r="3659" spans="6:7" x14ac:dyDescent="0.35">
      <c r="F3659">
        <v>3654</v>
      </c>
      <c r="G3659" s="102">
        <f t="shared" ca="1" si="61"/>
        <v>-0.10329825557667187</v>
      </c>
    </row>
    <row r="3660" spans="6:7" x14ac:dyDescent="0.35">
      <c r="F3660">
        <v>3655</v>
      </c>
      <c r="G3660" s="102">
        <f t="shared" ca="1" si="61"/>
        <v>-0.15866246055768349</v>
      </c>
    </row>
    <row r="3661" spans="6:7" x14ac:dyDescent="0.35">
      <c r="F3661">
        <v>3656</v>
      </c>
      <c r="G3661" s="102">
        <f t="shared" ca="1" si="61"/>
        <v>-9.4713530589779667E-3</v>
      </c>
    </row>
    <row r="3662" spans="6:7" x14ac:dyDescent="0.35">
      <c r="F3662">
        <v>3657</v>
      </c>
      <c r="G3662" s="102">
        <f t="shared" ca="1" si="61"/>
        <v>-3.87346918546557E-3</v>
      </c>
    </row>
    <row r="3663" spans="6:7" x14ac:dyDescent="0.35">
      <c r="F3663">
        <v>3658</v>
      </c>
      <c r="G3663" s="102">
        <f t="shared" ca="1" si="61"/>
        <v>-3.391796957920179E-2</v>
      </c>
    </row>
    <row r="3664" spans="6:7" x14ac:dyDescent="0.35">
      <c r="F3664">
        <v>3659</v>
      </c>
      <c r="G3664" s="102">
        <f t="shared" ca="1" si="61"/>
        <v>3.8803268730267342E-3</v>
      </c>
    </row>
    <row r="3665" spans="6:7" x14ac:dyDescent="0.35">
      <c r="F3665">
        <v>3660</v>
      </c>
      <c r="G3665" s="102">
        <f t="shared" ca="1" si="61"/>
        <v>3.2360007437098742E-2</v>
      </c>
    </row>
    <row r="3666" spans="6:7" x14ac:dyDescent="0.35">
      <c r="F3666">
        <v>3661</v>
      </c>
      <c r="G3666" s="102">
        <f t="shared" ca="1" si="61"/>
        <v>-1.1917175878466359E-2</v>
      </c>
    </row>
    <row r="3667" spans="6:7" x14ac:dyDescent="0.35">
      <c r="F3667">
        <v>3662</v>
      </c>
      <c r="G3667" s="102">
        <f t="shared" ca="1" si="61"/>
        <v>0.10013514205217645</v>
      </c>
    </row>
    <row r="3668" spans="6:7" x14ac:dyDescent="0.35">
      <c r="F3668">
        <v>3663</v>
      </c>
      <c r="G3668" s="102">
        <f t="shared" ca="1" si="61"/>
        <v>-4.556628210642287E-2</v>
      </c>
    </row>
    <row r="3669" spans="6:7" x14ac:dyDescent="0.35">
      <c r="F3669">
        <v>3664</v>
      </c>
      <c r="G3669" s="102">
        <f t="shared" ca="1" si="61"/>
        <v>-1.051996801179296E-3</v>
      </c>
    </row>
    <row r="3670" spans="6:7" x14ac:dyDescent="0.35">
      <c r="F3670">
        <v>3665</v>
      </c>
      <c r="G3670" s="102">
        <f t="shared" ca="1" si="61"/>
        <v>5.5104911189032026E-3</v>
      </c>
    </row>
    <row r="3671" spans="6:7" x14ac:dyDescent="0.35">
      <c r="F3671">
        <v>3666</v>
      </c>
      <c r="G3671" s="102">
        <f t="shared" ca="1" si="61"/>
        <v>3.7576697119959271E-2</v>
      </c>
    </row>
    <row r="3672" spans="6:7" x14ac:dyDescent="0.35">
      <c r="F3672">
        <v>3667</v>
      </c>
      <c r="G3672" s="102">
        <f t="shared" ca="1" si="61"/>
        <v>-3.1145714989803008E-2</v>
      </c>
    </row>
    <row r="3673" spans="6:7" x14ac:dyDescent="0.35">
      <c r="F3673">
        <v>3668</v>
      </c>
      <c r="G3673" s="102">
        <f t="shared" ca="1" si="61"/>
        <v>0.13040913939521401</v>
      </c>
    </row>
    <row r="3674" spans="6:7" x14ac:dyDescent="0.35">
      <c r="F3674">
        <v>3669</v>
      </c>
      <c r="G3674" s="102">
        <f t="shared" ca="1" si="61"/>
        <v>-8.4652999336598617E-2</v>
      </c>
    </row>
    <row r="3675" spans="6:7" x14ac:dyDescent="0.35">
      <c r="F3675">
        <v>3670</v>
      </c>
      <c r="G3675" s="102">
        <f t="shared" ca="1" si="61"/>
        <v>6.6884168463012192E-2</v>
      </c>
    </row>
    <row r="3676" spans="6:7" x14ac:dyDescent="0.35">
      <c r="F3676">
        <v>3671</v>
      </c>
      <c r="G3676" s="102">
        <f t="shared" ca="1" si="61"/>
        <v>-4.3130254066800669E-2</v>
      </c>
    </row>
    <row r="3677" spans="6:7" x14ac:dyDescent="0.35">
      <c r="F3677">
        <v>3672</v>
      </c>
      <c r="G3677" s="102">
        <f t="shared" ca="1" si="61"/>
        <v>-9.84296059693614E-2</v>
      </c>
    </row>
    <row r="3678" spans="6:7" x14ac:dyDescent="0.35">
      <c r="F3678">
        <v>3673</v>
      </c>
      <c r="G3678" s="102">
        <f t="shared" ca="1" si="61"/>
        <v>-4.0645747832791221E-2</v>
      </c>
    </row>
    <row r="3679" spans="6:7" x14ac:dyDescent="0.35">
      <c r="F3679">
        <v>3674</v>
      </c>
      <c r="G3679" s="102">
        <f t="shared" ca="1" si="61"/>
        <v>-1.6417237666537479E-2</v>
      </c>
    </row>
    <row r="3680" spans="6:7" x14ac:dyDescent="0.35">
      <c r="F3680">
        <v>3675</v>
      </c>
      <c r="G3680" s="102">
        <f t="shared" ca="1" si="61"/>
        <v>-2.8204059930090411E-2</v>
      </c>
    </row>
    <row r="3681" spans="6:7" x14ac:dyDescent="0.35">
      <c r="F3681">
        <v>3676</v>
      </c>
      <c r="G3681" s="102">
        <f t="shared" ca="1" si="61"/>
        <v>-1.0977140138081463E-2</v>
      </c>
    </row>
    <row r="3682" spans="6:7" x14ac:dyDescent="0.35">
      <c r="F3682">
        <v>3677</v>
      </c>
      <c r="G3682" s="102">
        <f t="shared" ca="1" si="61"/>
        <v>-9.5643340865734228E-2</v>
      </c>
    </row>
    <row r="3683" spans="6:7" x14ac:dyDescent="0.35">
      <c r="F3683">
        <v>3678</v>
      </c>
      <c r="G3683" s="102">
        <f t="shared" ca="1" si="61"/>
        <v>2.2302403374286666E-2</v>
      </c>
    </row>
    <row r="3684" spans="6:7" x14ac:dyDescent="0.35">
      <c r="F3684">
        <v>3679</v>
      </c>
      <c r="G3684" s="102">
        <f t="shared" ca="1" si="61"/>
        <v>-3.1533076225600744E-3</v>
      </c>
    </row>
    <row r="3685" spans="6:7" x14ac:dyDescent="0.35">
      <c r="F3685">
        <v>3680</v>
      </c>
      <c r="G3685" s="102">
        <f t="shared" ca="1" si="61"/>
        <v>3.7925722555437573E-3</v>
      </c>
    </row>
    <row r="3686" spans="6:7" x14ac:dyDescent="0.35">
      <c r="F3686">
        <v>3681</v>
      </c>
      <c r="G3686" s="102">
        <f t="shared" ca="1" si="61"/>
        <v>4.1468788727847553E-2</v>
      </c>
    </row>
    <row r="3687" spans="6:7" x14ac:dyDescent="0.35">
      <c r="F3687">
        <v>3682</v>
      </c>
      <c r="G3687" s="102">
        <f t="shared" ca="1" si="61"/>
        <v>4.0448925759749163E-2</v>
      </c>
    </row>
    <row r="3688" spans="6:7" x14ac:dyDescent="0.35">
      <c r="F3688">
        <v>3683</v>
      </c>
      <c r="G3688" s="102">
        <f t="shared" ca="1" si="61"/>
        <v>0.13440122974162799</v>
      </c>
    </row>
    <row r="3689" spans="6:7" x14ac:dyDescent="0.35">
      <c r="F3689">
        <v>3684</v>
      </c>
      <c r="G3689" s="102">
        <f t="shared" ca="1" si="61"/>
        <v>2.8424225814745064E-3</v>
      </c>
    </row>
    <row r="3690" spans="6:7" x14ac:dyDescent="0.35">
      <c r="F3690">
        <v>3685</v>
      </c>
      <c r="G3690" s="102">
        <f t="shared" ca="1" si="61"/>
        <v>-7.7748717676555612E-2</v>
      </c>
    </row>
    <row r="3691" spans="6:7" x14ac:dyDescent="0.35">
      <c r="F3691">
        <v>3686</v>
      </c>
      <c r="G3691" s="102">
        <f t="shared" ca="1" si="61"/>
        <v>-0.11866996544914098</v>
      </c>
    </row>
    <row r="3692" spans="6:7" x14ac:dyDescent="0.35">
      <c r="F3692">
        <v>3687</v>
      </c>
      <c r="G3692" s="102">
        <f t="shared" ca="1" si="61"/>
        <v>5.6521923062480828E-2</v>
      </c>
    </row>
    <row r="3693" spans="6:7" x14ac:dyDescent="0.35">
      <c r="F3693">
        <v>3688</v>
      </c>
      <c r="G3693" s="102">
        <f t="shared" ca="1" si="61"/>
        <v>4.7589174454998467E-2</v>
      </c>
    </row>
    <row r="3694" spans="6:7" x14ac:dyDescent="0.35">
      <c r="F3694">
        <v>3689</v>
      </c>
      <c r="G3694" s="102">
        <f t="shared" ca="1" si="61"/>
        <v>3.0282015312473449E-2</v>
      </c>
    </row>
    <row r="3695" spans="6:7" x14ac:dyDescent="0.35">
      <c r="F3695">
        <v>3690</v>
      </c>
      <c r="G3695" s="102">
        <f t="shared" ca="1" si="61"/>
        <v>-4.1714215144120631E-2</v>
      </c>
    </row>
    <row r="3696" spans="6:7" x14ac:dyDescent="0.35">
      <c r="F3696">
        <v>3691</v>
      </c>
      <c r="G3696" s="102">
        <f t="shared" ca="1" si="61"/>
        <v>4.8334971657659778E-2</v>
      </c>
    </row>
    <row r="3697" spans="6:7" x14ac:dyDescent="0.35">
      <c r="F3697">
        <v>3692</v>
      </c>
      <c r="G3697" s="102">
        <f t="shared" ca="1" si="61"/>
        <v>-6.1564427472137806E-2</v>
      </c>
    </row>
    <row r="3698" spans="6:7" x14ac:dyDescent="0.35">
      <c r="F3698">
        <v>3693</v>
      </c>
      <c r="G3698" s="102">
        <f t="shared" ca="1" si="61"/>
        <v>-6.4118995679045415E-2</v>
      </c>
    </row>
    <row r="3699" spans="6:7" x14ac:dyDescent="0.35">
      <c r="F3699">
        <v>3694</v>
      </c>
      <c r="G3699" s="102">
        <f t="shared" ca="1" si="61"/>
        <v>-5.0541152237851633E-2</v>
      </c>
    </row>
    <row r="3700" spans="6:7" x14ac:dyDescent="0.35">
      <c r="F3700">
        <v>3695</v>
      </c>
      <c r="G3700" s="102">
        <f t="shared" ca="1" si="61"/>
        <v>8.2644312461606709E-3</v>
      </c>
    </row>
    <row r="3701" spans="6:7" x14ac:dyDescent="0.35">
      <c r="F3701">
        <v>3696</v>
      </c>
      <c r="G3701" s="102">
        <f t="shared" ca="1" si="61"/>
        <v>3.2471999742389027E-2</v>
      </c>
    </row>
    <row r="3702" spans="6:7" x14ac:dyDescent="0.35">
      <c r="F3702">
        <v>3697</v>
      </c>
      <c r="G3702" s="102">
        <f t="shared" ca="1" si="61"/>
        <v>-0.12723691065016374</v>
      </c>
    </row>
    <row r="3703" spans="6:7" x14ac:dyDescent="0.35">
      <c r="F3703">
        <v>3698</v>
      </c>
      <c r="G3703" s="102">
        <f t="shared" ca="1" si="61"/>
        <v>4.4217190529247191E-2</v>
      </c>
    </row>
    <row r="3704" spans="6:7" x14ac:dyDescent="0.35">
      <c r="F3704">
        <v>3699</v>
      </c>
      <c r="G3704" s="102">
        <f t="shared" ca="1" si="61"/>
        <v>-6.1558854675894711E-2</v>
      </c>
    </row>
    <row r="3705" spans="6:7" x14ac:dyDescent="0.35">
      <c r="F3705">
        <v>3700</v>
      </c>
      <c r="G3705" s="102">
        <f t="shared" ca="1" si="61"/>
        <v>-5.8982033553761663E-3</v>
      </c>
    </row>
    <row r="3706" spans="6:7" x14ac:dyDescent="0.35">
      <c r="F3706">
        <v>3701</v>
      </c>
      <c r="G3706" s="102">
        <f t="shared" ca="1" si="61"/>
        <v>0.14736575187785633</v>
      </c>
    </row>
    <row r="3707" spans="6:7" x14ac:dyDescent="0.35">
      <c r="F3707">
        <v>3702</v>
      </c>
      <c r="G3707" s="102">
        <f t="shared" ca="1" si="61"/>
        <v>1.2284431737777379E-2</v>
      </c>
    </row>
    <row r="3708" spans="6:7" x14ac:dyDescent="0.35">
      <c r="F3708">
        <v>3703</v>
      </c>
      <c r="G3708" s="102">
        <f t="shared" ca="1" si="61"/>
        <v>2.6398563137453358E-2</v>
      </c>
    </row>
    <row r="3709" spans="6:7" x14ac:dyDescent="0.35">
      <c r="F3709">
        <v>3704</v>
      </c>
      <c r="G3709" s="102">
        <f t="shared" ca="1" si="61"/>
        <v>-9.9061797803713394E-2</v>
      </c>
    </row>
    <row r="3710" spans="6:7" x14ac:dyDescent="0.35">
      <c r="F3710">
        <v>3705</v>
      </c>
      <c r="G3710" s="102">
        <f t="shared" ca="1" si="61"/>
        <v>-1.3326526810996282E-2</v>
      </c>
    </row>
    <row r="3711" spans="6:7" x14ac:dyDescent="0.35">
      <c r="F3711">
        <v>3706</v>
      </c>
      <c r="G3711" s="102">
        <f t="shared" ca="1" si="61"/>
        <v>0.13367698015340743</v>
      </c>
    </row>
    <row r="3712" spans="6:7" x14ac:dyDescent="0.35">
      <c r="F3712">
        <v>3707</v>
      </c>
      <c r="G3712" s="102">
        <f t="shared" ca="1" si="61"/>
        <v>-6.8235929715951105E-2</v>
      </c>
    </row>
    <row r="3713" spans="6:7" x14ac:dyDescent="0.35">
      <c r="F3713">
        <v>3708</v>
      </c>
      <c r="G3713" s="102">
        <f t="shared" ca="1" si="61"/>
        <v>9.6155477585572417E-3</v>
      </c>
    </row>
    <row r="3714" spans="6:7" x14ac:dyDescent="0.35">
      <c r="F3714">
        <v>3709</v>
      </c>
      <c r="G3714" s="102">
        <f t="shared" ca="1" si="61"/>
        <v>-6.491500937856115E-2</v>
      </c>
    </row>
    <row r="3715" spans="6:7" x14ac:dyDescent="0.35">
      <c r="F3715">
        <v>3710</v>
      </c>
      <c r="G3715" s="102">
        <f t="shared" ca="1" si="61"/>
        <v>3.5992629795772807E-2</v>
      </c>
    </row>
    <row r="3716" spans="6:7" x14ac:dyDescent="0.35">
      <c r="F3716">
        <v>3711</v>
      </c>
      <c r="G3716" s="102">
        <f t="shared" ca="1" si="61"/>
        <v>6.7077792199082983E-2</v>
      </c>
    </row>
    <row r="3717" spans="6:7" x14ac:dyDescent="0.35">
      <c r="F3717">
        <v>3712</v>
      </c>
      <c r="G3717" s="102">
        <f t="shared" ca="1" si="61"/>
        <v>7.4595364990762483E-2</v>
      </c>
    </row>
    <row r="3718" spans="6:7" x14ac:dyDescent="0.35">
      <c r="F3718">
        <v>3713</v>
      </c>
      <c r="G3718" s="102">
        <f t="shared" ca="1" si="61"/>
        <v>-2.2696655767694713E-2</v>
      </c>
    </row>
    <row r="3719" spans="6:7" x14ac:dyDescent="0.35">
      <c r="F3719">
        <v>3714</v>
      </c>
      <c r="G3719" s="102">
        <f t="shared" ref="G3719:G3782" ca="1" si="62">_xlfn.NORM.INV(RAND(),M$9,M$10)</f>
        <v>-1.8260267522122439E-2</v>
      </c>
    </row>
    <row r="3720" spans="6:7" x14ac:dyDescent="0.35">
      <c r="F3720">
        <v>3715</v>
      </c>
      <c r="G3720" s="102">
        <f t="shared" ca="1" si="62"/>
        <v>7.7721334743618128E-2</v>
      </c>
    </row>
    <row r="3721" spans="6:7" x14ac:dyDescent="0.35">
      <c r="F3721">
        <v>3716</v>
      </c>
      <c r="G3721" s="102">
        <f t="shared" ca="1" si="62"/>
        <v>-9.7279898932444334E-2</v>
      </c>
    </row>
    <row r="3722" spans="6:7" x14ac:dyDescent="0.35">
      <c r="F3722">
        <v>3717</v>
      </c>
      <c r="G3722" s="102">
        <f t="shared" ca="1" si="62"/>
        <v>-2.9824583962067181E-2</v>
      </c>
    </row>
    <row r="3723" spans="6:7" x14ac:dyDescent="0.35">
      <c r="F3723">
        <v>3718</v>
      </c>
      <c r="G3723" s="102">
        <f t="shared" ca="1" si="62"/>
        <v>5.6965652783076609E-2</v>
      </c>
    </row>
    <row r="3724" spans="6:7" x14ac:dyDescent="0.35">
      <c r="F3724">
        <v>3719</v>
      </c>
      <c r="G3724" s="102">
        <f t="shared" ca="1" si="62"/>
        <v>-6.8587645099515301E-2</v>
      </c>
    </row>
    <row r="3725" spans="6:7" x14ac:dyDescent="0.35">
      <c r="F3725">
        <v>3720</v>
      </c>
      <c r="G3725" s="102">
        <f t="shared" ca="1" si="62"/>
        <v>-4.9587076737839006E-2</v>
      </c>
    </row>
    <row r="3726" spans="6:7" x14ac:dyDescent="0.35">
      <c r="F3726">
        <v>3721</v>
      </c>
      <c r="G3726" s="102">
        <f t="shared" ca="1" si="62"/>
        <v>7.4630451535969644E-2</v>
      </c>
    </row>
    <row r="3727" spans="6:7" x14ac:dyDescent="0.35">
      <c r="F3727">
        <v>3722</v>
      </c>
      <c r="G3727" s="102">
        <f t="shared" ca="1" si="62"/>
        <v>-2.2009119207060932E-2</v>
      </c>
    </row>
    <row r="3728" spans="6:7" x14ac:dyDescent="0.35">
      <c r="F3728">
        <v>3723</v>
      </c>
      <c r="G3728" s="102">
        <f t="shared" ca="1" si="62"/>
        <v>-2.9188224727157704E-2</v>
      </c>
    </row>
    <row r="3729" spans="6:7" x14ac:dyDescent="0.35">
      <c r="F3729">
        <v>3724</v>
      </c>
      <c r="G3729" s="102">
        <f t="shared" ca="1" si="62"/>
        <v>3.0309345263553857E-2</v>
      </c>
    </row>
    <row r="3730" spans="6:7" x14ac:dyDescent="0.35">
      <c r="F3730">
        <v>3725</v>
      </c>
      <c r="G3730" s="102">
        <f t="shared" ca="1" si="62"/>
        <v>2.3550839186823984E-2</v>
      </c>
    </row>
    <row r="3731" spans="6:7" x14ac:dyDescent="0.35">
      <c r="F3731">
        <v>3726</v>
      </c>
      <c r="G3731" s="102">
        <f t="shared" ca="1" si="62"/>
        <v>-0.11540641444661422</v>
      </c>
    </row>
    <row r="3732" spans="6:7" x14ac:dyDescent="0.35">
      <c r="F3732">
        <v>3727</v>
      </c>
      <c r="G3732" s="102">
        <f t="shared" ca="1" si="62"/>
        <v>9.0805042743477254E-2</v>
      </c>
    </row>
    <row r="3733" spans="6:7" x14ac:dyDescent="0.35">
      <c r="F3733">
        <v>3728</v>
      </c>
      <c r="G3733" s="102">
        <f t="shared" ca="1" si="62"/>
        <v>5.5658777849873234E-2</v>
      </c>
    </row>
    <row r="3734" spans="6:7" x14ac:dyDescent="0.35">
      <c r="F3734">
        <v>3729</v>
      </c>
      <c r="G3734" s="102">
        <f t="shared" ca="1" si="62"/>
        <v>-9.9597572565543843E-2</v>
      </c>
    </row>
    <row r="3735" spans="6:7" x14ac:dyDescent="0.35">
      <c r="F3735">
        <v>3730</v>
      </c>
      <c r="G3735" s="102">
        <f t="shared" ca="1" si="62"/>
        <v>-3.8451765931741877E-2</v>
      </c>
    </row>
    <row r="3736" spans="6:7" x14ac:dyDescent="0.35">
      <c r="F3736">
        <v>3731</v>
      </c>
      <c r="G3736" s="102">
        <f t="shared" ca="1" si="62"/>
        <v>4.5314290829619089E-2</v>
      </c>
    </row>
    <row r="3737" spans="6:7" x14ac:dyDescent="0.35">
      <c r="F3737">
        <v>3732</v>
      </c>
      <c r="G3737" s="102">
        <f t="shared" ca="1" si="62"/>
        <v>2.1496648798651668E-3</v>
      </c>
    </row>
    <row r="3738" spans="6:7" x14ac:dyDescent="0.35">
      <c r="F3738">
        <v>3733</v>
      </c>
      <c r="G3738" s="102">
        <f t="shared" ca="1" si="62"/>
        <v>2.454734022955222E-3</v>
      </c>
    </row>
    <row r="3739" spans="6:7" x14ac:dyDescent="0.35">
      <c r="F3739">
        <v>3734</v>
      </c>
      <c r="G3739" s="102">
        <f t="shared" ca="1" si="62"/>
        <v>4.4175238237561948E-2</v>
      </c>
    </row>
    <row r="3740" spans="6:7" x14ac:dyDescent="0.35">
      <c r="F3740">
        <v>3735</v>
      </c>
      <c r="G3740" s="102">
        <f t="shared" ca="1" si="62"/>
        <v>3.1457767466624764E-2</v>
      </c>
    </row>
    <row r="3741" spans="6:7" x14ac:dyDescent="0.35">
      <c r="F3741">
        <v>3736</v>
      </c>
      <c r="G3741" s="102">
        <f t="shared" ca="1" si="62"/>
        <v>-9.5825071965765698E-3</v>
      </c>
    </row>
    <row r="3742" spans="6:7" x14ac:dyDescent="0.35">
      <c r="F3742">
        <v>3737</v>
      </c>
      <c r="G3742" s="102">
        <f t="shared" ca="1" si="62"/>
        <v>3.3443585440059403E-2</v>
      </c>
    </row>
    <row r="3743" spans="6:7" x14ac:dyDescent="0.35">
      <c r="F3743">
        <v>3738</v>
      </c>
      <c r="G3743" s="102">
        <f t="shared" ca="1" si="62"/>
        <v>-4.6736758176924853E-2</v>
      </c>
    </row>
    <row r="3744" spans="6:7" x14ac:dyDescent="0.35">
      <c r="F3744">
        <v>3739</v>
      </c>
      <c r="G3744" s="102">
        <f t="shared" ca="1" si="62"/>
        <v>8.4384410111410291E-2</v>
      </c>
    </row>
    <row r="3745" spans="6:7" x14ac:dyDescent="0.35">
      <c r="F3745">
        <v>3740</v>
      </c>
      <c r="G3745" s="102">
        <f t="shared" ca="1" si="62"/>
        <v>6.0597215787965744E-2</v>
      </c>
    </row>
    <row r="3746" spans="6:7" x14ac:dyDescent="0.35">
      <c r="F3746">
        <v>3741</v>
      </c>
      <c r="G3746" s="102">
        <f t="shared" ca="1" si="62"/>
        <v>3.0930199513698988E-2</v>
      </c>
    </row>
    <row r="3747" spans="6:7" x14ac:dyDescent="0.35">
      <c r="F3747">
        <v>3742</v>
      </c>
      <c r="G3747" s="102">
        <f t="shared" ca="1" si="62"/>
        <v>-6.2086756708321145E-2</v>
      </c>
    </row>
    <row r="3748" spans="6:7" x14ac:dyDescent="0.35">
      <c r="F3748">
        <v>3743</v>
      </c>
      <c r="G3748" s="102">
        <f t="shared" ca="1" si="62"/>
        <v>-4.4061855229238056E-2</v>
      </c>
    </row>
    <row r="3749" spans="6:7" x14ac:dyDescent="0.35">
      <c r="F3749">
        <v>3744</v>
      </c>
      <c r="G3749" s="102">
        <f t="shared" ca="1" si="62"/>
        <v>-4.0337175552961999E-2</v>
      </c>
    </row>
    <row r="3750" spans="6:7" x14ac:dyDescent="0.35">
      <c r="F3750">
        <v>3745</v>
      </c>
      <c r="G3750" s="102">
        <f t="shared" ca="1" si="62"/>
        <v>-5.2929888490557048E-2</v>
      </c>
    </row>
    <row r="3751" spans="6:7" x14ac:dyDescent="0.35">
      <c r="F3751">
        <v>3746</v>
      </c>
      <c r="G3751" s="102">
        <f t="shared" ca="1" si="62"/>
        <v>-4.1183977295003744E-3</v>
      </c>
    </row>
    <row r="3752" spans="6:7" x14ac:dyDescent="0.35">
      <c r="F3752">
        <v>3747</v>
      </c>
      <c r="G3752" s="102">
        <f t="shared" ca="1" si="62"/>
        <v>-0.12028788821086379</v>
      </c>
    </row>
    <row r="3753" spans="6:7" x14ac:dyDescent="0.35">
      <c r="F3753">
        <v>3748</v>
      </c>
      <c r="G3753" s="102">
        <f t="shared" ca="1" si="62"/>
        <v>-4.0622049530065527E-2</v>
      </c>
    </row>
    <row r="3754" spans="6:7" x14ac:dyDescent="0.35">
      <c r="F3754">
        <v>3749</v>
      </c>
      <c r="G3754" s="102">
        <f t="shared" ca="1" si="62"/>
        <v>-0.16082767152337457</v>
      </c>
    </row>
    <row r="3755" spans="6:7" x14ac:dyDescent="0.35">
      <c r="F3755">
        <v>3750</v>
      </c>
      <c r="G3755" s="102">
        <f t="shared" ca="1" si="62"/>
        <v>5.4742091235062573E-2</v>
      </c>
    </row>
    <row r="3756" spans="6:7" x14ac:dyDescent="0.35">
      <c r="F3756">
        <v>3751</v>
      </c>
      <c r="G3756" s="102">
        <f t="shared" ca="1" si="62"/>
        <v>-5.8724164081132624E-2</v>
      </c>
    </row>
    <row r="3757" spans="6:7" x14ac:dyDescent="0.35">
      <c r="F3757">
        <v>3752</v>
      </c>
      <c r="G3757" s="102">
        <f t="shared" ca="1" si="62"/>
        <v>-0.10278606626884522</v>
      </c>
    </row>
    <row r="3758" spans="6:7" x14ac:dyDescent="0.35">
      <c r="F3758">
        <v>3753</v>
      </c>
      <c r="G3758" s="102">
        <f t="shared" ca="1" si="62"/>
        <v>-5.6838109238811607E-2</v>
      </c>
    </row>
    <row r="3759" spans="6:7" x14ac:dyDescent="0.35">
      <c r="F3759">
        <v>3754</v>
      </c>
      <c r="G3759" s="102">
        <f t="shared" ca="1" si="62"/>
        <v>7.2462044095953124E-2</v>
      </c>
    </row>
    <row r="3760" spans="6:7" x14ac:dyDescent="0.35">
      <c r="F3760">
        <v>3755</v>
      </c>
      <c r="G3760" s="102">
        <f t="shared" ca="1" si="62"/>
        <v>2.2898210362214632E-2</v>
      </c>
    </row>
    <row r="3761" spans="6:7" x14ac:dyDescent="0.35">
      <c r="F3761">
        <v>3756</v>
      </c>
      <c r="G3761" s="102">
        <f t="shared" ca="1" si="62"/>
        <v>8.4030909200382801E-3</v>
      </c>
    </row>
    <row r="3762" spans="6:7" x14ac:dyDescent="0.35">
      <c r="F3762">
        <v>3757</v>
      </c>
      <c r="G3762" s="102">
        <f t="shared" ca="1" si="62"/>
        <v>8.7947852811292332E-2</v>
      </c>
    </row>
    <row r="3763" spans="6:7" x14ac:dyDescent="0.35">
      <c r="F3763">
        <v>3758</v>
      </c>
      <c r="G3763" s="102">
        <f t="shared" ca="1" si="62"/>
        <v>-3.6557867124992038E-2</v>
      </c>
    </row>
    <row r="3764" spans="6:7" x14ac:dyDescent="0.35">
      <c r="F3764">
        <v>3759</v>
      </c>
      <c r="G3764" s="102">
        <f t="shared" ca="1" si="62"/>
        <v>-3.0983060983996804E-2</v>
      </c>
    </row>
    <row r="3765" spans="6:7" x14ac:dyDescent="0.35">
      <c r="F3765">
        <v>3760</v>
      </c>
      <c r="G3765" s="102">
        <f t="shared" ca="1" si="62"/>
        <v>-0.10323235996204358</v>
      </c>
    </row>
    <row r="3766" spans="6:7" x14ac:dyDescent="0.35">
      <c r="F3766">
        <v>3761</v>
      </c>
      <c r="G3766" s="102">
        <f t="shared" ca="1" si="62"/>
        <v>8.1443450578735158E-2</v>
      </c>
    </row>
    <row r="3767" spans="6:7" x14ac:dyDescent="0.35">
      <c r="F3767">
        <v>3762</v>
      </c>
      <c r="G3767" s="102">
        <f t="shared" ca="1" si="62"/>
        <v>-3.8847048550683203E-2</v>
      </c>
    </row>
    <row r="3768" spans="6:7" x14ac:dyDescent="0.35">
      <c r="F3768">
        <v>3763</v>
      </c>
      <c r="G3768" s="102">
        <f t="shared" ca="1" si="62"/>
        <v>-1.2525437988055613E-2</v>
      </c>
    </row>
    <row r="3769" spans="6:7" x14ac:dyDescent="0.35">
      <c r="F3769">
        <v>3764</v>
      </c>
      <c r="G3769" s="102">
        <f t="shared" ca="1" si="62"/>
        <v>-3.5627707402668171E-2</v>
      </c>
    </row>
    <row r="3770" spans="6:7" x14ac:dyDescent="0.35">
      <c r="F3770">
        <v>3765</v>
      </c>
      <c r="G3770" s="102">
        <f t="shared" ca="1" si="62"/>
        <v>-2.7069913358085462E-2</v>
      </c>
    </row>
    <row r="3771" spans="6:7" x14ac:dyDescent="0.35">
      <c r="F3771">
        <v>3766</v>
      </c>
      <c r="G3771" s="102">
        <f t="shared" ca="1" si="62"/>
        <v>2.4681906655189392E-2</v>
      </c>
    </row>
    <row r="3772" spans="6:7" x14ac:dyDescent="0.35">
      <c r="F3772">
        <v>3767</v>
      </c>
      <c r="G3772" s="102">
        <f t="shared" ca="1" si="62"/>
        <v>-2.0880613103117302E-2</v>
      </c>
    </row>
    <row r="3773" spans="6:7" x14ac:dyDescent="0.35">
      <c r="F3773">
        <v>3768</v>
      </c>
      <c r="G3773" s="102">
        <f t="shared" ca="1" si="62"/>
        <v>-5.4641711176997454E-2</v>
      </c>
    </row>
    <row r="3774" spans="6:7" x14ac:dyDescent="0.35">
      <c r="F3774">
        <v>3769</v>
      </c>
      <c r="G3774" s="102">
        <f t="shared" ca="1" si="62"/>
        <v>6.3116054868224872E-2</v>
      </c>
    </row>
    <row r="3775" spans="6:7" x14ac:dyDescent="0.35">
      <c r="F3775">
        <v>3770</v>
      </c>
      <c r="G3775" s="102">
        <f t="shared" ca="1" si="62"/>
        <v>6.7574037861028058E-2</v>
      </c>
    </row>
    <row r="3776" spans="6:7" x14ac:dyDescent="0.35">
      <c r="F3776">
        <v>3771</v>
      </c>
      <c r="G3776" s="102">
        <f t="shared" ca="1" si="62"/>
        <v>6.483556494824308E-3</v>
      </c>
    </row>
    <row r="3777" spans="6:7" x14ac:dyDescent="0.35">
      <c r="F3777">
        <v>3772</v>
      </c>
      <c r="G3777" s="102">
        <f t="shared" ca="1" si="62"/>
        <v>0.1139047340783616</v>
      </c>
    </row>
    <row r="3778" spans="6:7" x14ac:dyDescent="0.35">
      <c r="F3778">
        <v>3773</v>
      </c>
      <c r="G3778" s="102">
        <f t="shared" ca="1" si="62"/>
        <v>-3.4138988120384781E-2</v>
      </c>
    </row>
    <row r="3779" spans="6:7" x14ac:dyDescent="0.35">
      <c r="F3779">
        <v>3774</v>
      </c>
      <c r="G3779" s="102">
        <f t="shared" ca="1" si="62"/>
        <v>-2.1361195075632632E-2</v>
      </c>
    </row>
    <row r="3780" spans="6:7" x14ac:dyDescent="0.35">
      <c r="F3780">
        <v>3775</v>
      </c>
      <c r="G3780" s="102">
        <f t="shared" ca="1" si="62"/>
        <v>-1.0507613753290138E-2</v>
      </c>
    </row>
    <row r="3781" spans="6:7" x14ac:dyDescent="0.35">
      <c r="F3781">
        <v>3776</v>
      </c>
      <c r="G3781" s="102">
        <f t="shared" ca="1" si="62"/>
        <v>-3.0644349650891849E-2</v>
      </c>
    </row>
    <row r="3782" spans="6:7" x14ac:dyDescent="0.35">
      <c r="F3782">
        <v>3777</v>
      </c>
      <c r="G3782" s="102">
        <f t="shared" ca="1" si="62"/>
        <v>5.8166196635830655E-2</v>
      </c>
    </row>
    <row r="3783" spans="6:7" x14ac:dyDescent="0.35">
      <c r="F3783">
        <v>3778</v>
      </c>
      <c r="G3783" s="102">
        <f t="shared" ref="G3783:G3846" ca="1" si="63">_xlfn.NORM.INV(RAND(),M$9,M$10)</f>
        <v>-6.0189010123535627E-2</v>
      </c>
    </row>
    <row r="3784" spans="6:7" x14ac:dyDescent="0.35">
      <c r="F3784">
        <v>3779</v>
      </c>
      <c r="G3784" s="102">
        <f t="shared" ca="1" si="63"/>
        <v>-1.2657814151000635E-2</v>
      </c>
    </row>
    <row r="3785" spans="6:7" x14ac:dyDescent="0.35">
      <c r="F3785">
        <v>3780</v>
      </c>
      <c r="G3785" s="102">
        <f t="shared" ca="1" si="63"/>
        <v>3.0705336246807321E-2</v>
      </c>
    </row>
    <row r="3786" spans="6:7" x14ac:dyDescent="0.35">
      <c r="F3786">
        <v>3781</v>
      </c>
      <c r="G3786" s="102">
        <f t="shared" ca="1" si="63"/>
        <v>2.6394021639141941E-2</v>
      </c>
    </row>
    <row r="3787" spans="6:7" x14ac:dyDescent="0.35">
      <c r="F3787">
        <v>3782</v>
      </c>
      <c r="G3787" s="102">
        <f t="shared" ca="1" si="63"/>
        <v>-8.2364291401306744E-2</v>
      </c>
    </row>
    <row r="3788" spans="6:7" x14ac:dyDescent="0.35">
      <c r="F3788">
        <v>3783</v>
      </c>
      <c r="G3788" s="102">
        <f t="shared" ca="1" si="63"/>
        <v>-2.9762042530241329E-2</v>
      </c>
    </row>
    <row r="3789" spans="6:7" x14ac:dyDescent="0.35">
      <c r="F3789">
        <v>3784</v>
      </c>
      <c r="G3789" s="102">
        <f t="shared" ca="1" si="63"/>
        <v>5.4636631784716005E-2</v>
      </c>
    </row>
    <row r="3790" spans="6:7" x14ac:dyDescent="0.35">
      <c r="F3790">
        <v>3785</v>
      </c>
      <c r="G3790" s="102">
        <f t="shared" ca="1" si="63"/>
        <v>6.3185395550491505E-2</v>
      </c>
    </row>
    <row r="3791" spans="6:7" x14ac:dyDescent="0.35">
      <c r="F3791">
        <v>3786</v>
      </c>
      <c r="G3791" s="102">
        <f t="shared" ca="1" si="63"/>
        <v>-5.5633628419732781E-2</v>
      </c>
    </row>
    <row r="3792" spans="6:7" x14ac:dyDescent="0.35">
      <c r="F3792">
        <v>3787</v>
      </c>
      <c r="G3792" s="102">
        <f t="shared" ca="1" si="63"/>
        <v>5.5131618746169231E-2</v>
      </c>
    </row>
    <row r="3793" spans="6:7" x14ac:dyDescent="0.35">
      <c r="F3793">
        <v>3788</v>
      </c>
      <c r="G3793" s="102">
        <f t="shared" ca="1" si="63"/>
        <v>-6.6939800311814138E-2</v>
      </c>
    </row>
    <row r="3794" spans="6:7" x14ac:dyDescent="0.35">
      <c r="F3794">
        <v>3789</v>
      </c>
      <c r="G3794" s="102">
        <f t="shared" ca="1" si="63"/>
        <v>3.9724698984428222E-2</v>
      </c>
    </row>
    <row r="3795" spans="6:7" x14ac:dyDescent="0.35">
      <c r="F3795">
        <v>3790</v>
      </c>
      <c r="G3795" s="102">
        <f t="shared" ca="1" si="63"/>
        <v>8.4199400683969666E-2</v>
      </c>
    </row>
    <row r="3796" spans="6:7" x14ac:dyDescent="0.35">
      <c r="F3796">
        <v>3791</v>
      </c>
      <c r="G3796" s="102">
        <f t="shared" ca="1" si="63"/>
        <v>9.2455640095046986E-3</v>
      </c>
    </row>
    <row r="3797" spans="6:7" x14ac:dyDescent="0.35">
      <c r="F3797">
        <v>3792</v>
      </c>
      <c r="G3797" s="102">
        <f t="shared" ca="1" si="63"/>
        <v>-4.2051261718221572E-2</v>
      </c>
    </row>
    <row r="3798" spans="6:7" x14ac:dyDescent="0.35">
      <c r="F3798">
        <v>3793</v>
      </c>
      <c r="G3798" s="102">
        <f t="shared" ca="1" si="63"/>
        <v>-3.779298856978106E-3</v>
      </c>
    </row>
    <row r="3799" spans="6:7" x14ac:dyDescent="0.35">
      <c r="F3799">
        <v>3794</v>
      </c>
      <c r="G3799" s="102">
        <f t="shared" ca="1" si="63"/>
        <v>-5.6010709775898643E-2</v>
      </c>
    </row>
    <row r="3800" spans="6:7" x14ac:dyDescent="0.35">
      <c r="F3800">
        <v>3795</v>
      </c>
      <c r="G3800" s="102">
        <f t="shared" ca="1" si="63"/>
        <v>1.7089552635462253E-2</v>
      </c>
    </row>
    <row r="3801" spans="6:7" x14ac:dyDescent="0.35">
      <c r="F3801">
        <v>3796</v>
      </c>
      <c r="G3801" s="102">
        <f t="shared" ca="1" si="63"/>
        <v>-7.2654205687114934E-2</v>
      </c>
    </row>
    <row r="3802" spans="6:7" x14ac:dyDescent="0.35">
      <c r="F3802">
        <v>3797</v>
      </c>
      <c r="G3802" s="102">
        <f t="shared" ca="1" si="63"/>
        <v>-1.1680042612524793E-2</v>
      </c>
    </row>
    <row r="3803" spans="6:7" x14ac:dyDescent="0.35">
      <c r="F3803">
        <v>3798</v>
      </c>
      <c r="G3803" s="102">
        <f t="shared" ca="1" si="63"/>
        <v>-0.1224174309451754</v>
      </c>
    </row>
    <row r="3804" spans="6:7" x14ac:dyDescent="0.35">
      <c r="F3804">
        <v>3799</v>
      </c>
      <c r="G3804" s="102">
        <f t="shared" ca="1" si="63"/>
        <v>-3.1666347128379876E-3</v>
      </c>
    </row>
    <row r="3805" spans="6:7" x14ac:dyDescent="0.35">
      <c r="F3805">
        <v>3800</v>
      </c>
      <c r="G3805" s="102">
        <f t="shared" ca="1" si="63"/>
        <v>-3.261730405448373E-2</v>
      </c>
    </row>
    <row r="3806" spans="6:7" x14ac:dyDescent="0.35">
      <c r="F3806">
        <v>3801</v>
      </c>
      <c r="G3806" s="102">
        <f t="shared" ca="1" si="63"/>
        <v>-1.826529191213954E-2</v>
      </c>
    </row>
    <row r="3807" spans="6:7" x14ac:dyDescent="0.35">
      <c r="F3807">
        <v>3802</v>
      </c>
      <c r="G3807" s="102">
        <f t="shared" ca="1" si="63"/>
        <v>-9.3552971988473607E-3</v>
      </c>
    </row>
    <row r="3808" spans="6:7" x14ac:dyDescent="0.35">
      <c r="F3808">
        <v>3803</v>
      </c>
      <c r="G3808" s="102">
        <f t="shared" ca="1" si="63"/>
        <v>2.1001951934559129E-2</v>
      </c>
    </row>
    <row r="3809" spans="6:7" x14ac:dyDescent="0.35">
      <c r="F3809">
        <v>3804</v>
      </c>
      <c r="G3809" s="102">
        <f t="shared" ca="1" si="63"/>
        <v>0.10000767537933947</v>
      </c>
    </row>
    <row r="3810" spans="6:7" x14ac:dyDescent="0.35">
      <c r="F3810">
        <v>3805</v>
      </c>
      <c r="G3810" s="102">
        <f t="shared" ca="1" si="63"/>
        <v>4.3013775991192604E-2</v>
      </c>
    </row>
    <row r="3811" spans="6:7" x14ac:dyDescent="0.35">
      <c r="F3811">
        <v>3806</v>
      </c>
      <c r="G3811" s="102">
        <f t="shared" ca="1" si="63"/>
        <v>-8.0446228898084088E-2</v>
      </c>
    </row>
    <row r="3812" spans="6:7" x14ac:dyDescent="0.35">
      <c r="F3812">
        <v>3807</v>
      </c>
      <c r="G3812" s="102">
        <f t="shared" ca="1" si="63"/>
        <v>8.8228840976123019E-2</v>
      </c>
    </row>
    <row r="3813" spans="6:7" x14ac:dyDescent="0.35">
      <c r="F3813">
        <v>3808</v>
      </c>
      <c r="G3813" s="102">
        <f t="shared" ca="1" si="63"/>
        <v>7.9648408534774062E-2</v>
      </c>
    </row>
    <row r="3814" spans="6:7" x14ac:dyDescent="0.35">
      <c r="F3814">
        <v>3809</v>
      </c>
      <c r="G3814" s="102">
        <f t="shared" ca="1" si="63"/>
        <v>-4.1204495986764044E-3</v>
      </c>
    </row>
    <row r="3815" spans="6:7" x14ac:dyDescent="0.35">
      <c r="F3815">
        <v>3810</v>
      </c>
      <c r="G3815" s="102">
        <f t="shared" ca="1" si="63"/>
        <v>-8.4579068006205606E-3</v>
      </c>
    </row>
    <row r="3816" spans="6:7" x14ac:dyDescent="0.35">
      <c r="F3816">
        <v>3811</v>
      </c>
      <c r="G3816" s="102">
        <f t="shared" ca="1" si="63"/>
        <v>5.0280397000833726E-2</v>
      </c>
    </row>
    <row r="3817" spans="6:7" x14ac:dyDescent="0.35">
      <c r="F3817">
        <v>3812</v>
      </c>
      <c r="G3817" s="102">
        <f t="shared" ca="1" si="63"/>
        <v>-1.3318758742126282E-3</v>
      </c>
    </row>
    <row r="3818" spans="6:7" x14ac:dyDescent="0.35">
      <c r="F3818">
        <v>3813</v>
      </c>
      <c r="G3818" s="102">
        <f t="shared" ca="1" si="63"/>
        <v>0.11526679876601406</v>
      </c>
    </row>
    <row r="3819" spans="6:7" x14ac:dyDescent="0.35">
      <c r="F3819">
        <v>3814</v>
      </c>
      <c r="G3819" s="102">
        <f t="shared" ca="1" si="63"/>
        <v>-3.5697047750443002E-2</v>
      </c>
    </row>
    <row r="3820" spans="6:7" x14ac:dyDescent="0.35">
      <c r="F3820">
        <v>3815</v>
      </c>
      <c r="G3820" s="102">
        <f t="shared" ca="1" si="63"/>
        <v>-1.3343735437781163E-2</v>
      </c>
    </row>
    <row r="3821" spans="6:7" x14ac:dyDescent="0.35">
      <c r="F3821">
        <v>3816</v>
      </c>
      <c r="G3821" s="102">
        <f t="shared" ca="1" si="63"/>
        <v>-2.152963719040581E-2</v>
      </c>
    </row>
    <row r="3822" spans="6:7" x14ac:dyDescent="0.35">
      <c r="F3822">
        <v>3817</v>
      </c>
      <c r="G3822" s="102">
        <f t="shared" ca="1" si="63"/>
        <v>5.7159413655315613E-2</v>
      </c>
    </row>
    <row r="3823" spans="6:7" x14ac:dyDescent="0.35">
      <c r="F3823">
        <v>3818</v>
      </c>
      <c r="G3823" s="102">
        <f t="shared" ca="1" si="63"/>
        <v>-1.2608536788098826E-2</v>
      </c>
    </row>
    <row r="3824" spans="6:7" x14ac:dyDescent="0.35">
      <c r="F3824">
        <v>3819</v>
      </c>
      <c r="G3824" s="102">
        <f t="shared" ca="1" si="63"/>
        <v>-0.10238387170713698</v>
      </c>
    </row>
    <row r="3825" spans="6:7" x14ac:dyDescent="0.35">
      <c r="F3825">
        <v>3820</v>
      </c>
      <c r="G3825" s="102">
        <f t="shared" ca="1" si="63"/>
        <v>6.234360788399014E-2</v>
      </c>
    </row>
    <row r="3826" spans="6:7" x14ac:dyDescent="0.35">
      <c r="F3826">
        <v>3821</v>
      </c>
      <c r="G3826" s="102">
        <f t="shared" ca="1" si="63"/>
        <v>6.6441685560221841E-2</v>
      </c>
    </row>
    <row r="3827" spans="6:7" x14ac:dyDescent="0.35">
      <c r="F3827">
        <v>3822</v>
      </c>
      <c r="G3827" s="102">
        <f t="shared" ca="1" si="63"/>
        <v>-0.10388664569697811</v>
      </c>
    </row>
    <row r="3828" spans="6:7" x14ac:dyDescent="0.35">
      <c r="F3828">
        <v>3823</v>
      </c>
      <c r="G3828" s="102">
        <f t="shared" ca="1" si="63"/>
        <v>-7.1065249774553807E-2</v>
      </c>
    </row>
    <row r="3829" spans="6:7" x14ac:dyDescent="0.35">
      <c r="F3829">
        <v>3824</v>
      </c>
      <c r="G3829" s="102">
        <f t="shared" ca="1" si="63"/>
        <v>-6.715818636472079E-2</v>
      </c>
    </row>
    <row r="3830" spans="6:7" x14ac:dyDescent="0.35">
      <c r="F3830">
        <v>3825</v>
      </c>
      <c r="G3830" s="102">
        <f t="shared" ca="1" si="63"/>
        <v>-7.936330079432212E-2</v>
      </c>
    </row>
    <row r="3831" spans="6:7" x14ac:dyDescent="0.35">
      <c r="F3831">
        <v>3826</v>
      </c>
      <c r="G3831" s="102">
        <f t="shared" ca="1" si="63"/>
        <v>6.7324214828649087E-2</v>
      </c>
    </row>
    <row r="3832" spans="6:7" x14ac:dyDescent="0.35">
      <c r="F3832">
        <v>3827</v>
      </c>
      <c r="G3832" s="102">
        <f t="shared" ca="1" si="63"/>
        <v>-8.2534695860513499E-2</v>
      </c>
    </row>
    <row r="3833" spans="6:7" x14ac:dyDescent="0.35">
      <c r="F3833">
        <v>3828</v>
      </c>
      <c r="G3833" s="102">
        <f t="shared" ca="1" si="63"/>
        <v>5.7053071278408779E-2</v>
      </c>
    </row>
    <row r="3834" spans="6:7" x14ac:dyDescent="0.35">
      <c r="F3834">
        <v>3829</v>
      </c>
      <c r="G3834" s="102">
        <f t="shared" ca="1" si="63"/>
        <v>-7.2338099430823255E-2</v>
      </c>
    </row>
    <row r="3835" spans="6:7" x14ac:dyDescent="0.35">
      <c r="F3835">
        <v>3830</v>
      </c>
      <c r="G3835" s="102">
        <f t="shared" ca="1" si="63"/>
        <v>4.487857167541371E-3</v>
      </c>
    </row>
    <row r="3836" spans="6:7" x14ac:dyDescent="0.35">
      <c r="F3836">
        <v>3831</v>
      </c>
      <c r="G3836" s="102">
        <f t="shared" ca="1" si="63"/>
        <v>-5.7350595616345479E-2</v>
      </c>
    </row>
    <row r="3837" spans="6:7" x14ac:dyDescent="0.35">
      <c r="F3837">
        <v>3832</v>
      </c>
      <c r="G3837" s="102">
        <f t="shared" ca="1" si="63"/>
        <v>-8.9951159834503719E-2</v>
      </c>
    </row>
    <row r="3838" spans="6:7" x14ac:dyDescent="0.35">
      <c r="F3838">
        <v>3833</v>
      </c>
      <c r="G3838" s="102">
        <f t="shared" ca="1" si="63"/>
        <v>1.1468005326964754E-2</v>
      </c>
    </row>
    <row r="3839" spans="6:7" x14ac:dyDescent="0.35">
      <c r="F3839">
        <v>3834</v>
      </c>
      <c r="G3839" s="102">
        <f t="shared" ca="1" si="63"/>
        <v>9.6816822387641666E-2</v>
      </c>
    </row>
    <row r="3840" spans="6:7" x14ac:dyDescent="0.35">
      <c r="F3840">
        <v>3835</v>
      </c>
      <c r="G3840" s="102">
        <f t="shared" ca="1" si="63"/>
        <v>1.1041414972299936E-3</v>
      </c>
    </row>
    <row r="3841" spans="6:7" x14ac:dyDescent="0.35">
      <c r="F3841">
        <v>3836</v>
      </c>
      <c r="G3841" s="102">
        <f t="shared" ca="1" si="63"/>
        <v>-5.7344911249850333E-2</v>
      </c>
    </row>
    <row r="3842" spans="6:7" x14ac:dyDescent="0.35">
      <c r="F3842">
        <v>3837</v>
      </c>
      <c r="G3842" s="102">
        <f t="shared" ca="1" si="63"/>
        <v>7.0030316192572759E-2</v>
      </c>
    </row>
    <row r="3843" spans="6:7" x14ac:dyDescent="0.35">
      <c r="F3843">
        <v>3838</v>
      </c>
      <c r="G3843" s="102">
        <f t="shared" ca="1" si="63"/>
        <v>3.3084108483764849E-2</v>
      </c>
    </row>
    <row r="3844" spans="6:7" x14ac:dyDescent="0.35">
      <c r="F3844">
        <v>3839</v>
      </c>
      <c r="G3844" s="102">
        <f t="shared" ca="1" si="63"/>
        <v>6.4043304630128708E-2</v>
      </c>
    </row>
    <row r="3845" spans="6:7" x14ac:dyDescent="0.35">
      <c r="F3845">
        <v>3840</v>
      </c>
      <c r="G3845" s="102">
        <f t="shared" ca="1" si="63"/>
        <v>-3.5320263670046155E-2</v>
      </c>
    </row>
    <row r="3846" spans="6:7" x14ac:dyDescent="0.35">
      <c r="F3846">
        <v>3841</v>
      </c>
      <c r="G3846" s="102">
        <f t="shared" ca="1" si="63"/>
        <v>-8.2489787124011005E-2</v>
      </c>
    </row>
    <row r="3847" spans="6:7" x14ac:dyDescent="0.35">
      <c r="F3847">
        <v>3842</v>
      </c>
      <c r="G3847" s="102">
        <f t="shared" ref="G3847:G3910" ca="1" si="64">_xlfn.NORM.INV(RAND(),M$9,M$10)</f>
        <v>2.9125037351784618E-2</v>
      </c>
    </row>
    <row r="3848" spans="6:7" x14ac:dyDescent="0.35">
      <c r="F3848">
        <v>3843</v>
      </c>
      <c r="G3848" s="102">
        <f t="shared" ca="1" si="64"/>
        <v>-2.7008049151208316E-2</v>
      </c>
    </row>
    <row r="3849" spans="6:7" x14ac:dyDescent="0.35">
      <c r="F3849">
        <v>3844</v>
      </c>
      <c r="G3849" s="102">
        <f t="shared" ca="1" si="64"/>
        <v>-3.2281768628731243E-2</v>
      </c>
    </row>
    <row r="3850" spans="6:7" x14ac:dyDescent="0.35">
      <c r="F3850">
        <v>3845</v>
      </c>
      <c r="G3850" s="102">
        <f t="shared" ca="1" si="64"/>
        <v>-5.4263154385040702E-2</v>
      </c>
    </row>
    <row r="3851" spans="6:7" x14ac:dyDescent="0.35">
      <c r="F3851">
        <v>3846</v>
      </c>
      <c r="G3851" s="102">
        <f t="shared" ca="1" si="64"/>
        <v>-2.2745332460502737E-2</v>
      </c>
    </row>
    <row r="3852" spans="6:7" x14ac:dyDescent="0.35">
      <c r="F3852">
        <v>3847</v>
      </c>
      <c r="G3852" s="102">
        <f t="shared" ca="1" si="64"/>
        <v>-1.758077088087354E-2</v>
      </c>
    </row>
    <row r="3853" spans="6:7" x14ac:dyDescent="0.35">
      <c r="F3853">
        <v>3848</v>
      </c>
      <c r="G3853" s="102">
        <f t="shared" ca="1" si="64"/>
        <v>-3.0206588265011085E-2</v>
      </c>
    </row>
    <row r="3854" spans="6:7" x14ac:dyDescent="0.35">
      <c r="F3854">
        <v>3849</v>
      </c>
      <c r="G3854" s="102">
        <f t="shared" ca="1" si="64"/>
        <v>-8.0323914418031425E-2</v>
      </c>
    </row>
    <row r="3855" spans="6:7" x14ac:dyDescent="0.35">
      <c r="F3855">
        <v>3850</v>
      </c>
      <c r="G3855" s="102">
        <f t="shared" ca="1" si="64"/>
        <v>-0.19728027183245855</v>
      </c>
    </row>
    <row r="3856" spans="6:7" x14ac:dyDescent="0.35">
      <c r="F3856">
        <v>3851</v>
      </c>
      <c r="G3856" s="102">
        <f t="shared" ca="1" si="64"/>
        <v>3.6286383034237257E-2</v>
      </c>
    </row>
    <row r="3857" spans="6:7" x14ac:dyDescent="0.35">
      <c r="F3857">
        <v>3852</v>
      </c>
      <c r="G3857" s="102">
        <f t="shared" ca="1" si="64"/>
        <v>-7.2610255020703868E-2</v>
      </c>
    </row>
    <row r="3858" spans="6:7" x14ac:dyDescent="0.35">
      <c r="F3858">
        <v>3853</v>
      </c>
      <c r="G3858" s="102">
        <f t="shared" ca="1" si="64"/>
        <v>-2.9764565901641464E-3</v>
      </c>
    </row>
    <row r="3859" spans="6:7" x14ac:dyDescent="0.35">
      <c r="F3859">
        <v>3854</v>
      </c>
      <c r="G3859" s="102">
        <f t="shared" ca="1" si="64"/>
        <v>-3.3506685392468497E-2</v>
      </c>
    </row>
    <row r="3860" spans="6:7" x14ac:dyDescent="0.35">
      <c r="F3860">
        <v>3855</v>
      </c>
      <c r="G3860" s="102">
        <f t="shared" ca="1" si="64"/>
        <v>-5.241481221976399E-2</v>
      </c>
    </row>
    <row r="3861" spans="6:7" x14ac:dyDescent="0.35">
      <c r="F3861">
        <v>3856</v>
      </c>
      <c r="G3861" s="102">
        <f t="shared" ca="1" si="64"/>
        <v>-5.3449962057381506E-2</v>
      </c>
    </row>
    <row r="3862" spans="6:7" x14ac:dyDescent="0.35">
      <c r="F3862">
        <v>3857</v>
      </c>
      <c r="G3862" s="102">
        <f t="shared" ca="1" si="64"/>
        <v>1.2266009593867047E-2</v>
      </c>
    </row>
    <row r="3863" spans="6:7" x14ac:dyDescent="0.35">
      <c r="F3863">
        <v>3858</v>
      </c>
      <c r="G3863" s="102">
        <f t="shared" ca="1" si="64"/>
        <v>6.6351594904635984E-3</v>
      </c>
    </row>
    <row r="3864" spans="6:7" x14ac:dyDescent="0.35">
      <c r="F3864">
        <v>3859</v>
      </c>
      <c r="G3864" s="102">
        <f t="shared" ca="1" si="64"/>
        <v>4.6499048330520459E-2</v>
      </c>
    </row>
    <row r="3865" spans="6:7" x14ac:dyDescent="0.35">
      <c r="F3865">
        <v>3860</v>
      </c>
      <c r="G3865" s="102">
        <f t="shared" ca="1" si="64"/>
        <v>1.8877263506295448E-2</v>
      </c>
    </row>
    <row r="3866" spans="6:7" x14ac:dyDescent="0.35">
      <c r="F3866">
        <v>3861</v>
      </c>
      <c r="G3866" s="102">
        <f t="shared" ca="1" si="64"/>
        <v>-4.4980263935837247E-2</v>
      </c>
    </row>
    <row r="3867" spans="6:7" x14ac:dyDescent="0.35">
      <c r="F3867">
        <v>3862</v>
      </c>
      <c r="G3867" s="102">
        <f t="shared" ca="1" si="64"/>
        <v>2.1065560885460646E-2</v>
      </c>
    </row>
    <row r="3868" spans="6:7" x14ac:dyDescent="0.35">
      <c r="F3868">
        <v>3863</v>
      </c>
      <c r="G3868" s="102">
        <f t="shared" ca="1" si="64"/>
        <v>-8.0651678805981428E-3</v>
      </c>
    </row>
    <row r="3869" spans="6:7" x14ac:dyDescent="0.35">
      <c r="F3869">
        <v>3864</v>
      </c>
      <c r="G3869" s="102">
        <f t="shared" ca="1" si="64"/>
        <v>1.2059898101318394E-3</v>
      </c>
    </row>
    <row r="3870" spans="6:7" x14ac:dyDescent="0.35">
      <c r="F3870">
        <v>3865</v>
      </c>
      <c r="G3870" s="102">
        <f t="shared" ca="1" si="64"/>
        <v>7.996818978663478E-2</v>
      </c>
    </row>
    <row r="3871" spans="6:7" x14ac:dyDescent="0.35">
      <c r="F3871">
        <v>3866</v>
      </c>
      <c r="G3871" s="102">
        <f t="shared" ca="1" si="64"/>
        <v>-9.1400849720631311E-3</v>
      </c>
    </row>
    <row r="3872" spans="6:7" x14ac:dyDescent="0.35">
      <c r="F3872">
        <v>3867</v>
      </c>
      <c r="G3872" s="102">
        <f t="shared" ca="1" si="64"/>
        <v>6.8897369402320593E-3</v>
      </c>
    </row>
    <row r="3873" spans="6:7" x14ac:dyDescent="0.35">
      <c r="F3873">
        <v>3868</v>
      </c>
      <c r="G3873" s="102">
        <f t="shared" ca="1" si="64"/>
        <v>-0.16603578770378533</v>
      </c>
    </row>
    <row r="3874" spans="6:7" x14ac:dyDescent="0.35">
      <c r="F3874">
        <v>3869</v>
      </c>
      <c r="G3874" s="102">
        <f t="shared" ca="1" si="64"/>
        <v>-4.4459744178080393E-2</v>
      </c>
    </row>
    <row r="3875" spans="6:7" x14ac:dyDescent="0.35">
      <c r="F3875">
        <v>3870</v>
      </c>
      <c r="G3875" s="102">
        <f t="shared" ca="1" si="64"/>
        <v>-6.9933263248266302E-4</v>
      </c>
    </row>
    <row r="3876" spans="6:7" x14ac:dyDescent="0.35">
      <c r="F3876">
        <v>3871</v>
      </c>
      <c r="G3876" s="102">
        <f t="shared" ca="1" si="64"/>
        <v>-3.235694866734648E-2</v>
      </c>
    </row>
    <row r="3877" spans="6:7" x14ac:dyDescent="0.35">
      <c r="F3877">
        <v>3872</v>
      </c>
      <c r="G3877" s="102">
        <f t="shared" ca="1" si="64"/>
        <v>0.16192084581795602</v>
      </c>
    </row>
    <row r="3878" spans="6:7" x14ac:dyDescent="0.35">
      <c r="F3878">
        <v>3873</v>
      </c>
      <c r="G3878" s="102">
        <f t="shared" ca="1" si="64"/>
        <v>1.5219743695511372E-2</v>
      </c>
    </row>
    <row r="3879" spans="6:7" x14ac:dyDescent="0.35">
      <c r="F3879">
        <v>3874</v>
      </c>
      <c r="G3879" s="102">
        <f t="shared" ca="1" si="64"/>
        <v>-5.0927509223911718E-2</v>
      </c>
    </row>
    <row r="3880" spans="6:7" x14ac:dyDescent="0.35">
      <c r="F3880">
        <v>3875</v>
      </c>
      <c r="G3880" s="102">
        <f t="shared" ca="1" si="64"/>
        <v>8.9019653678721999E-2</v>
      </c>
    </row>
    <row r="3881" spans="6:7" x14ac:dyDescent="0.35">
      <c r="F3881">
        <v>3876</v>
      </c>
      <c r="G3881" s="102">
        <f t="shared" ca="1" si="64"/>
        <v>3.0269170349008525E-2</v>
      </c>
    </row>
    <row r="3882" spans="6:7" x14ac:dyDescent="0.35">
      <c r="F3882">
        <v>3877</v>
      </c>
      <c r="G3882" s="102">
        <f t="shared" ca="1" si="64"/>
        <v>-5.4516073854610561E-2</v>
      </c>
    </row>
    <row r="3883" spans="6:7" x14ac:dyDescent="0.35">
      <c r="F3883">
        <v>3878</v>
      </c>
      <c r="G3883" s="102">
        <f t="shared" ca="1" si="64"/>
        <v>-2.4460549611631547E-3</v>
      </c>
    </row>
    <row r="3884" spans="6:7" x14ac:dyDescent="0.35">
      <c r="F3884">
        <v>3879</v>
      </c>
      <c r="G3884" s="102">
        <f t="shared" ca="1" si="64"/>
        <v>-7.6680088545995367E-2</v>
      </c>
    </row>
    <row r="3885" spans="6:7" x14ac:dyDescent="0.35">
      <c r="F3885">
        <v>3880</v>
      </c>
      <c r="G3885" s="102">
        <f t="shared" ca="1" si="64"/>
        <v>6.4937934059149299E-2</v>
      </c>
    </row>
    <row r="3886" spans="6:7" x14ac:dyDescent="0.35">
      <c r="F3886">
        <v>3881</v>
      </c>
      <c r="G3886" s="102">
        <f t="shared" ca="1" si="64"/>
        <v>-7.5654744833439425E-2</v>
      </c>
    </row>
    <row r="3887" spans="6:7" x14ac:dyDescent="0.35">
      <c r="F3887">
        <v>3882</v>
      </c>
      <c r="G3887" s="102">
        <f t="shared" ca="1" si="64"/>
        <v>9.3550506242707457E-2</v>
      </c>
    </row>
    <row r="3888" spans="6:7" x14ac:dyDescent="0.35">
      <c r="F3888">
        <v>3883</v>
      </c>
      <c r="G3888" s="102">
        <f t="shared" ca="1" si="64"/>
        <v>-5.7953489176750302E-3</v>
      </c>
    </row>
    <row r="3889" spans="6:7" x14ac:dyDescent="0.35">
      <c r="F3889">
        <v>3884</v>
      </c>
      <c r="G3889" s="102">
        <f t="shared" ca="1" si="64"/>
        <v>0.15366217665817289</v>
      </c>
    </row>
    <row r="3890" spans="6:7" x14ac:dyDescent="0.35">
      <c r="F3890">
        <v>3885</v>
      </c>
      <c r="G3890" s="102">
        <f t="shared" ca="1" si="64"/>
        <v>-8.978530068521156E-3</v>
      </c>
    </row>
    <row r="3891" spans="6:7" x14ac:dyDescent="0.35">
      <c r="F3891">
        <v>3886</v>
      </c>
      <c r="G3891" s="102">
        <f t="shared" ca="1" si="64"/>
        <v>6.4370451646681114E-3</v>
      </c>
    </row>
    <row r="3892" spans="6:7" x14ac:dyDescent="0.35">
      <c r="F3892">
        <v>3887</v>
      </c>
      <c r="G3892" s="102">
        <f t="shared" ca="1" si="64"/>
        <v>5.5844316743838593E-2</v>
      </c>
    </row>
    <row r="3893" spans="6:7" x14ac:dyDescent="0.35">
      <c r="F3893">
        <v>3888</v>
      </c>
      <c r="G3893" s="102">
        <f t="shared" ca="1" si="64"/>
        <v>-7.6175482004901277E-2</v>
      </c>
    </row>
    <row r="3894" spans="6:7" x14ac:dyDescent="0.35">
      <c r="F3894">
        <v>3889</v>
      </c>
      <c r="G3894" s="102">
        <f t="shared" ca="1" si="64"/>
        <v>7.62118869665009E-2</v>
      </c>
    </row>
    <row r="3895" spans="6:7" x14ac:dyDescent="0.35">
      <c r="F3895">
        <v>3890</v>
      </c>
      <c r="G3895" s="102">
        <f t="shared" ca="1" si="64"/>
        <v>-1.2805716871136776E-2</v>
      </c>
    </row>
    <row r="3896" spans="6:7" x14ac:dyDescent="0.35">
      <c r="F3896">
        <v>3891</v>
      </c>
      <c r="G3896" s="102">
        <f t="shared" ca="1" si="64"/>
        <v>1.5106148853150345E-2</v>
      </c>
    </row>
    <row r="3897" spans="6:7" x14ac:dyDescent="0.35">
      <c r="F3897">
        <v>3892</v>
      </c>
      <c r="G3897" s="102">
        <f t="shared" ca="1" si="64"/>
        <v>-5.0558967935296045E-2</v>
      </c>
    </row>
    <row r="3898" spans="6:7" x14ac:dyDescent="0.35">
      <c r="F3898">
        <v>3893</v>
      </c>
      <c r="G3898" s="102">
        <f t="shared" ca="1" si="64"/>
        <v>-4.5290852478945598E-2</v>
      </c>
    </row>
    <row r="3899" spans="6:7" x14ac:dyDescent="0.35">
      <c r="F3899">
        <v>3894</v>
      </c>
      <c r="G3899" s="102">
        <f t="shared" ca="1" si="64"/>
        <v>-0.12253879659354262</v>
      </c>
    </row>
    <row r="3900" spans="6:7" x14ac:dyDescent="0.35">
      <c r="F3900">
        <v>3895</v>
      </c>
      <c r="G3900" s="102">
        <f t="shared" ca="1" si="64"/>
        <v>9.9760695680544506E-2</v>
      </c>
    </row>
    <row r="3901" spans="6:7" x14ac:dyDescent="0.35">
      <c r="F3901">
        <v>3896</v>
      </c>
      <c r="G3901" s="102">
        <f t="shared" ca="1" si="64"/>
        <v>6.797180004415633E-2</v>
      </c>
    </row>
    <row r="3902" spans="6:7" x14ac:dyDescent="0.35">
      <c r="F3902">
        <v>3897</v>
      </c>
      <c r="G3902" s="102">
        <f t="shared" ca="1" si="64"/>
        <v>0.12617190242546764</v>
      </c>
    </row>
    <row r="3903" spans="6:7" x14ac:dyDescent="0.35">
      <c r="F3903">
        <v>3898</v>
      </c>
      <c r="G3903" s="102">
        <f t="shared" ca="1" si="64"/>
        <v>6.7738740084672025E-2</v>
      </c>
    </row>
    <row r="3904" spans="6:7" x14ac:dyDescent="0.35">
      <c r="F3904">
        <v>3899</v>
      </c>
      <c r="G3904" s="102">
        <f t="shared" ca="1" si="64"/>
        <v>-8.6138019331929758E-2</v>
      </c>
    </row>
    <row r="3905" spans="6:7" x14ac:dyDescent="0.35">
      <c r="F3905">
        <v>3900</v>
      </c>
      <c r="G3905" s="102">
        <f t="shared" ca="1" si="64"/>
        <v>6.6423224527637728E-2</v>
      </c>
    </row>
    <row r="3906" spans="6:7" x14ac:dyDescent="0.35">
      <c r="F3906">
        <v>3901</v>
      </c>
      <c r="G3906" s="102">
        <f t="shared" ca="1" si="64"/>
        <v>1.808719309096158E-2</v>
      </c>
    </row>
    <row r="3907" spans="6:7" x14ac:dyDescent="0.35">
      <c r="F3907">
        <v>3902</v>
      </c>
      <c r="G3907" s="102">
        <f t="shared" ca="1" si="64"/>
        <v>7.4867448970938943E-2</v>
      </c>
    </row>
    <row r="3908" spans="6:7" x14ac:dyDescent="0.35">
      <c r="F3908">
        <v>3903</v>
      </c>
      <c r="G3908" s="102">
        <f t="shared" ca="1" si="64"/>
        <v>-5.6275649194505409E-2</v>
      </c>
    </row>
    <row r="3909" spans="6:7" x14ac:dyDescent="0.35">
      <c r="F3909">
        <v>3904</v>
      </c>
      <c r="G3909" s="102">
        <f t="shared" ca="1" si="64"/>
        <v>4.871677932183098E-2</v>
      </c>
    </row>
    <row r="3910" spans="6:7" x14ac:dyDescent="0.35">
      <c r="F3910">
        <v>3905</v>
      </c>
      <c r="G3910" s="102">
        <f t="shared" ca="1" si="64"/>
        <v>4.0362999954764722E-2</v>
      </c>
    </row>
    <row r="3911" spans="6:7" x14ac:dyDescent="0.35">
      <c r="F3911">
        <v>3906</v>
      </c>
      <c r="G3911" s="102">
        <f t="shared" ref="G3911:G3974" ca="1" si="65">_xlfn.NORM.INV(RAND(),M$9,M$10)</f>
        <v>-4.1890082750773938E-2</v>
      </c>
    </row>
    <row r="3912" spans="6:7" x14ac:dyDescent="0.35">
      <c r="F3912">
        <v>3907</v>
      </c>
      <c r="G3912" s="102">
        <f t="shared" ca="1" si="65"/>
        <v>5.3632153475019526E-2</v>
      </c>
    </row>
    <row r="3913" spans="6:7" x14ac:dyDescent="0.35">
      <c r="F3913">
        <v>3908</v>
      </c>
      <c r="G3913" s="102">
        <f t="shared" ca="1" si="65"/>
        <v>1.9678283998077216E-2</v>
      </c>
    </row>
    <row r="3914" spans="6:7" x14ac:dyDescent="0.35">
      <c r="F3914">
        <v>3909</v>
      </c>
      <c r="G3914" s="102">
        <f t="shared" ca="1" si="65"/>
        <v>-2.4432413594670667E-2</v>
      </c>
    </row>
    <row r="3915" spans="6:7" x14ac:dyDescent="0.35">
      <c r="F3915">
        <v>3910</v>
      </c>
      <c r="G3915" s="102">
        <f t="shared" ca="1" si="65"/>
        <v>-0.13410904945460581</v>
      </c>
    </row>
    <row r="3916" spans="6:7" x14ac:dyDescent="0.35">
      <c r="F3916">
        <v>3911</v>
      </c>
      <c r="G3916" s="102">
        <f t="shared" ca="1" si="65"/>
        <v>4.8264659163972976E-2</v>
      </c>
    </row>
    <row r="3917" spans="6:7" x14ac:dyDescent="0.35">
      <c r="F3917">
        <v>3912</v>
      </c>
      <c r="G3917" s="102">
        <f t="shared" ca="1" si="65"/>
        <v>0.1139135146729601</v>
      </c>
    </row>
    <row r="3918" spans="6:7" x14ac:dyDescent="0.35">
      <c r="F3918">
        <v>3913</v>
      </c>
      <c r="G3918" s="102">
        <f t="shared" ca="1" si="65"/>
        <v>6.4051825452118044E-2</v>
      </c>
    </row>
    <row r="3919" spans="6:7" x14ac:dyDescent="0.35">
      <c r="F3919">
        <v>3914</v>
      </c>
      <c r="G3919" s="102">
        <f t="shared" ca="1" si="65"/>
        <v>-0.15427181303189233</v>
      </c>
    </row>
    <row r="3920" spans="6:7" x14ac:dyDescent="0.35">
      <c r="F3920">
        <v>3915</v>
      </c>
      <c r="G3920" s="102">
        <f t="shared" ca="1" si="65"/>
        <v>-7.6736681078052732E-2</v>
      </c>
    </row>
    <row r="3921" spans="6:7" x14ac:dyDescent="0.35">
      <c r="F3921">
        <v>3916</v>
      </c>
      <c r="G3921" s="102">
        <f t="shared" ca="1" si="65"/>
        <v>9.2397795970924845E-2</v>
      </c>
    </row>
    <row r="3922" spans="6:7" x14ac:dyDescent="0.35">
      <c r="F3922">
        <v>3917</v>
      </c>
      <c r="G3922" s="102">
        <f t="shared" ca="1" si="65"/>
        <v>2.5887299491593935E-2</v>
      </c>
    </row>
    <row r="3923" spans="6:7" x14ac:dyDescent="0.35">
      <c r="F3923">
        <v>3918</v>
      </c>
      <c r="G3923" s="102">
        <f t="shared" ca="1" si="65"/>
        <v>7.6261285497194034E-2</v>
      </c>
    </row>
    <row r="3924" spans="6:7" x14ac:dyDescent="0.35">
      <c r="F3924">
        <v>3919</v>
      </c>
      <c r="G3924" s="102">
        <f t="shared" ca="1" si="65"/>
        <v>4.2750169365343343E-2</v>
      </c>
    </row>
    <row r="3925" spans="6:7" x14ac:dyDescent="0.35">
      <c r="F3925">
        <v>3920</v>
      </c>
      <c r="G3925" s="102">
        <f t="shared" ca="1" si="65"/>
        <v>6.8052689088493004E-2</v>
      </c>
    </row>
    <row r="3926" spans="6:7" x14ac:dyDescent="0.35">
      <c r="F3926">
        <v>3921</v>
      </c>
      <c r="G3926" s="102">
        <f t="shared" ca="1" si="65"/>
        <v>-7.4748308922323772E-2</v>
      </c>
    </row>
    <row r="3927" spans="6:7" x14ac:dyDescent="0.35">
      <c r="F3927">
        <v>3922</v>
      </c>
      <c r="G3927" s="102">
        <f t="shared" ca="1" si="65"/>
        <v>0.15151887508655798</v>
      </c>
    </row>
    <row r="3928" spans="6:7" x14ac:dyDescent="0.35">
      <c r="F3928">
        <v>3923</v>
      </c>
      <c r="G3928" s="102">
        <f t="shared" ca="1" si="65"/>
        <v>6.2295507435194783E-2</v>
      </c>
    </row>
    <row r="3929" spans="6:7" x14ac:dyDescent="0.35">
      <c r="F3929">
        <v>3924</v>
      </c>
      <c r="G3929" s="102">
        <f t="shared" ca="1" si="65"/>
        <v>8.2109687704174407E-3</v>
      </c>
    </row>
    <row r="3930" spans="6:7" x14ac:dyDescent="0.35">
      <c r="F3930">
        <v>3925</v>
      </c>
      <c r="G3930" s="102">
        <f t="shared" ca="1" si="65"/>
        <v>-6.8502851051528521E-2</v>
      </c>
    </row>
    <row r="3931" spans="6:7" x14ac:dyDescent="0.35">
      <c r="F3931">
        <v>3926</v>
      </c>
      <c r="G3931" s="102">
        <f t="shared" ca="1" si="65"/>
        <v>-3.1919302167656365E-2</v>
      </c>
    </row>
    <row r="3932" spans="6:7" x14ac:dyDescent="0.35">
      <c r="F3932">
        <v>3927</v>
      </c>
      <c r="G3932" s="102">
        <f t="shared" ca="1" si="65"/>
        <v>-7.1064776303982682E-2</v>
      </c>
    </row>
    <row r="3933" spans="6:7" x14ac:dyDescent="0.35">
      <c r="F3933">
        <v>3928</v>
      </c>
      <c r="G3933" s="102">
        <f t="shared" ca="1" si="65"/>
        <v>1.241440917893432E-2</v>
      </c>
    </row>
    <row r="3934" spans="6:7" x14ac:dyDescent="0.35">
      <c r="F3934">
        <v>3929</v>
      </c>
      <c r="G3934" s="102">
        <f t="shared" ca="1" si="65"/>
        <v>-5.6848673963285329E-2</v>
      </c>
    </row>
    <row r="3935" spans="6:7" x14ac:dyDescent="0.35">
      <c r="F3935">
        <v>3930</v>
      </c>
      <c r="G3935" s="102">
        <f t="shared" ca="1" si="65"/>
        <v>-1.0805516887128067E-2</v>
      </c>
    </row>
    <row r="3936" spans="6:7" x14ac:dyDescent="0.35">
      <c r="F3936">
        <v>3931</v>
      </c>
      <c r="G3936" s="102">
        <f t="shared" ca="1" si="65"/>
        <v>-5.290217401774025E-2</v>
      </c>
    </row>
    <row r="3937" spans="6:7" x14ac:dyDescent="0.35">
      <c r="F3937">
        <v>3932</v>
      </c>
      <c r="G3937" s="102">
        <f t="shared" ca="1" si="65"/>
        <v>2.6594187379365374E-2</v>
      </c>
    </row>
    <row r="3938" spans="6:7" x14ac:dyDescent="0.35">
      <c r="F3938">
        <v>3933</v>
      </c>
      <c r="G3938" s="102">
        <f t="shared" ca="1" si="65"/>
        <v>6.9145696161320325E-2</v>
      </c>
    </row>
    <row r="3939" spans="6:7" x14ac:dyDescent="0.35">
      <c r="F3939">
        <v>3934</v>
      </c>
      <c r="G3939" s="102">
        <f t="shared" ca="1" si="65"/>
        <v>4.5906721113107202E-2</v>
      </c>
    </row>
    <row r="3940" spans="6:7" x14ac:dyDescent="0.35">
      <c r="F3940">
        <v>3935</v>
      </c>
      <c r="G3940" s="102">
        <f t="shared" ca="1" si="65"/>
        <v>0.11030417163116601</v>
      </c>
    </row>
    <row r="3941" spans="6:7" x14ac:dyDescent="0.35">
      <c r="F3941">
        <v>3936</v>
      </c>
      <c r="G3941" s="102">
        <f t="shared" ca="1" si="65"/>
        <v>-3.0087814358958472E-2</v>
      </c>
    </row>
    <row r="3942" spans="6:7" x14ac:dyDescent="0.35">
      <c r="F3942">
        <v>3937</v>
      </c>
      <c r="G3942" s="102">
        <f t="shared" ca="1" si="65"/>
        <v>-3.3749466944867579E-2</v>
      </c>
    </row>
    <row r="3943" spans="6:7" x14ac:dyDescent="0.35">
      <c r="F3943">
        <v>3938</v>
      </c>
      <c r="G3943" s="102">
        <f t="shared" ca="1" si="65"/>
        <v>6.9216705535848338E-3</v>
      </c>
    </row>
    <row r="3944" spans="6:7" x14ac:dyDescent="0.35">
      <c r="F3944">
        <v>3939</v>
      </c>
      <c r="G3944" s="102">
        <f t="shared" ca="1" si="65"/>
        <v>0.10059147964096504</v>
      </c>
    </row>
    <row r="3945" spans="6:7" x14ac:dyDescent="0.35">
      <c r="F3945">
        <v>3940</v>
      </c>
      <c r="G3945" s="102">
        <f t="shared" ca="1" si="65"/>
        <v>-0.12402570771138022</v>
      </c>
    </row>
    <row r="3946" spans="6:7" x14ac:dyDescent="0.35">
      <c r="F3946">
        <v>3941</v>
      </c>
      <c r="G3946" s="102">
        <f t="shared" ca="1" si="65"/>
        <v>-3.7110856067676445E-2</v>
      </c>
    </row>
    <row r="3947" spans="6:7" x14ac:dyDescent="0.35">
      <c r="F3947">
        <v>3942</v>
      </c>
      <c r="G3947" s="102">
        <f t="shared" ca="1" si="65"/>
        <v>-3.1110858142337116E-2</v>
      </c>
    </row>
    <row r="3948" spans="6:7" x14ac:dyDescent="0.35">
      <c r="F3948">
        <v>3943</v>
      </c>
      <c r="G3948" s="102">
        <f t="shared" ca="1" si="65"/>
        <v>-1.6628188200909236E-2</v>
      </c>
    </row>
    <row r="3949" spans="6:7" x14ac:dyDescent="0.35">
      <c r="F3949">
        <v>3944</v>
      </c>
      <c r="G3949" s="102">
        <f t="shared" ca="1" si="65"/>
        <v>-1.9712280468429523E-2</v>
      </c>
    </row>
    <row r="3950" spans="6:7" x14ac:dyDescent="0.35">
      <c r="F3950">
        <v>3945</v>
      </c>
      <c r="G3950" s="102">
        <f t="shared" ca="1" si="65"/>
        <v>5.6277249540057833E-2</v>
      </c>
    </row>
    <row r="3951" spans="6:7" x14ac:dyDescent="0.35">
      <c r="F3951">
        <v>3946</v>
      </c>
      <c r="G3951" s="102">
        <f t="shared" ca="1" si="65"/>
        <v>-7.4689195807632724E-2</v>
      </c>
    </row>
    <row r="3952" spans="6:7" x14ac:dyDescent="0.35">
      <c r="F3952">
        <v>3947</v>
      </c>
      <c r="G3952" s="102">
        <f t="shared" ca="1" si="65"/>
        <v>9.1895008082732432E-3</v>
      </c>
    </row>
    <row r="3953" spans="6:7" x14ac:dyDescent="0.35">
      <c r="F3953">
        <v>3948</v>
      </c>
      <c r="G3953" s="102">
        <f t="shared" ca="1" si="65"/>
        <v>1.9656435904768801E-2</v>
      </c>
    </row>
    <row r="3954" spans="6:7" x14ac:dyDescent="0.35">
      <c r="F3954">
        <v>3949</v>
      </c>
      <c r="G3954" s="102">
        <f t="shared" ca="1" si="65"/>
        <v>2.7919707373074209E-2</v>
      </c>
    </row>
    <row r="3955" spans="6:7" x14ac:dyDescent="0.35">
      <c r="F3955">
        <v>3950</v>
      </c>
      <c r="G3955" s="102">
        <f t="shared" ca="1" si="65"/>
        <v>-3.5590742894167776E-2</v>
      </c>
    </row>
    <row r="3956" spans="6:7" x14ac:dyDescent="0.35">
      <c r="F3956">
        <v>3951</v>
      </c>
      <c r="G3956" s="102">
        <f t="shared" ca="1" si="65"/>
        <v>-3.5591259770227729E-2</v>
      </c>
    </row>
    <row r="3957" spans="6:7" x14ac:dyDescent="0.35">
      <c r="F3957">
        <v>3952</v>
      </c>
      <c r="G3957" s="102">
        <f t="shared" ca="1" si="65"/>
        <v>8.1834561284404292E-2</v>
      </c>
    </row>
    <row r="3958" spans="6:7" x14ac:dyDescent="0.35">
      <c r="F3958">
        <v>3953</v>
      </c>
      <c r="G3958" s="102">
        <f t="shared" ca="1" si="65"/>
        <v>2.5663535234675423E-2</v>
      </c>
    </row>
    <row r="3959" spans="6:7" x14ac:dyDescent="0.35">
      <c r="F3959">
        <v>3954</v>
      </c>
      <c r="G3959" s="102">
        <f t="shared" ca="1" si="65"/>
        <v>-4.6118775459900924E-2</v>
      </c>
    </row>
    <row r="3960" spans="6:7" x14ac:dyDescent="0.35">
      <c r="F3960">
        <v>3955</v>
      </c>
      <c r="G3960" s="102">
        <f t="shared" ca="1" si="65"/>
        <v>-3.8210795286844998E-2</v>
      </c>
    </row>
    <row r="3961" spans="6:7" x14ac:dyDescent="0.35">
      <c r="F3961">
        <v>3956</v>
      </c>
      <c r="G3961" s="102">
        <f t="shared" ca="1" si="65"/>
        <v>-2.249714481119788E-2</v>
      </c>
    </row>
    <row r="3962" spans="6:7" x14ac:dyDescent="0.35">
      <c r="F3962">
        <v>3957</v>
      </c>
      <c r="G3962" s="102">
        <f t="shared" ca="1" si="65"/>
        <v>-6.4628311019406331E-2</v>
      </c>
    </row>
    <row r="3963" spans="6:7" x14ac:dyDescent="0.35">
      <c r="F3963">
        <v>3958</v>
      </c>
      <c r="G3963" s="102">
        <f t="shared" ca="1" si="65"/>
        <v>-4.6080220493891197E-2</v>
      </c>
    </row>
    <row r="3964" spans="6:7" x14ac:dyDescent="0.35">
      <c r="F3964">
        <v>3959</v>
      </c>
      <c r="G3964" s="102">
        <f t="shared" ca="1" si="65"/>
        <v>-2.6079410387765511E-2</v>
      </c>
    </row>
    <row r="3965" spans="6:7" x14ac:dyDescent="0.35">
      <c r="F3965">
        <v>3960</v>
      </c>
      <c r="G3965" s="102">
        <f t="shared" ca="1" si="65"/>
        <v>-5.8177849060372711E-2</v>
      </c>
    </row>
    <row r="3966" spans="6:7" x14ac:dyDescent="0.35">
      <c r="F3966">
        <v>3961</v>
      </c>
      <c r="G3966" s="102">
        <f t="shared" ca="1" si="65"/>
        <v>-4.1728305367857099E-2</v>
      </c>
    </row>
    <row r="3967" spans="6:7" x14ac:dyDescent="0.35">
      <c r="F3967">
        <v>3962</v>
      </c>
      <c r="G3967" s="102">
        <f t="shared" ca="1" si="65"/>
        <v>7.1600190753211071E-3</v>
      </c>
    </row>
    <row r="3968" spans="6:7" x14ac:dyDescent="0.35">
      <c r="F3968">
        <v>3963</v>
      </c>
      <c r="G3968" s="102">
        <f t="shared" ca="1" si="65"/>
        <v>4.1121346636687581E-2</v>
      </c>
    </row>
    <row r="3969" spans="6:7" x14ac:dyDescent="0.35">
      <c r="F3969">
        <v>3964</v>
      </c>
      <c r="G3969" s="102">
        <f t="shared" ca="1" si="65"/>
        <v>5.6205957313538363E-2</v>
      </c>
    </row>
    <row r="3970" spans="6:7" x14ac:dyDescent="0.35">
      <c r="F3970">
        <v>3965</v>
      </c>
      <c r="G3970" s="102">
        <f t="shared" ca="1" si="65"/>
        <v>7.5564514556025864E-2</v>
      </c>
    </row>
    <row r="3971" spans="6:7" x14ac:dyDescent="0.35">
      <c r="F3971">
        <v>3966</v>
      </c>
      <c r="G3971" s="102">
        <f t="shared" ca="1" si="65"/>
        <v>-4.891717188361315E-2</v>
      </c>
    </row>
    <row r="3972" spans="6:7" x14ac:dyDescent="0.35">
      <c r="F3972">
        <v>3967</v>
      </c>
      <c r="G3972" s="102">
        <f t="shared" ca="1" si="65"/>
        <v>-8.5278745815342893E-2</v>
      </c>
    </row>
    <row r="3973" spans="6:7" x14ac:dyDescent="0.35">
      <c r="F3973">
        <v>3968</v>
      </c>
      <c r="G3973" s="102">
        <f t="shared" ca="1" si="65"/>
        <v>-3.6292883436615894E-2</v>
      </c>
    </row>
    <row r="3974" spans="6:7" x14ac:dyDescent="0.35">
      <c r="F3974">
        <v>3969</v>
      </c>
      <c r="G3974" s="102">
        <f t="shared" ca="1" si="65"/>
        <v>6.9172052039212506E-5</v>
      </c>
    </row>
    <row r="3975" spans="6:7" x14ac:dyDescent="0.35">
      <c r="F3975">
        <v>3970</v>
      </c>
      <c r="G3975" s="102">
        <f t="shared" ref="G3975:G4038" ca="1" si="66">_xlfn.NORM.INV(RAND(),M$9,M$10)</f>
        <v>1.0251487122877229E-2</v>
      </c>
    </row>
    <row r="3976" spans="6:7" x14ac:dyDescent="0.35">
      <c r="F3976">
        <v>3971</v>
      </c>
      <c r="G3976" s="102">
        <f t="shared" ca="1" si="66"/>
        <v>-3.413654943050078E-3</v>
      </c>
    </row>
    <row r="3977" spans="6:7" x14ac:dyDescent="0.35">
      <c r="F3977">
        <v>3972</v>
      </c>
      <c r="G3977" s="102">
        <f t="shared" ca="1" si="66"/>
        <v>-5.800898716112371E-2</v>
      </c>
    </row>
    <row r="3978" spans="6:7" x14ac:dyDescent="0.35">
      <c r="F3978">
        <v>3973</v>
      </c>
      <c r="G3978" s="102">
        <f t="shared" ca="1" si="66"/>
        <v>-5.5805852553474339E-2</v>
      </c>
    </row>
    <row r="3979" spans="6:7" x14ac:dyDescent="0.35">
      <c r="F3979">
        <v>3974</v>
      </c>
      <c r="G3979" s="102">
        <f t="shared" ca="1" si="66"/>
        <v>6.3973105488983162E-2</v>
      </c>
    </row>
    <row r="3980" spans="6:7" x14ac:dyDescent="0.35">
      <c r="F3980">
        <v>3975</v>
      </c>
      <c r="G3980" s="102">
        <f t="shared" ca="1" si="66"/>
        <v>7.1549570030073464E-2</v>
      </c>
    </row>
    <row r="3981" spans="6:7" x14ac:dyDescent="0.35">
      <c r="F3981">
        <v>3976</v>
      </c>
      <c r="G3981" s="102">
        <f t="shared" ca="1" si="66"/>
        <v>0.13397638143987312</v>
      </c>
    </row>
    <row r="3982" spans="6:7" x14ac:dyDescent="0.35">
      <c r="F3982">
        <v>3977</v>
      </c>
      <c r="G3982" s="102">
        <f t="shared" ca="1" si="66"/>
        <v>8.6301510662911696E-3</v>
      </c>
    </row>
    <row r="3983" spans="6:7" x14ac:dyDescent="0.35">
      <c r="F3983">
        <v>3978</v>
      </c>
      <c r="G3983" s="102">
        <f t="shared" ca="1" si="66"/>
        <v>-7.6365096013240055E-2</v>
      </c>
    </row>
    <row r="3984" spans="6:7" x14ac:dyDescent="0.35">
      <c r="F3984">
        <v>3979</v>
      </c>
      <c r="G3984" s="102">
        <f t="shared" ca="1" si="66"/>
        <v>3.1452622627218818E-2</v>
      </c>
    </row>
    <row r="3985" spans="6:7" x14ac:dyDescent="0.35">
      <c r="F3985">
        <v>3980</v>
      </c>
      <c r="G3985" s="102">
        <f t="shared" ca="1" si="66"/>
        <v>-4.4749378650071392E-2</v>
      </c>
    </row>
    <row r="3986" spans="6:7" x14ac:dyDescent="0.35">
      <c r="F3986">
        <v>3981</v>
      </c>
      <c r="G3986" s="102">
        <f t="shared" ca="1" si="66"/>
        <v>-4.5005736444380842E-2</v>
      </c>
    </row>
    <row r="3987" spans="6:7" x14ac:dyDescent="0.35">
      <c r="F3987">
        <v>3982</v>
      </c>
      <c r="G3987" s="102">
        <f t="shared" ca="1" si="66"/>
        <v>-1.6302598927331055E-3</v>
      </c>
    </row>
    <row r="3988" spans="6:7" x14ac:dyDescent="0.35">
      <c r="F3988">
        <v>3983</v>
      </c>
      <c r="G3988" s="102">
        <f t="shared" ca="1" si="66"/>
        <v>6.6050759232142028E-2</v>
      </c>
    </row>
    <row r="3989" spans="6:7" x14ac:dyDescent="0.35">
      <c r="F3989">
        <v>3984</v>
      </c>
      <c r="G3989" s="102">
        <f t="shared" ca="1" si="66"/>
        <v>9.3068805586721245E-2</v>
      </c>
    </row>
    <row r="3990" spans="6:7" x14ac:dyDescent="0.35">
      <c r="F3990">
        <v>3985</v>
      </c>
      <c r="G3990" s="102">
        <f t="shared" ca="1" si="66"/>
        <v>-2.1726804611637486E-2</v>
      </c>
    </row>
    <row r="3991" spans="6:7" x14ac:dyDescent="0.35">
      <c r="F3991">
        <v>3986</v>
      </c>
      <c r="G3991" s="102">
        <f t="shared" ca="1" si="66"/>
        <v>0.11009894211559813</v>
      </c>
    </row>
    <row r="3992" spans="6:7" x14ac:dyDescent="0.35">
      <c r="F3992">
        <v>3987</v>
      </c>
      <c r="G3992" s="102">
        <f t="shared" ca="1" si="66"/>
        <v>7.487322793725297E-2</v>
      </c>
    </row>
    <row r="3993" spans="6:7" x14ac:dyDescent="0.35">
      <c r="F3993">
        <v>3988</v>
      </c>
      <c r="G3993" s="102">
        <f t="shared" ca="1" si="66"/>
        <v>1.9178604081414634E-2</v>
      </c>
    </row>
    <row r="3994" spans="6:7" x14ac:dyDescent="0.35">
      <c r="F3994">
        <v>3989</v>
      </c>
      <c r="G3994" s="102">
        <f t="shared" ca="1" si="66"/>
        <v>-0.16366877564673665</v>
      </c>
    </row>
    <row r="3995" spans="6:7" x14ac:dyDescent="0.35">
      <c r="F3995">
        <v>3990</v>
      </c>
      <c r="G3995" s="102">
        <f t="shared" ca="1" si="66"/>
        <v>-4.7449677714153191E-2</v>
      </c>
    </row>
    <row r="3996" spans="6:7" x14ac:dyDescent="0.35">
      <c r="F3996">
        <v>3991</v>
      </c>
      <c r="G3996" s="102">
        <f t="shared" ca="1" si="66"/>
        <v>1.8448643123943582E-2</v>
      </c>
    </row>
    <row r="3997" spans="6:7" x14ac:dyDescent="0.35">
      <c r="F3997">
        <v>3992</v>
      </c>
      <c r="G3997" s="102">
        <f t="shared" ca="1" si="66"/>
        <v>2.6554525254078951E-3</v>
      </c>
    </row>
    <row r="3998" spans="6:7" x14ac:dyDescent="0.35">
      <c r="F3998">
        <v>3993</v>
      </c>
      <c r="G3998" s="102">
        <f t="shared" ca="1" si="66"/>
        <v>-4.9987166258593204E-3</v>
      </c>
    </row>
    <row r="3999" spans="6:7" x14ac:dyDescent="0.35">
      <c r="F3999">
        <v>3994</v>
      </c>
      <c r="G3999" s="102">
        <f t="shared" ca="1" si="66"/>
        <v>-1.5014406432642029E-2</v>
      </c>
    </row>
    <row r="4000" spans="6:7" x14ac:dyDescent="0.35">
      <c r="F4000">
        <v>3995</v>
      </c>
      <c r="G4000" s="102">
        <f t="shared" ca="1" si="66"/>
        <v>1.1558498015728624E-2</v>
      </c>
    </row>
    <row r="4001" spans="6:7" x14ac:dyDescent="0.35">
      <c r="F4001">
        <v>3996</v>
      </c>
      <c r="G4001" s="102">
        <f t="shared" ca="1" si="66"/>
        <v>-0.14688485241670821</v>
      </c>
    </row>
    <row r="4002" spans="6:7" x14ac:dyDescent="0.35">
      <c r="F4002">
        <v>3997</v>
      </c>
      <c r="G4002" s="102">
        <f t="shared" ca="1" si="66"/>
        <v>0.12766472533121198</v>
      </c>
    </row>
    <row r="4003" spans="6:7" x14ac:dyDescent="0.35">
      <c r="F4003">
        <v>3998</v>
      </c>
      <c r="G4003" s="102">
        <f t="shared" ca="1" si="66"/>
        <v>-3.0694143798347708E-2</v>
      </c>
    </row>
    <row r="4004" spans="6:7" x14ac:dyDescent="0.35">
      <c r="F4004">
        <v>3999</v>
      </c>
      <c r="G4004" s="102">
        <f t="shared" ca="1" si="66"/>
        <v>-6.5574401692555847E-3</v>
      </c>
    </row>
    <row r="4005" spans="6:7" x14ac:dyDescent="0.35">
      <c r="F4005">
        <v>4000</v>
      </c>
      <c r="G4005" s="102">
        <f t="shared" ca="1" si="66"/>
        <v>-6.2062288744033176E-2</v>
      </c>
    </row>
    <row r="4006" spans="6:7" x14ac:dyDescent="0.35">
      <c r="F4006">
        <v>4001</v>
      </c>
      <c r="G4006" s="102">
        <f t="shared" ca="1" si="66"/>
        <v>9.0490951014886634E-2</v>
      </c>
    </row>
    <row r="4007" spans="6:7" x14ac:dyDescent="0.35">
      <c r="F4007">
        <v>4002</v>
      </c>
      <c r="G4007" s="102">
        <f t="shared" ca="1" si="66"/>
        <v>1.7294135395932277E-3</v>
      </c>
    </row>
    <row r="4008" spans="6:7" x14ac:dyDescent="0.35">
      <c r="F4008">
        <v>4003</v>
      </c>
      <c r="G4008" s="102">
        <f t="shared" ca="1" si="66"/>
        <v>-2.0810453981868135E-2</v>
      </c>
    </row>
    <row r="4009" spans="6:7" x14ac:dyDescent="0.35">
      <c r="F4009">
        <v>4004</v>
      </c>
      <c r="G4009" s="102">
        <f t="shared" ca="1" si="66"/>
        <v>4.7339386679716738E-2</v>
      </c>
    </row>
    <row r="4010" spans="6:7" x14ac:dyDescent="0.35">
      <c r="F4010">
        <v>4005</v>
      </c>
      <c r="G4010" s="102">
        <f t="shared" ca="1" si="66"/>
        <v>1.1537706798463877E-3</v>
      </c>
    </row>
    <row r="4011" spans="6:7" x14ac:dyDescent="0.35">
      <c r="F4011">
        <v>4006</v>
      </c>
      <c r="G4011" s="102">
        <f t="shared" ca="1" si="66"/>
        <v>-5.0987786811342653E-2</v>
      </c>
    </row>
    <row r="4012" spans="6:7" x14ac:dyDescent="0.35">
      <c r="F4012">
        <v>4007</v>
      </c>
      <c r="G4012" s="102">
        <f t="shared" ca="1" si="66"/>
        <v>-3.5232300911562611E-2</v>
      </c>
    </row>
    <row r="4013" spans="6:7" x14ac:dyDescent="0.35">
      <c r="F4013">
        <v>4008</v>
      </c>
      <c r="G4013" s="102">
        <f t="shared" ca="1" si="66"/>
        <v>-4.8162438324325665E-2</v>
      </c>
    </row>
    <row r="4014" spans="6:7" x14ac:dyDescent="0.35">
      <c r="F4014">
        <v>4009</v>
      </c>
      <c r="G4014" s="102">
        <f t="shared" ca="1" si="66"/>
        <v>6.8344496939935495E-2</v>
      </c>
    </row>
    <row r="4015" spans="6:7" x14ac:dyDescent="0.35">
      <c r="F4015">
        <v>4010</v>
      </c>
      <c r="G4015" s="102">
        <f t="shared" ca="1" si="66"/>
        <v>0.10081956266797763</v>
      </c>
    </row>
    <row r="4016" spans="6:7" x14ac:dyDescent="0.35">
      <c r="F4016">
        <v>4011</v>
      </c>
      <c r="G4016" s="102">
        <f t="shared" ca="1" si="66"/>
        <v>-3.9443995880045449E-2</v>
      </c>
    </row>
    <row r="4017" spans="6:7" x14ac:dyDescent="0.35">
      <c r="F4017">
        <v>4012</v>
      </c>
      <c r="G4017" s="102">
        <f t="shared" ca="1" si="66"/>
        <v>0.10846861480235136</v>
      </c>
    </row>
    <row r="4018" spans="6:7" x14ac:dyDescent="0.35">
      <c r="F4018">
        <v>4013</v>
      </c>
      <c r="G4018" s="102">
        <f t="shared" ca="1" si="66"/>
        <v>-7.8520831862094825E-2</v>
      </c>
    </row>
    <row r="4019" spans="6:7" x14ac:dyDescent="0.35">
      <c r="F4019">
        <v>4014</v>
      </c>
      <c r="G4019" s="102">
        <f t="shared" ca="1" si="66"/>
        <v>-2.2381866416973071E-2</v>
      </c>
    </row>
    <row r="4020" spans="6:7" x14ac:dyDescent="0.35">
      <c r="F4020">
        <v>4015</v>
      </c>
      <c r="G4020" s="102">
        <f t="shared" ca="1" si="66"/>
        <v>1.2130567684932352E-2</v>
      </c>
    </row>
    <row r="4021" spans="6:7" x14ac:dyDescent="0.35">
      <c r="F4021">
        <v>4016</v>
      </c>
      <c r="G4021" s="102">
        <f t="shared" ca="1" si="66"/>
        <v>2.3707373639869252E-2</v>
      </c>
    </row>
    <row r="4022" spans="6:7" x14ac:dyDescent="0.35">
      <c r="F4022">
        <v>4017</v>
      </c>
      <c r="G4022" s="102">
        <f t="shared" ca="1" si="66"/>
        <v>-3.8971686464888424E-3</v>
      </c>
    </row>
    <row r="4023" spans="6:7" x14ac:dyDescent="0.35">
      <c r="F4023">
        <v>4018</v>
      </c>
      <c r="G4023" s="102">
        <f t="shared" ca="1" si="66"/>
        <v>-4.9299411477527533E-2</v>
      </c>
    </row>
    <row r="4024" spans="6:7" x14ac:dyDescent="0.35">
      <c r="F4024">
        <v>4019</v>
      </c>
      <c r="G4024" s="102">
        <f t="shared" ca="1" si="66"/>
        <v>6.5007438248385601E-3</v>
      </c>
    </row>
    <row r="4025" spans="6:7" x14ac:dyDescent="0.35">
      <c r="F4025">
        <v>4020</v>
      </c>
      <c r="G4025" s="102">
        <f t="shared" ca="1" si="66"/>
        <v>-7.0993083890804082E-2</v>
      </c>
    </row>
    <row r="4026" spans="6:7" x14ac:dyDescent="0.35">
      <c r="F4026">
        <v>4021</v>
      </c>
      <c r="G4026" s="102">
        <f t="shared" ca="1" si="66"/>
        <v>-1.6278644260346337E-2</v>
      </c>
    </row>
    <row r="4027" spans="6:7" x14ac:dyDescent="0.35">
      <c r="F4027">
        <v>4022</v>
      </c>
      <c r="G4027" s="102">
        <f t="shared" ca="1" si="66"/>
        <v>1.0572640872087372E-3</v>
      </c>
    </row>
    <row r="4028" spans="6:7" x14ac:dyDescent="0.35">
      <c r="F4028">
        <v>4023</v>
      </c>
      <c r="G4028" s="102">
        <f t="shared" ca="1" si="66"/>
        <v>-4.4970803348452909E-2</v>
      </c>
    </row>
    <row r="4029" spans="6:7" x14ac:dyDescent="0.35">
      <c r="F4029">
        <v>4024</v>
      </c>
      <c r="G4029" s="102">
        <f t="shared" ca="1" si="66"/>
        <v>5.2744831162533146E-2</v>
      </c>
    </row>
    <row r="4030" spans="6:7" x14ac:dyDescent="0.35">
      <c r="F4030">
        <v>4025</v>
      </c>
      <c r="G4030" s="102">
        <f t="shared" ca="1" si="66"/>
        <v>-2.1995073638861082E-2</v>
      </c>
    </row>
    <row r="4031" spans="6:7" x14ac:dyDescent="0.35">
      <c r="F4031">
        <v>4026</v>
      </c>
      <c r="G4031" s="102">
        <f t="shared" ca="1" si="66"/>
        <v>-4.2753311996698337E-2</v>
      </c>
    </row>
    <row r="4032" spans="6:7" x14ac:dyDescent="0.35">
      <c r="F4032">
        <v>4027</v>
      </c>
      <c r="G4032" s="102">
        <f t="shared" ca="1" si="66"/>
        <v>-5.3079022186812125E-2</v>
      </c>
    </row>
    <row r="4033" spans="6:7" x14ac:dyDescent="0.35">
      <c r="F4033">
        <v>4028</v>
      </c>
      <c r="G4033" s="102">
        <f t="shared" ca="1" si="66"/>
        <v>3.2649117346985376E-2</v>
      </c>
    </row>
    <row r="4034" spans="6:7" x14ac:dyDescent="0.35">
      <c r="F4034">
        <v>4029</v>
      </c>
      <c r="G4034" s="102">
        <f t="shared" ca="1" si="66"/>
        <v>-3.7367989707269545E-3</v>
      </c>
    </row>
    <row r="4035" spans="6:7" x14ac:dyDescent="0.35">
      <c r="F4035">
        <v>4030</v>
      </c>
      <c r="G4035" s="102">
        <f t="shared" ca="1" si="66"/>
        <v>-1.3434652242564833E-2</v>
      </c>
    </row>
    <row r="4036" spans="6:7" x14ac:dyDescent="0.35">
      <c r="F4036">
        <v>4031</v>
      </c>
      <c r="G4036" s="102">
        <f t="shared" ca="1" si="66"/>
        <v>-1.9451979118294868E-2</v>
      </c>
    </row>
    <row r="4037" spans="6:7" x14ac:dyDescent="0.35">
      <c r="F4037">
        <v>4032</v>
      </c>
      <c r="G4037" s="102">
        <f t="shared" ca="1" si="66"/>
        <v>7.61844745770765E-3</v>
      </c>
    </row>
    <row r="4038" spans="6:7" x14ac:dyDescent="0.35">
      <c r="F4038">
        <v>4033</v>
      </c>
      <c r="G4038" s="102">
        <f t="shared" ca="1" si="66"/>
        <v>-4.2479026332640044E-2</v>
      </c>
    </row>
    <row r="4039" spans="6:7" x14ac:dyDescent="0.35">
      <c r="F4039">
        <v>4034</v>
      </c>
      <c r="G4039" s="102">
        <f t="shared" ref="G4039:G4102" ca="1" si="67">_xlfn.NORM.INV(RAND(),M$9,M$10)</f>
        <v>4.445991023607572E-2</v>
      </c>
    </row>
    <row r="4040" spans="6:7" x14ac:dyDescent="0.35">
      <c r="F4040">
        <v>4035</v>
      </c>
      <c r="G4040" s="102">
        <f t="shared" ca="1" si="67"/>
        <v>-4.779776684085614E-2</v>
      </c>
    </row>
    <row r="4041" spans="6:7" x14ac:dyDescent="0.35">
      <c r="F4041">
        <v>4036</v>
      </c>
      <c r="G4041" s="102">
        <f t="shared" ca="1" si="67"/>
        <v>6.6201685685052067E-2</v>
      </c>
    </row>
    <row r="4042" spans="6:7" x14ac:dyDescent="0.35">
      <c r="F4042">
        <v>4037</v>
      </c>
      <c r="G4042" s="102">
        <f t="shared" ca="1" si="67"/>
        <v>1.7981126219630831E-2</v>
      </c>
    </row>
    <row r="4043" spans="6:7" x14ac:dyDescent="0.35">
      <c r="F4043">
        <v>4038</v>
      </c>
      <c r="G4043" s="102">
        <f t="shared" ca="1" si="67"/>
        <v>8.4350306199833927E-2</v>
      </c>
    </row>
    <row r="4044" spans="6:7" x14ac:dyDescent="0.35">
      <c r="F4044">
        <v>4039</v>
      </c>
      <c r="G4044" s="102">
        <f t="shared" ca="1" si="67"/>
        <v>6.334328417635271E-2</v>
      </c>
    </row>
    <row r="4045" spans="6:7" x14ac:dyDescent="0.35">
      <c r="F4045">
        <v>4040</v>
      </c>
      <c r="G4045" s="102">
        <f t="shared" ca="1" si="67"/>
        <v>-3.9028342234953078E-2</v>
      </c>
    </row>
    <row r="4046" spans="6:7" x14ac:dyDescent="0.35">
      <c r="F4046">
        <v>4041</v>
      </c>
      <c r="G4046" s="102">
        <f t="shared" ca="1" si="67"/>
        <v>-6.2977352235372139E-2</v>
      </c>
    </row>
    <row r="4047" spans="6:7" x14ac:dyDescent="0.35">
      <c r="F4047">
        <v>4042</v>
      </c>
      <c r="G4047" s="102">
        <f t="shared" ca="1" si="67"/>
        <v>-6.647794813741917E-3</v>
      </c>
    </row>
    <row r="4048" spans="6:7" x14ac:dyDescent="0.35">
      <c r="F4048">
        <v>4043</v>
      </c>
      <c r="G4048" s="102">
        <f t="shared" ca="1" si="67"/>
        <v>-5.3575175646536202E-2</v>
      </c>
    </row>
    <row r="4049" spans="6:7" x14ac:dyDescent="0.35">
      <c r="F4049">
        <v>4044</v>
      </c>
      <c r="G4049" s="102">
        <f t="shared" ca="1" si="67"/>
        <v>-3.7823506004599189E-2</v>
      </c>
    </row>
    <row r="4050" spans="6:7" x14ac:dyDescent="0.35">
      <c r="F4050">
        <v>4045</v>
      </c>
      <c r="G4050" s="102">
        <f t="shared" ca="1" si="67"/>
        <v>3.4403772982895459E-2</v>
      </c>
    </row>
    <row r="4051" spans="6:7" x14ac:dyDescent="0.35">
      <c r="F4051">
        <v>4046</v>
      </c>
      <c r="G4051" s="102">
        <f t="shared" ca="1" si="67"/>
        <v>-7.4687682312249343E-2</v>
      </c>
    </row>
    <row r="4052" spans="6:7" x14ac:dyDescent="0.35">
      <c r="F4052">
        <v>4047</v>
      </c>
      <c r="G4052" s="102">
        <f t="shared" ca="1" si="67"/>
        <v>9.9925137923790649E-3</v>
      </c>
    </row>
    <row r="4053" spans="6:7" x14ac:dyDescent="0.35">
      <c r="F4053">
        <v>4048</v>
      </c>
      <c r="G4053" s="102">
        <f t="shared" ca="1" si="67"/>
        <v>-5.2581225933726466E-2</v>
      </c>
    </row>
    <row r="4054" spans="6:7" x14ac:dyDescent="0.35">
      <c r="F4054">
        <v>4049</v>
      </c>
      <c r="G4054" s="102">
        <f t="shared" ca="1" si="67"/>
        <v>-0.1017544584236367</v>
      </c>
    </row>
    <row r="4055" spans="6:7" x14ac:dyDescent="0.35">
      <c r="F4055">
        <v>4050</v>
      </c>
      <c r="G4055" s="102">
        <f t="shared" ca="1" si="67"/>
        <v>-6.0218171043270083E-2</v>
      </c>
    </row>
    <row r="4056" spans="6:7" x14ac:dyDescent="0.35">
      <c r="F4056">
        <v>4051</v>
      </c>
      <c r="G4056" s="102">
        <f t="shared" ca="1" si="67"/>
        <v>6.4243218732706109E-2</v>
      </c>
    </row>
    <row r="4057" spans="6:7" x14ac:dyDescent="0.35">
      <c r="F4057">
        <v>4052</v>
      </c>
      <c r="G4057" s="102">
        <f t="shared" ca="1" si="67"/>
        <v>3.1552854624460995E-3</v>
      </c>
    </row>
    <row r="4058" spans="6:7" x14ac:dyDescent="0.35">
      <c r="F4058">
        <v>4053</v>
      </c>
      <c r="G4058" s="102">
        <f t="shared" ca="1" si="67"/>
        <v>3.9119276577243581E-2</v>
      </c>
    </row>
    <row r="4059" spans="6:7" x14ac:dyDescent="0.35">
      <c r="F4059">
        <v>4054</v>
      </c>
      <c r="G4059" s="102">
        <f t="shared" ca="1" si="67"/>
        <v>-3.9313561020017707E-2</v>
      </c>
    </row>
    <row r="4060" spans="6:7" x14ac:dyDescent="0.35">
      <c r="F4060">
        <v>4055</v>
      </c>
      <c r="G4060" s="102">
        <f t="shared" ca="1" si="67"/>
        <v>-0.10203151173883694</v>
      </c>
    </row>
    <row r="4061" spans="6:7" x14ac:dyDescent="0.35">
      <c r="F4061">
        <v>4056</v>
      </c>
      <c r="G4061" s="102">
        <f t="shared" ca="1" si="67"/>
        <v>-1.8539745106104909E-3</v>
      </c>
    </row>
    <row r="4062" spans="6:7" x14ac:dyDescent="0.35">
      <c r="F4062">
        <v>4057</v>
      </c>
      <c r="G4062" s="102">
        <f t="shared" ca="1" si="67"/>
        <v>-3.1804275309874327E-2</v>
      </c>
    </row>
    <row r="4063" spans="6:7" x14ac:dyDescent="0.35">
      <c r="F4063">
        <v>4058</v>
      </c>
      <c r="G4063" s="102">
        <f t="shared" ca="1" si="67"/>
        <v>1.6641390684603276E-2</v>
      </c>
    </row>
    <row r="4064" spans="6:7" x14ac:dyDescent="0.35">
      <c r="F4064">
        <v>4059</v>
      </c>
      <c r="G4064" s="102">
        <f t="shared" ca="1" si="67"/>
        <v>-3.2711905075867983E-3</v>
      </c>
    </row>
    <row r="4065" spans="6:7" x14ac:dyDescent="0.35">
      <c r="F4065">
        <v>4060</v>
      </c>
      <c r="G4065" s="102">
        <f t="shared" ca="1" si="67"/>
        <v>5.8505397835170378E-4</v>
      </c>
    </row>
    <row r="4066" spans="6:7" x14ac:dyDescent="0.35">
      <c r="F4066">
        <v>4061</v>
      </c>
      <c r="G4066" s="102">
        <f t="shared" ca="1" si="67"/>
        <v>-2.0157741980076735E-2</v>
      </c>
    </row>
    <row r="4067" spans="6:7" x14ac:dyDescent="0.35">
      <c r="F4067">
        <v>4062</v>
      </c>
      <c r="G4067" s="102">
        <f t="shared" ca="1" si="67"/>
        <v>-5.4252471313423922E-2</v>
      </c>
    </row>
    <row r="4068" spans="6:7" x14ac:dyDescent="0.35">
      <c r="F4068">
        <v>4063</v>
      </c>
      <c r="G4068" s="102">
        <f t="shared" ca="1" si="67"/>
        <v>7.4564178545346887E-2</v>
      </c>
    </row>
    <row r="4069" spans="6:7" x14ac:dyDescent="0.35">
      <c r="F4069">
        <v>4064</v>
      </c>
      <c r="G4069" s="102">
        <f t="shared" ca="1" si="67"/>
        <v>-0.11635422371806389</v>
      </c>
    </row>
    <row r="4070" spans="6:7" x14ac:dyDescent="0.35">
      <c r="F4070">
        <v>4065</v>
      </c>
      <c r="G4070" s="102">
        <f t="shared" ca="1" si="67"/>
        <v>-1.7658045770723857E-2</v>
      </c>
    </row>
    <row r="4071" spans="6:7" x14ac:dyDescent="0.35">
      <c r="F4071">
        <v>4066</v>
      </c>
      <c r="G4071" s="102">
        <f t="shared" ca="1" si="67"/>
        <v>3.6258140006722311E-2</v>
      </c>
    </row>
    <row r="4072" spans="6:7" x14ac:dyDescent="0.35">
      <c r="F4072">
        <v>4067</v>
      </c>
      <c r="G4072" s="102">
        <f t="shared" ca="1" si="67"/>
        <v>7.6960425799998358E-2</v>
      </c>
    </row>
    <row r="4073" spans="6:7" x14ac:dyDescent="0.35">
      <c r="F4073">
        <v>4068</v>
      </c>
      <c r="G4073" s="102">
        <f t="shared" ca="1" si="67"/>
        <v>-9.0724846540144594E-3</v>
      </c>
    </row>
    <row r="4074" spans="6:7" x14ac:dyDescent="0.35">
      <c r="F4074">
        <v>4069</v>
      </c>
      <c r="G4074" s="102">
        <f t="shared" ca="1" si="67"/>
        <v>-8.6932024708574404E-2</v>
      </c>
    </row>
    <row r="4075" spans="6:7" x14ac:dyDescent="0.35">
      <c r="F4075">
        <v>4070</v>
      </c>
      <c r="G4075" s="102">
        <f t="shared" ca="1" si="67"/>
        <v>1.9036226383902118E-2</v>
      </c>
    </row>
    <row r="4076" spans="6:7" x14ac:dyDescent="0.35">
      <c r="F4076">
        <v>4071</v>
      </c>
      <c r="G4076" s="102">
        <f t="shared" ca="1" si="67"/>
        <v>7.7906030795911116E-3</v>
      </c>
    </row>
    <row r="4077" spans="6:7" x14ac:dyDescent="0.35">
      <c r="F4077">
        <v>4072</v>
      </c>
      <c r="G4077" s="102">
        <f t="shared" ca="1" si="67"/>
        <v>-1.9046414216476642E-3</v>
      </c>
    </row>
    <row r="4078" spans="6:7" x14ac:dyDescent="0.35">
      <c r="F4078">
        <v>4073</v>
      </c>
      <c r="G4078" s="102">
        <f t="shared" ca="1" si="67"/>
        <v>2.9136286727673103E-2</v>
      </c>
    </row>
    <row r="4079" spans="6:7" x14ac:dyDescent="0.35">
      <c r="F4079">
        <v>4074</v>
      </c>
      <c r="G4079" s="102">
        <f t="shared" ca="1" si="67"/>
        <v>-1.1235213822886246E-2</v>
      </c>
    </row>
    <row r="4080" spans="6:7" x14ac:dyDescent="0.35">
      <c r="F4080">
        <v>4075</v>
      </c>
      <c r="G4080" s="102">
        <f t="shared" ca="1" si="67"/>
        <v>-6.2391707459130183E-2</v>
      </c>
    </row>
    <row r="4081" spans="6:7" x14ac:dyDescent="0.35">
      <c r="F4081">
        <v>4076</v>
      </c>
      <c r="G4081" s="102">
        <f t="shared" ca="1" si="67"/>
        <v>-4.400511312018722E-2</v>
      </c>
    </row>
    <row r="4082" spans="6:7" x14ac:dyDescent="0.35">
      <c r="F4082">
        <v>4077</v>
      </c>
      <c r="G4082" s="102">
        <f t="shared" ca="1" si="67"/>
        <v>-5.4308975878164994E-2</v>
      </c>
    </row>
    <row r="4083" spans="6:7" x14ac:dyDescent="0.35">
      <c r="F4083">
        <v>4078</v>
      </c>
      <c r="G4083" s="102">
        <f t="shared" ca="1" si="67"/>
        <v>-5.9269391958038098E-2</v>
      </c>
    </row>
    <row r="4084" spans="6:7" x14ac:dyDescent="0.35">
      <c r="F4084">
        <v>4079</v>
      </c>
      <c r="G4084" s="102">
        <f t="shared" ca="1" si="67"/>
        <v>-0.1812741568439141</v>
      </c>
    </row>
    <row r="4085" spans="6:7" x14ac:dyDescent="0.35">
      <c r="F4085">
        <v>4080</v>
      </c>
      <c r="G4085" s="102">
        <f t="shared" ca="1" si="67"/>
        <v>-5.5820505128296158E-2</v>
      </c>
    </row>
    <row r="4086" spans="6:7" x14ac:dyDescent="0.35">
      <c r="F4086">
        <v>4081</v>
      </c>
      <c r="G4086" s="102">
        <f t="shared" ca="1" si="67"/>
        <v>-7.561009796995545E-2</v>
      </c>
    </row>
    <row r="4087" spans="6:7" x14ac:dyDescent="0.35">
      <c r="F4087">
        <v>4082</v>
      </c>
      <c r="G4087" s="102">
        <f t="shared" ca="1" si="67"/>
        <v>1.046188061668213E-3</v>
      </c>
    </row>
    <row r="4088" spans="6:7" x14ac:dyDescent="0.35">
      <c r="F4088">
        <v>4083</v>
      </c>
      <c r="G4088" s="102">
        <f t="shared" ca="1" si="67"/>
        <v>-6.842903146298103E-3</v>
      </c>
    </row>
    <row r="4089" spans="6:7" x14ac:dyDescent="0.35">
      <c r="F4089">
        <v>4084</v>
      </c>
      <c r="G4089" s="102">
        <f t="shared" ca="1" si="67"/>
        <v>-2.1047957000270998E-2</v>
      </c>
    </row>
    <row r="4090" spans="6:7" x14ac:dyDescent="0.35">
      <c r="F4090">
        <v>4085</v>
      </c>
      <c r="G4090" s="102">
        <f t="shared" ca="1" si="67"/>
        <v>-2.0096661588189381E-2</v>
      </c>
    </row>
    <row r="4091" spans="6:7" x14ac:dyDescent="0.35">
      <c r="F4091">
        <v>4086</v>
      </c>
      <c r="G4091" s="102">
        <f t="shared" ca="1" si="67"/>
        <v>3.4550095037059331E-2</v>
      </c>
    </row>
    <row r="4092" spans="6:7" x14ac:dyDescent="0.35">
      <c r="F4092">
        <v>4087</v>
      </c>
      <c r="G4092" s="102">
        <f t="shared" ca="1" si="67"/>
        <v>-3.9115858092692496E-2</v>
      </c>
    </row>
    <row r="4093" spans="6:7" x14ac:dyDescent="0.35">
      <c r="F4093">
        <v>4088</v>
      </c>
      <c r="G4093" s="102">
        <f t="shared" ca="1" si="67"/>
        <v>9.1599540715468525E-2</v>
      </c>
    </row>
    <row r="4094" spans="6:7" x14ac:dyDescent="0.35">
      <c r="F4094">
        <v>4089</v>
      </c>
      <c r="G4094" s="102">
        <f t="shared" ca="1" si="67"/>
        <v>-2.7930504548734997E-2</v>
      </c>
    </row>
    <row r="4095" spans="6:7" x14ac:dyDescent="0.35">
      <c r="F4095">
        <v>4090</v>
      </c>
      <c r="G4095" s="102">
        <f t="shared" ca="1" si="67"/>
        <v>4.610873936767397E-2</v>
      </c>
    </row>
    <row r="4096" spans="6:7" x14ac:dyDescent="0.35">
      <c r="F4096">
        <v>4091</v>
      </c>
      <c r="G4096" s="102">
        <f t="shared" ca="1" si="67"/>
        <v>-3.3186170824712757E-2</v>
      </c>
    </row>
    <row r="4097" spans="6:7" x14ac:dyDescent="0.35">
      <c r="F4097">
        <v>4092</v>
      </c>
      <c r="G4097" s="102">
        <f t="shared" ca="1" si="67"/>
        <v>0.15218665620130128</v>
      </c>
    </row>
    <row r="4098" spans="6:7" x14ac:dyDescent="0.35">
      <c r="F4098">
        <v>4093</v>
      </c>
      <c r="G4098" s="102">
        <f t="shared" ca="1" si="67"/>
        <v>-6.5867238454767732E-2</v>
      </c>
    </row>
    <row r="4099" spans="6:7" x14ac:dyDescent="0.35">
      <c r="F4099">
        <v>4094</v>
      </c>
      <c r="G4099" s="102">
        <f t="shared" ca="1" si="67"/>
        <v>-3.4958686493025692E-2</v>
      </c>
    </row>
    <row r="4100" spans="6:7" x14ac:dyDescent="0.35">
      <c r="F4100">
        <v>4095</v>
      </c>
      <c r="G4100" s="102">
        <f t="shared" ca="1" si="67"/>
        <v>7.4844807327941826E-2</v>
      </c>
    </row>
    <row r="4101" spans="6:7" x14ac:dyDescent="0.35">
      <c r="F4101">
        <v>4096</v>
      </c>
      <c r="G4101" s="102">
        <f t="shared" ca="1" si="67"/>
        <v>-6.7279936396217099E-2</v>
      </c>
    </row>
    <row r="4102" spans="6:7" x14ac:dyDescent="0.35">
      <c r="F4102">
        <v>4097</v>
      </c>
      <c r="G4102" s="102">
        <f t="shared" ca="1" si="67"/>
        <v>-2.4762022570852714E-2</v>
      </c>
    </row>
    <row r="4103" spans="6:7" x14ac:dyDescent="0.35">
      <c r="F4103">
        <v>4098</v>
      </c>
      <c r="G4103" s="102">
        <f t="shared" ref="G4103:G4166" ca="1" si="68">_xlfn.NORM.INV(RAND(),M$9,M$10)</f>
        <v>-8.9643802475627782E-2</v>
      </c>
    </row>
    <row r="4104" spans="6:7" x14ac:dyDescent="0.35">
      <c r="F4104">
        <v>4099</v>
      </c>
      <c r="G4104" s="102">
        <f t="shared" ca="1" si="68"/>
        <v>3.4620680889896574E-2</v>
      </c>
    </row>
    <row r="4105" spans="6:7" x14ac:dyDescent="0.35">
      <c r="F4105">
        <v>4100</v>
      </c>
      <c r="G4105" s="102">
        <f t="shared" ca="1" si="68"/>
        <v>-1.4057340155382353E-2</v>
      </c>
    </row>
    <row r="4106" spans="6:7" x14ac:dyDescent="0.35">
      <c r="F4106">
        <v>4101</v>
      </c>
      <c r="G4106" s="102">
        <f t="shared" ca="1" si="68"/>
        <v>3.5609782575844323E-2</v>
      </c>
    </row>
    <row r="4107" spans="6:7" x14ac:dyDescent="0.35">
      <c r="F4107">
        <v>4102</v>
      </c>
      <c r="G4107" s="102">
        <f t="shared" ca="1" si="68"/>
        <v>-4.3334399842823682E-2</v>
      </c>
    </row>
    <row r="4108" spans="6:7" x14ac:dyDescent="0.35">
      <c r="F4108">
        <v>4103</v>
      </c>
      <c r="G4108" s="102">
        <f t="shared" ca="1" si="68"/>
        <v>-1.1057176680320267E-2</v>
      </c>
    </row>
    <row r="4109" spans="6:7" x14ac:dyDescent="0.35">
      <c r="F4109">
        <v>4104</v>
      </c>
      <c r="G4109" s="102">
        <f t="shared" ca="1" si="68"/>
        <v>5.7950418905744847E-3</v>
      </c>
    </row>
    <row r="4110" spans="6:7" x14ac:dyDescent="0.35">
      <c r="F4110">
        <v>4105</v>
      </c>
      <c r="G4110" s="102">
        <f t="shared" ca="1" si="68"/>
        <v>7.6084188841181177E-2</v>
      </c>
    </row>
    <row r="4111" spans="6:7" x14ac:dyDescent="0.35">
      <c r="F4111">
        <v>4106</v>
      </c>
      <c r="G4111" s="102">
        <f t="shared" ca="1" si="68"/>
        <v>-3.3548096750191936E-2</v>
      </c>
    </row>
    <row r="4112" spans="6:7" x14ac:dyDescent="0.35">
      <c r="F4112">
        <v>4107</v>
      </c>
      <c r="G4112" s="102">
        <f t="shared" ca="1" si="68"/>
        <v>-7.3647424100440728E-2</v>
      </c>
    </row>
    <row r="4113" spans="6:7" x14ac:dyDescent="0.35">
      <c r="F4113">
        <v>4108</v>
      </c>
      <c r="G4113" s="102">
        <f t="shared" ca="1" si="68"/>
        <v>2.1029040311124157E-4</v>
      </c>
    </row>
    <row r="4114" spans="6:7" x14ac:dyDescent="0.35">
      <c r="F4114">
        <v>4109</v>
      </c>
      <c r="G4114" s="102">
        <f t="shared" ca="1" si="68"/>
        <v>-8.82148938447085E-2</v>
      </c>
    </row>
    <row r="4115" spans="6:7" x14ac:dyDescent="0.35">
      <c r="F4115">
        <v>4110</v>
      </c>
      <c r="G4115" s="102">
        <f t="shared" ca="1" si="68"/>
        <v>0.11457631444620849</v>
      </c>
    </row>
    <row r="4116" spans="6:7" x14ac:dyDescent="0.35">
      <c r="F4116">
        <v>4111</v>
      </c>
      <c r="G4116" s="102">
        <f t="shared" ca="1" si="68"/>
        <v>4.1571744384875486E-2</v>
      </c>
    </row>
    <row r="4117" spans="6:7" x14ac:dyDescent="0.35">
      <c r="F4117">
        <v>4112</v>
      </c>
      <c r="G4117" s="102">
        <f t="shared" ca="1" si="68"/>
        <v>-8.9474431827732348E-2</v>
      </c>
    </row>
    <row r="4118" spans="6:7" x14ac:dyDescent="0.35">
      <c r="F4118">
        <v>4113</v>
      </c>
      <c r="G4118" s="102">
        <f t="shared" ca="1" si="68"/>
        <v>3.0709548100025266E-2</v>
      </c>
    </row>
    <row r="4119" spans="6:7" x14ac:dyDescent="0.35">
      <c r="F4119">
        <v>4114</v>
      </c>
      <c r="G4119" s="102">
        <f t="shared" ca="1" si="68"/>
        <v>-1.0525945914569183E-2</v>
      </c>
    </row>
    <row r="4120" spans="6:7" x14ac:dyDescent="0.35">
      <c r="F4120">
        <v>4115</v>
      </c>
      <c r="G4120" s="102">
        <f t="shared" ca="1" si="68"/>
        <v>-4.7215874076437417E-2</v>
      </c>
    </row>
    <row r="4121" spans="6:7" x14ac:dyDescent="0.35">
      <c r="F4121">
        <v>4116</v>
      </c>
      <c r="G4121" s="102">
        <f t="shared" ca="1" si="68"/>
        <v>-7.9071395098612884E-2</v>
      </c>
    </row>
    <row r="4122" spans="6:7" x14ac:dyDescent="0.35">
      <c r="F4122">
        <v>4117</v>
      </c>
      <c r="G4122" s="102">
        <f t="shared" ca="1" si="68"/>
        <v>7.1397106488271286E-2</v>
      </c>
    </row>
    <row r="4123" spans="6:7" x14ac:dyDescent="0.35">
      <c r="F4123">
        <v>4118</v>
      </c>
      <c r="G4123" s="102">
        <f t="shared" ca="1" si="68"/>
        <v>-6.985692681435865E-2</v>
      </c>
    </row>
    <row r="4124" spans="6:7" x14ac:dyDescent="0.35">
      <c r="F4124">
        <v>4119</v>
      </c>
      <c r="G4124" s="102">
        <f t="shared" ca="1" si="68"/>
        <v>-0.12214859302014074</v>
      </c>
    </row>
    <row r="4125" spans="6:7" x14ac:dyDescent="0.35">
      <c r="F4125">
        <v>4120</v>
      </c>
      <c r="G4125" s="102">
        <f t="shared" ca="1" si="68"/>
        <v>3.7727317956420175E-2</v>
      </c>
    </row>
    <row r="4126" spans="6:7" x14ac:dyDescent="0.35">
      <c r="F4126">
        <v>4121</v>
      </c>
      <c r="G4126" s="102">
        <f t="shared" ca="1" si="68"/>
        <v>-7.5629893266308409E-2</v>
      </c>
    </row>
    <row r="4127" spans="6:7" x14ac:dyDescent="0.35">
      <c r="F4127">
        <v>4122</v>
      </c>
      <c r="G4127" s="102">
        <f t="shared" ca="1" si="68"/>
        <v>-8.6168605612212693E-2</v>
      </c>
    </row>
    <row r="4128" spans="6:7" x14ac:dyDescent="0.35">
      <c r="F4128">
        <v>4123</v>
      </c>
      <c r="G4128" s="102">
        <f t="shared" ca="1" si="68"/>
        <v>-6.1171622665662465E-2</v>
      </c>
    </row>
    <row r="4129" spans="6:7" x14ac:dyDescent="0.35">
      <c r="F4129">
        <v>4124</v>
      </c>
      <c r="G4129" s="102">
        <f t="shared" ca="1" si="68"/>
        <v>1.0525637477792709E-2</v>
      </c>
    </row>
    <row r="4130" spans="6:7" x14ac:dyDescent="0.35">
      <c r="F4130">
        <v>4125</v>
      </c>
      <c r="G4130" s="102">
        <f t="shared" ca="1" si="68"/>
        <v>-1.9835623708357918E-2</v>
      </c>
    </row>
    <row r="4131" spans="6:7" x14ac:dyDescent="0.35">
      <c r="F4131">
        <v>4126</v>
      </c>
      <c r="G4131" s="102">
        <f t="shared" ca="1" si="68"/>
        <v>4.7903014915731179E-2</v>
      </c>
    </row>
    <row r="4132" spans="6:7" x14ac:dyDescent="0.35">
      <c r="F4132">
        <v>4127</v>
      </c>
      <c r="G4132" s="102">
        <f t="shared" ca="1" si="68"/>
        <v>-1.5484257324432031E-2</v>
      </c>
    </row>
    <row r="4133" spans="6:7" x14ac:dyDescent="0.35">
      <c r="F4133">
        <v>4128</v>
      </c>
      <c r="G4133" s="102">
        <f t="shared" ca="1" si="68"/>
        <v>-0.10525666575726578</v>
      </c>
    </row>
    <row r="4134" spans="6:7" x14ac:dyDescent="0.35">
      <c r="F4134">
        <v>4129</v>
      </c>
      <c r="G4134" s="102">
        <f t="shared" ca="1" si="68"/>
        <v>-6.3718622545991255E-2</v>
      </c>
    </row>
    <row r="4135" spans="6:7" x14ac:dyDescent="0.35">
      <c r="F4135">
        <v>4130</v>
      </c>
      <c r="G4135" s="102">
        <f t="shared" ca="1" si="68"/>
        <v>-6.7448963604632664E-2</v>
      </c>
    </row>
    <row r="4136" spans="6:7" x14ac:dyDescent="0.35">
      <c r="F4136">
        <v>4131</v>
      </c>
      <c r="G4136" s="102">
        <f t="shared" ca="1" si="68"/>
        <v>-0.15565387759724836</v>
      </c>
    </row>
    <row r="4137" spans="6:7" x14ac:dyDescent="0.35">
      <c r="F4137">
        <v>4132</v>
      </c>
      <c r="G4137" s="102">
        <f t="shared" ca="1" si="68"/>
        <v>7.3612875985875445E-2</v>
      </c>
    </row>
    <row r="4138" spans="6:7" x14ac:dyDescent="0.35">
      <c r="F4138">
        <v>4133</v>
      </c>
      <c r="G4138" s="102">
        <f t="shared" ca="1" si="68"/>
        <v>3.038128651709272E-2</v>
      </c>
    </row>
    <row r="4139" spans="6:7" x14ac:dyDescent="0.35">
      <c r="F4139">
        <v>4134</v>
      </c>
      <c r="G4139" s="102">
        <f t="shared" ca="1" si="68"/>
        <v>-2.087625600552296E-2</v>
      </c>
    </row>
    <row r="4140" spans="6:7" x14ac:dyDescent="0.35">
      <c r="F4140">
        <v>4135</v>
      </c>
      <c r="G4140" s="102">
        <f t="shared" ca="1" si="68"/>
        <v>-3.1277651361522552E-2</v>
      </c>
    </row>
    <row r="4141" spans="6:7" x14ac:dyDescent="0.35">
      <c r="F4141">
        <v>4136</v>
      </c>
      <c r="G4141" s="102">
        <f t="shared" ca="1" si="68"/>
        <v>0.11863883325994337</v>
      </c>
    </row>
    <row r="4142" spans="6:7" x14ac:dyDescent="0.35">
      <c r="F4142">
        <v>4137</v>
      </c>
      <c r="G4142" s="102">
        <f t="shared" ca="1" si="68"/>
        <v>3.5162301842114482E-2</v>
      </c>
    </row>
    <row r="4143" spans="6:7" x14ac:dyDescent="0.35">
      <c r="F4143">
        <v>4138</v>
      </c>
      <c r="G4143" s="102">
        <f t="shared" ca="1" si="68"/>
        <v>8.3431878411907648E-3</v>
      </c>
    </row>
    <row r="4144" spans="6:7" x14ac:dyDescent="0.35">
      <c r="F4144">
        <v>4139</v>
      </c>
      <c r="G4144" s="102">
        <f t="shared" ca="1" si="68"/>
        <v>1.580651551931616E-2</v>
      </c>
    </row>
    <row r="4145" spans="6:7" x14ac:dyDescent="0.35">
      <c r="F4145">
        <v>4140</v>
      </c>
      <c r="G4145" s="102">
        <f t="shared" ca="1" si="68"/>
        <v>7.2987712920059553E-2</v>
      </c>
    </row>
    <row r="4146" spans="6:7" x14ac:dyDescent="0.35">
      <c r="F4146">
        <v>4141</v>
      </c>
      <c r="G4146" s="102">
        <f t="shared" ca="1" si="68"/>
        <v>9.3845139931946746E-3</v>
      </c>
    </row>
    <row r="4147" spans="6:7" x14ac:dyDescent="0.35">
      <c r="F4147">
        <v>4142</v>
      </c>
      <c r="G4147" s="102">
        <f t="shared" ca="1" si="68"/>
        <v>-7.1939799662556314E-2</v>
      </c>
    </row>
    <row r="4148" spans="6:7" x14ac:dyDescent="0.35">
      <c r="F4148">
        <v>4143</v>
      </c>
      <c r="G4148" s="102">
        <f t="shared" ca="1" si="68"/>
        <v>4.3889690281670203E-3</v>
      </c>
    </row>
    <row r="4149" spans="6:7" x14ac:dyDescent="0.35">
      <c r="F4149">
        <v>4144</v>
      </c>
      <c r="G4149" s="102">
        <f t="shared" ca="1" si="68"/>
        <v>0.10989770610950166</v>
      </c>
    </row>
    <row r="4150" spans="6:7" x14ac:dyDescent="0.35">
      <c r="F4150">
        <v>4145</v>
      </c>
      <c r="G4150" s="102">
        <f t="shared" ca="1" si="68"/>
        <v>4.2344722339912391E-3</v>
      </c>
    </row>
    <row r="4151" spans="6:7" x14ac:dyDescent="0.35">
      <c r="F4151">
        <v>4146</v>
      </c>
      <c r="G4151" s="102">
        <f t="shared" ca="1" si="68"/>
        <v>-2.9766651513883427E-2</v>
      </c>
    </row>
    <row r="4152" spans="6:7" x14ac:dyDescent="0.35">
      <c r="F4152">
        <v>4147</v>
      </c>
      <c r="G4152" s="102">
        <f t="shared" ca="1" si="68"/>
        <v>2.743819833765242E-2</v>
      </c>
    </row>
    <row r="4153" spans="6:7" x14ac:dyDescent="0.35">
      <c r="F4153">
        <v>4148</v>
      </c>
      <c r="G4153" s="102">
        <f t="shared" ca="1" si="68"/>
        <v>-0.10569897099408919</v>
      </c>
    </row>
    <row r="4154" spans="6:7" x14ac:dyDescent="0.35">
      <c r="F4154">
        <v>4149</v>
      </c>
      <c r="G4154" s="102">
        <f t="shared" ca="1" si="68"/>
        <v>-1.2136341082338289E-2</v>
      </c>
    </row>
    <row r="4155" spans="6:7" x14ac:dyDescent="0.35">
      <c r="F4155">
        <v>4150</v>
      </c>
      <c r="G4155" s="102">
        <f t="shared" ca="1" si="68"/>
        <v>-2.0030112416057719E-2</v>
      </c>
    </row>
    <row r="4156" spans="6:7" x14ac:dyDescent="0.35">
      <c r="F4156">
        <v>4151</v>
      </c>
      <c r="G4156" s="102">
        <f t="shared" ca="1" si="68"/>
        <v>-7.0583567067191488E-2</v>
      </c>
    </row>
    <row r="4157" spans="6:7" x14ac:dyDescent="0.35">
      <c r="F4157">
        <v>4152</v>
      </c>
      <c r="G4157" s="102">
        <f t="shared" ca="1" si="68"/>
        <v>0.11056791036198411</v>
      </c>
    </row>
    <row r="4158" spans="6:7" x14ac:dyDescent="0.35">
      <c r="F4158">
        <v>4153</v>
      </c>
      <c r="G4158" s="102">
        <f t="shared" ca="1" si="68"/>
        <v>9.6448514863719803E-2</v>
      </c>
    </row>
    <row r="4159" spans="6:7" x14ac:dyDescent="0.35">
      <c r="F4159">
        <v>4154</v>
      </c>
      <c r="G4159" s="102">
        <f t="shared" ca="1" si="68"/>
        <v>-8.8238552916852342E-2</v>
      </c>
    </row>
    <row r="4160" spans="6:7" x14ac:dyDescent="0.35">
      <c r="F4160">
        <v>4155</v>
      </c>
      <c r="G4160" s="102">
        <f t="shared" ca="1" si="68"/>
        <v>-0.11322464027163649</v>
      </c>
    </row>
    <row r="4161" spans="6:7" x14ac:dyDescent="0.35">
      <c r="F4161">
        <v>4156</v>
      </c>
      <c r="G4161" s="102">
        <f t="shared" ca="1" si="68"/>
        <v>-8.2218548859714236E-4</v>
      </c>
    </row>
    <row r="4162" spans="6:7" x14ac:dyDescent="0.35">
      <c r="F4162">
        <v>4157</v>
      </c>
      <c r="G4162" s="102">
        <f t="shared" ca="1" si="68"/>
        <v>-4.3735573119372553E-2</v>
      </c>
    </row>
    <row r="4163" spans="6:7" x14ac:dyDescent="0.35">
      <c r="F4163">
        <v>4158</v>
      </c>
      <c r="G4163" s="102">
        <f t="shared" ca="1" si="68"/>
        <v>4.2578966167449744E-2</v>
      </c>
    </row>
    <row r="4164" spans="6:7" x14ac:dyDescent="0.35">
      <c r="F4164">
        <v>4159</v>
      </c>
      <c r="G4164" s="102">
        <f t="shared" ca="1" si="68"/>
        <v>9.1456281600439601E-3</v>
      </c>
    </row>
    <row r="4165" spans="6:7" x14ac:dyDescent="0.35">
      <c r="F4165">
        <v>4160</v>
      </c>
      <c r="G4165" s="102">
        <f t="shared" ca="1" si="68"/>
        <v>-4.1722572817700074E-2</v>
      </c>
    </row>
    <row r="4166" spans="6:7" x14ac:dyDescent="0.35">
      <c r="F4166">
        <v>4161</v>
      </c>
      <c r="G4166" s="102">
        <f t="shared" ca="1" si="68"/>
        <v>-2.394466578584915E-2</v>
      </c>
    </row>
    <row r="4167" spans="6:7" x14ac:dyDescent="0.35">
      <c r="F4167">
        <v>4162</v>
      </c>
      <c r="G4167" s="102">
        <f t="shared" ref="G4167:G4230" ca="1" si="69">_xlfn.NORM.INV(RAND(),M$9,M$10)</f>
        <v>2.9178835416352137E-3</v>
      </c>
    </row>
    <row r="4168" spans="6:7" x14ac:dyDescent="0.35">
      <c r="F4168">
        <v>4163</v>
      </c>
      <c r="G4168" s="102">
        <f t="shared" ca="1" si="69"/>
        <v>4.687677311485014E-2</v>
      </c>
    </row>
    <row r="4169" spans="6:7" x14ac:dyDescent="0.35">
      <c r="F4169">
        <v>4164</v>
      </c>
      <c r="G4169" s="102">
        <f t="shared" ca="1" si="69"/>
        <v>1.984870601734199E-2</v>
      </c>
    </row>
    <row r="4170" spans="6:7" x14ac:dyDescent="0.35">
      <c r="F4170">
        <v>4165</v>
      </c>
      <c r="G4170" s="102">
        <f t="shared" ca="1" si="69"/>
        <v>-5.3889892105964857E-2</v>
      </c>
    </row>
    <row r="4171" spans="6:7" x14ac:dyDescent="0.35">
      <c r="F4171">
        <v>4166</v>
      </c>
      <c r="G4171" s="102">
        <f t="shared" ca="1" si="69"/>
        <v>-2.3626326580524024E-2</v>
      </c>
    </row>
    <row r="4172" spans="6:7" x14ac:dyDescent="0.35">
      <c r="F4172">
        <v>4167</v>
      </c>
      <c r="G4172" s="102">
        <f t="shared" ca="1" si="69"/>
        <v>-8.4198536975994664E-2</v>
      </c>
    </row>
    <row r="4173" spans="6:7" x14ac:dyDescent="0.35">
      <c r="F4173">
        <v>4168</v>
      </c>
      <c r="G4173" s="102">
        <f t="shared" ca="1" si="69"/>
        <v>4.4015224389694227E-2</v>
      </c>
    </row>
    <row r="4174" spans="6:7" x14ac:dyDescent="0.35">
      <c r="F4174">
        <v>4169</v>
      </c>
      <c r="G4174" s="102">
        <f t="shared" ca="1" si="69"/>
        <v>-2.6923473703350999E-2</v>
      </c>
    </row>
    <row r="4175" spans="6:7" x14ac:dyDescent="0.35">
      <c r="F4175">
        <v>4170</v>
      </c>
      <c r="G4175" s="102">
        <f t="shared" ca="1" si="69"/>
        <v>-5.2416730709876222E-2</v>
      </c>
    </row>
    <row r="4176" spans="6:7" x14ac:dyDescent="0.35">
      <c r="F4176">
        <v>4171</v>
      </c>
      <c r="G4176" s="102">
        <f t="shared" ca="1" si="69"/>
        <v>3.8778035744995734E-2</v>
      </c>
    </row>
    <row r="4177" spans="6:7" x14ac:dyDescent="0.35">
      <c r="F4177">
        <v>4172</v>
      </c>
      <c r="G4177" s="102">
        <f t="shared" ca="1" si="69"/>
        <v>2.3243887928943111E-2</v>
      </c>
    </row>
    <row r="4178" spans="6:7" x14ac:dyDescent="0.35">
      <c r="F4178">
        <v>4173</v>
      </c>
      <c r="G4178" s="102">
        <f t="shared" ca="1" si="69"/>
        <v>9.899098084259754E-2</v>
      </c>
    </row>
    <row r="4179" spans="6:7" x14ac:dyDescent="0.35">
      <c r="F4179">
        <v>4174</v>
      </c>
      <c r="G4179" s="102">
        <f t="shared" ca="1" si="69"/>
        <v>-0.10544348340580605</v>
      </c>
    </row>
    <row r="4180" spans="6:7" x14ac:dyDescent="0.35">
      <c r="F4180">
        <v>4175</v>
      </c>
      <c r="G4180" s="102">
        <f t="shared" ca="1" si="69"/>
        <v>7.3871687394255516E-3</v>
      </c>
    </row>
    <row r="4181" spans="6:7" x14ac:dyDescent="0.35">
      <c r="F4181">
        <v>4176</v>
      </c>
      <c r="G4181" s="102">
        <f t="shared" ca="1" si="69"/>
        <v>-0.10449085907458441</v>
      </c>
    </row>
    <row r="4182" spans="6:7" x14ac:dyDescent="0.35">
      <c r="F4182">
        <v>4177</v>
      </c>
      <c r="G4182" s="102">
        <f t="shared" ca="1" si="69"/>
        <v>-4.6660070638228912E-2</v>
      </c>
    </row>
    <row r="4183" spans="6:7" x14ac:dyDescent="0.35">
      <c r="F4183">
        <v>4178</v>
      </c>
      <c r="G4183" s="102">
        <f t="shared" ca="1" si="69"/>
        <v>1.8052597057061054E-2</v>
      </c>
    </row>
    <row r="4184" spans="6:7" x14ac:dyDescent="0.35">
      <c r="F4184">
        <v>4179</v>
      </c>
      <c r="G4184" s="102">
        <f t="shared" ca="1" si="69"/>
        <v>4.4769718520008481E-4</v>
      </c>
    </row>
    <row r="4185" spans="6:7" x14ac:dyDescent="0.35">
      <c r="F4185">
        <v>4180</v>
      </c>
      <c r="G4185" s="102">
        <f t="shared" ca="1" si="69"/>
        <v>3.8585818505164363E-2</v>
      </c>
    </row>
    <row r="4186" spans="6:7" x14ac:dyDescent="0.35">
      <c r="F4186">
        <v>4181</v>
      </c>
      <c r="G4186" s="102">
        <f t="shared" ca="1" si="69"/>
        <v>1.0927501723610188E-2</v>
      </c>
    </row>
    <row r="4187" spans="6:7" x14ac:dyDescent="0.35">
      <c r="F4187">
        <v>4182</v>
      </c>
      <c r="G4187" s="102">
        <f t="shared" ca="1" si="69"/>
        <v>8.2782240032052798E-2</v>
      </c>
    </row>
    <row r="4188" spans="6:7" x14ac:dyDescent="0.35">
      <c r="F4188">
        <v>4183</v>
      </c>
      <c r="G4188" s="102">
        <f t="shared" ca="1" si="69"/>
        <v>-5.9660424834448597E-2</v>
      </c>
    </row>
    <row r="4189" spans="6:7" x14ac:dyDescent="0.35">
      <c r="F4189">
        <v>4184</v>
      </c>
      <c r="G4189" s="102">
        <f t="shared" ca="1" si="69"/>
        <v>-6.9712698811472323E-2</v>
      </c>
    </row>
    <row r="4190" spans="6:7" x14ac:dyDescent="0.35">
      <c r="F4190">
        <v>4185</v>
      </c>
      <c r="G4190" s="102">
        <f t="shared" ca="1" si="69"/>
        <v>-3.3328449321625028E-2</v>
      </c>
    </row>
    <row r="4191" spans="6:7" x14ac:dyDescent="0.35">
      <c r="F4191">
        <v>4186</v>
      </c>
      <c r="G4191" s="102">
        <f t="shared" ca="1" si="69"/>
        <v>-0.11199020497554679</v>
      </c>
    </row>
    <row r="4192" spans="6:7" x14ac:dyDescent="0.35">
      <c r="F4192">
        <v>4187</v>
      </c>
      <c r="G4192" s="102">
        <f t="shared" ca="1" si="69"/>
        <v>-1.3804908167758144E-2</v>
      </c>
    </row>
    <row r="4193" spans="6:7" x14ac:dyDescent="0.35">
      <c r="F4193">
        <v>4188</v>
      </c>
      <c r="G4193" s="102">
        <f t="shared" ca="1" si="69"/>
        <v>-3.6695220975103693E-2</v>
      </c>
    </row>
    <row r="4194" spans="6:7" x14ac:dyDescent="0.35">
      <c r="F4194">
        <v>4189</v>
      </c>
      <c r="G4194" s="102">
        <f t="shared" ca="1" si="69"/>
        <v>-1.5323360992025376E-2</v>
      </c>
    </row>
    <row r="4195" spans="6:7" x14ac:dyDescent="0.35">
      <c r="F4195">
        <v>4190</v>
      </c>
      <c r="G4195" s="102">
        <f t="shared" ca="1" si="69"/>
        <v>-0.10490838701523478</v>
      </c>
    </row>
    <row r="4196" spans="6:7" x14ac:dyDescent="0.35">
      <c r="F4196">
        <v>4191</v>
      </c>
      <c r="G4196" s="102">
        <f t="shared" ca="1" si="69"/>
        <v>-7.2162212647335952E-2</v>
      </c>
    </row>
    <row r="4197" spans="6:7" x14ac:dyDescent="0.35">
      <c r="F4197">
        <v>4192</v>
      </c>
      <c r="G4197" s="102">
        <f t="shared" ca="1" si="69"/>
        <v>-4.675418355361656E-2</v>
      </c>
    </row>
    <row r="4198" spans="6:7" x14ac:dyDescent="0.35">
      <c r="F4198">
        <v>4193</v>
      </c>
      <c r="G4198" s="102">
        <f t="shared" ca="1" si="69"/>
        <v>-1.8726462028070844E-3</v>
      </c>
    </row>
    <row r="4199" spans="6:7" x14ac:dyDescent="0.35">
      <c r="F4199">
        <v>4194</v>
      </c>
      <c r="G4199" s="102">
        <f t="shared" ca="1" si="69"/>
        <v>-4.4442278143360853E-2</v>
      </c>
    </row>
    <row r="4200" spans="6:7" x14ac:dyDescent="0.35">
      <c r="F4200">
        <v>4195</v>
      </c>
      <c r="G4200" s="102">
        <f t="shared" ca="1" si="69"/>
        <v>0.13514976890932678</v>
      </c>
    </row>
    <row r="4201" spans="6:7" x14ac:dyDescent="0.35">
      <c r="F4201">
        <v>4196</v>
      </c>
      <c r="G4201" s="102">
        <f t="shared" ca="1" si="69"/>
        <v>-0.10428725037756405</v>
      </c>
    </row>
    <row r="4202" spans="6:7" x14ac:dyDescent="0.35">
      <c r="F4202">
        <v>4197</v>
      </c>
      <c r="G4202" s="102">
        <f t="shared" ca="1" si="69"/>
        <v>4.1350885410022145E-2</v>
      </c>
    </row>
    <row r="4203" spans="6:7" x14ac:dyDescent="0.35">
      <c r="F4203">
        <v>4198</v>
      </c>
      <c r="G4203" s="102">
        <f t="shared" ca="1" si="69"/>
        <v>9.4625029023212556E-2</v>
      </c>
    </row>
    <row r="4204" spans="6:7" x14ac:dyDescent="0.35">
      <c r="F4204">
        <v>4199</v>
      </c>
      <c r="G4204" s="102">
        <f t="shared" ca="1" si="69"/>
        <v>0.1117081256433385</v>
      </c>
    </row>
    <row r="4205" spans="6:7" x14ac:dyDescent="0.35">
      <c r="F4205">
        <v>4200</v>
      </c>
      <c r="G4205" s="102">
        <f t="shared" ca="1" si="69"/>
        <v>9.4644181326413501E-2</v>
      </c>
    </row>
    <row r="4206" spans="6:7" x14ac:dyDescent="0.35">
      <c r="F4206">
        <v>4201</v>
      </c>
      <c r="G4206" s="102">
        <f t="shared" ca="1" si="69"/>
        <v>-6.9852950206793732E-2</v>
      </c>
    </row>
    <row r="4207" spans="6:7" x14ac:dyDescent="0.35">
      <c r="F4207">
        <v>4202</v>
      </c>
      <c r="G4207" s="102">
        <f t="shared" ca="1" si="69"/>
        <v>7.4369923439199251E-2</v>
      </c>
    </row>
    <row r="4208" spans="6:7" x14ac:dyDescent="0.35">
      <c r="F4208">
        <v>4203</v>
      </c>
      <c r="G4208" s="102">
        <f t="shared" ca="1" si="69"/>
        <v>-3.2999437643143901E-3</v>
      </c>
    </row>
    <row r="4209" spans="6:7" x14ac:dyDescent="0.35">
      <c r="F4209">
        <v>4204</v>
      </c>
      <c r="G4209" s="102">
        <f t="shared" ca="1" si="69"/>
        <v>9.2847369506883395E-2</v>
      </c>
    </row>
    <row r="4210" spans="6:7" x14ac:dyDescent="0.35">
      <c r="F4210">
        <v>4205</v>
      </c>
      <c r="G4210" s="102">
        <f t="shared" ca="1" si="69"/>
        <v>-8.6858302932941528E-2</v>
      </c>
    </row>
    <row r="4211" spans="6:7" x14ac:dyDescent="0.35">
      <c r="F4211">
        <v>4206</v>
      </c>
      <c r="G4211" s="102">
        <f t="shared" ca="1" si="69"/>
        <v>-3.5893310426082167E-3</v>
      </c>
    </row>
    <row r="4212" spans="6:7" x14ac:dyDescent="0.35">
      <c r="F4212">
        <v>4207</v>
      </c>
      <c r="G4212" s="102">
        <f t="shared" ca="1" si="69"/>
        <v>6.0516922982787685E-2</v>
      </c>
    </row>
    <row r="4213" spans="6:7" x14ac:dyDescent="0.35">
      <c r="F4213">
        <v>4208</v>
      </c>
      <c r="G4213" s="102">
        <f t="shared" ca="1" si="69"/>
        <v>-1.2407890231182002E-2</v>
      </c>
    </row>
    <row r="4214" spans="6:7" x14ac:dyDescent="0.35">
      <c r="F4214">
        <v>4209</v>
      </c>
      <c r="G4214" s="102">
        <f t="shared" ca="1" si="69"/>
        <v>2.8306811437530482E-2</v>
      </c>
    </row>
    <row r="4215" spans="6:7" x14ac:dyDescent="0.35">
      <c r="F4215">
        <v>4210</v>
      </c>
      <c r="G4215" s="102">
        <f t="shared" ca="1" si="69"/>
        <v>2.8507397897042066E-2</v>
      </c>
    </row>
    <row r="4216" spans="6:7" x14ac:dyDescent="0.35">
      <c r="F4216">
        <v>4211</v>
      </c>
      <c r="G4216" s="102">
        <f t="shared" ca="1" si="69"/>
        <v>3.8052753052953234E-2</v>
      </c>
    </row>
    <row r="4217" spans="6:7" x14ac:dyDescent="0.35">
      <c r="F4217">
        <v>4212</v>
      </c>
      <c r="G4217" s="102">
        <f t="shared" ca="1" si="69"/>
        <v>-8.438098235227573E-2</v>
      </c>
    </row>
    <row r="4218" spans="6:7" x14ac:dyDescent="0.35">
      <c r="F4218">
        <v>4213</v>
      </c>
      <c r="G4218" s="102">
        <f t="shared" ca="1" si="69"/>
        <v>-8.5708739309071552E-2</v>
      </c>
    </row>
    <row r="4219" spans="6:7" x14ac:dyDescent="0.35">
      <c r="F4219">
        <v>4214</v>
      </c>
      <c r="G4219" s="102">
        <f t="shared" ca="1" si="69"/>
        <v>7.3373687692432233E-3</v>
      </c>
    </row>
    <row r="4220" spans="6:7" x14ac:dyDescent="0.35">
      <c r="F4220">
        <v>4215</v>
      </c>
      <c r="G4220" s="102">
        <f t="shared" ca="1" si="69"/>
        <v>-1.2032253818501499E-2</v>
      </c>
    </row>
    <row r="4221" spans="6:7" x14ac:dyDescent="0.35">
      <c r="F4221">
        <v>4216</v>
      </c>
      <c r="G4221" s="102">
        <f t="shared" ca="1" si="69"/>
        <v>1.7927795960359181E-3</v>
      </c>
    </row>
    <row r="4222" spans="6:7" x14ac:dyDescent="0.35">
      <c r="F4222">
        <v>4217</v>
      </c>
      <c r="G4222" s="102">
        <f t="shared" ca="1" si="69"/>
        <v>-3.5197120666189657E-2</v>
      </c>
    </row>
    <row r="4223" spans="6:7" x14ac:dyDescent="0.35">
      <c r="F4223">
        <v>4218</v>
      </c>
      <c r="G4223" s="102">
        <f t="shared" ca="1" si="69"/>
        <v>-1.3622703142398091E-2</v>
      </c>
    </row>
    <row r="4224" spans="6:7" x14ac:dyDescent="0.35">
      <c r="F4224">
        <v>4219</v>
      </c>
      <c r="G4224" s="102">
        <f t="shared" ca="1" si="69"/>
        <v>1.1361583988914899E-2</v>
      </c>
    </row>
    <row r="4225" spans="6:7" x14ac:dyDescent="0.35">
      <c r="F4225">
        <v>4220</v>
      </c>
      <c r="G4225" s="102">
        <f t="shared" ca="1" si="69"/>
        <v>6.3538591797692431E-2</v>
      </c>
    </row>
    <row r="4226" spans="6:7" x14ac:dyDescent="0.35">
      <c r="F4226">
        <v>4221</v>
      </c>
      <c r="G4226" s="102">
        <f t="shared" ca="1" si="69"/>
        <v>-0.1304456188144664</v>
      </c>
    </row>
    <row r="4227" spans="6:7" x14ac:dyDescent="0.35">
      <c r="F4227">
        <v>4222</v>
      </c>
      <c r="G4227" s="102">
        <f t="shared" ca="1" si="69"/>
        <v>-5.1516084484999336E-3</v>
      </c>
    </row>
    <row r="4228" spans="6:7" x14ac:dyDescent="0.35">
      <c r="F4228">
        <v>4223</v>
      </c>
      <c r="G4228" s="102">
        <f t="shared" ca="1" si="69"/>
        <v>-8.6107474679432264E-2</v>
      </c>
    </row>
    <row r="4229" spans="6:7" x14ac:dyDescent="0.35">
      <c r="F4229">
        <v>4224</v>
      </c>
      <c r="G4229" s="102">
        <f t="shared" ca="1" si="69"/>
        <v>-1.4963716785017279E-2</v>
      </c>
    </row>
    <row r="4230" spans="6:7" x14ac:dyDescent="0.35">
      <c r="F4230">
        <v>4225</v>
      </c>
      <c r="G4230" s="102">
        <f t="shared" ca="1" si="69"/>
        <v>-7.8587737320694337E-2</v>
      </c>
    </row>
    <row r="4231" spans="6:7" x14ac:dyDescent="0.35">
      <c r="F4231">
        <v>4226</v>
      </c>
      <c r="G4231" s="102">
        <f t="shared" ref="G4231:G4294" ca="1" si="70">_xlfn.NORM.INV(RAND(),M$9,M$10)</f>
        <v>-2.9563829399216826E-2</v>
      </c>
    </row>
    <row r="4232" spans="6:7" x14ac:dyDescent="0.35">
      <c r="F4232">
        <v>4227</v>
      </c>
      <c r="G4232" s="102">
        <f t="shared" ca="1" si="70"/>
        <v>-5.5435730963129294E-3</v>
      </c>
    </row>
    <row r="4233" spans="6:7" x14ac:dyDescent="0.35">
      <c r="F4233">
        <v>4228</v>
      </c>
      <c r="G4233" s="102">
        <f t="shared" ca="1" si="70"/>
        <v>-5.8567663053612135E-2</v>
      </c>
    </row>
    <row r="4234" spans="6:7" x14ac:dyDescent="0.35">
      <c r="F4234">
        <v>4229</v>
      </c>
      <c r="G4234" s="102">
        <f t="shared" ca="1" si="70"/>
        <v>-4.9230148517571348E-2</v>
      </c>
    </row>
    <row r="4235" spans="6:7" x14ac:dyDescent="0.35">
      <c r="F4235">
        <v>4230</v>
      </c>
      <c r="G4235" s="102">
        <f t="shared" ca="1" si="70"/>
        <v>-0.12144537701422098</v>
      </c>
    </row>
    <row r="4236" spans="6:7" x14ac:dyDescent="0.35">
      <c r="F4236">
        <v>4231</v>
      </c>
      <c r="G4236" s="102">
        <f t="shared" ca="1" si="70"/>
        <v>6.2529468150893538E-2</v>
      </c>
    </row>
    <row r="4237" spans="6:7" x14ac:dyDescent="0.35">
      <c r="F4237">
        <v>4232</v>
      </c>
      <c r="G4237" s="102">
        <f t="shared" ca="1" si="70"/>
        <v>4.4220169731241155E-2</v>
      </c>
    </row>
    <row r="4238" spans="6:7" x14ac:dyDescent="0.35">
      <c r="F4238">
        <v>4233</v>
      </c>
      <c r="G4238" s="102">
        <f t="shared" ca="1" si="70"/>
        <v>7.5678057565604431E-2</v>
      </c>
    </row>
    <row r="4239" spans="6:7" x14ac:dyDescent="0.35">
      <c r="F4239">
        <v>4234</v>
      </c>
      <c r="G4239" s="102">
        <f t="shared" ca="1" si="70"/>
        <v>-1.0700256088464789E-4</v>
      </c>
    </row>
    <row r="4240" spans="6:7" x14ac:dyDescent="0.35">
      <c r="F4240">
        <v>4235</v>
      </c>
      <c r="G4240" s="102">
        <f t="shared" ca="1" si="70"/>
        <v>6.2691318324000919E-2</v>
      </c>
    </row>
    <row r="4241" spans="6:7" x14ac:dyDescent="0.35">
      <c r="F4241">
        <v>4236</v>
      </c>
      <c r="G4241" s="102">
        <f t="shared" ca="1" si="70"/>
        <v>-1.4136997348974114E-2</v>
      </c>
    </row>
    <row r="4242" spans="6:7" x14ac:dyDescent="0.35">
      <c r="F4242">
        <v>4237</v>
      </c>
      <c r="G4242" s="102">
        <f t="shared" ca="1" si="70"/>
        <v>-4.2548707229050436E-2</v>
      </c>
    </row>
    <row r="4243" spans="6:7" x14ac:dyDescent="0.35">
      <c r="F4243">
        <v>4238</v>
      </c>
      <c r="G4243" s="102">
        <f t="shared" ca="1" si="70"/>
        <v>0.15003284038913761</v>
      </c>
    </row>
    <row r="4244" spans="6:7" x14ac:dyDescent="0.35">
      <c r="F4244">
        <v>4239</v>
      </c>
      <c r="G4244" s="102">
        <f t="shared" ca="1" si="70"/>
        <v>2.1875979384513168E-2</v>
      </c>
    </row>
    <row r="4245" spans="6:7" x14ac:dyDescent="0.35">
      <c r="F4245">
        <v>4240</v>
      </c>
      <c r="G4245" s="102">
        <f t="shared" ca="1" si="70"/>
        <v>7.8547651229431539E-2</v>
      </c>
    </row>
    <row r="4246" spans="6:7" x14ac:dyDescent="0.35">
      <c r="F4246">
        <v>4241</v>
      </c>
      <c r="G4246" s="102">
        <f t="shared" ca="1" si="70"/>
        <v>8.6631615420039942E-2</v>
      </c>
    </row>
    <row r="4247" spans="6:7" x14ac:dyDescent="0.35">
      <c r="F4247">
        <v>4242</v>
      </c>
      <c r="G4247" s="102">
        <f t="shared" ca="1" si="70"/>
        <v>3.2648915032427409E-2</v>
      </c>
    </row>
    <row r="4248" spans="6:7" x14ac:dyDescent="0.35">
      <c r="F4248">
        <v>4243</v>
      </c>
      <c r="G4248" s="102">
        <f t="shared" ca="1" si="70"/>
        <v>-5.9997064947774487E-2</v>
      </c>
    </row>
    <row r="4249" spans="6:7" x14ac:dyDescent="0.35">
      <c r="F4249">
        <v>4244</v>
      </c>
      <c r="G4249" s="102">
        <f t="shared" ca="1" si="70"/>
        <v>6.2765641735114425E-2</v>
      </c>
    </row>
    <row r="4250" spans="6:7" x14ac:dyDescent="0.35">
      <c r="F4250">
        <v>4245</v>
      </c>
      <c r="G4250" s="102">
        <f t="shared" ca="1" si="70"/>
        <v>-6.5819739285032305E-2</v>
      </c>
    </row>
    <row r="4251" spans="6:7" x14ac:dyDescent="0.35">
      <c r="F4251">
        <v>4246</v>
      </c>
      <c r="G4251" s="102">
        <f t="shared" ca="1" si="70"/>
        <v>-5.8560511383696945E-2</v>
      </c>
    </row>
    <row r="4252" spans="6:7" x14ac:dyDescent="0.35">
      <c r="F4252">
        <v>4247</v>
      </c>
      <c r="G4252" s="102">
        <f t="shared" ca="1" si="70"/>
        <v>-5.7182524172087648E-2</v>
      </c>
    </row>
    <row r="4253" spans="6:7" x14ac:dyDescent="0.35">
      <c r="F4253">
        <v>4248</v>
      </c>
      <c r="G4253" s="102">
        <f t="shared" ca="1" si="70"/>
        <v>-2.537534564070525E-2</v>
      </c>
    </row>
    <row r="4254" spans="6:7" x14ac:dyDescent="0.35">
      <c r="F4254">
        <v>4249</v>
      </c>
      <c r="G4254" s="102">
        <f t="shared" ca="1" si="70"/>
        <v>-8.0050141949823517E-2</v>
      </c>
    </row>
    <row r="4255" spans="6:7" x14ac:dyDescent="0.35">
      <c r="F4255">
        <v>4250</v>
      </c>
      <c r="G4255" s="102">
        <f t="shared" ca="1" si="70"/>
        <v>-3.9158240677569775E-2</v>
      </c>
    </row>
    <row r="4256" spans="6:7" x14ac:dyDescent="0.35">
      <c r="F4256">
        <v>4251</v>
      </c>
      <c r="G4256" s="102">
        <f t="shared" ca="1" si="70"/>
        <v>-3.1989187859829092E-2</v>
      </c>
    </row>
    <row r="4257" spans="6:7" x14ac:dyDescent="0.35">
      <c r="F4257">
        <v>4252</v>
      </c>
      <c r="G4257" s="102">
        <f t="shared" ca="1" si="70"/>
        <v>-1.3801848564779211E-2</v>
      </c>
    </row>
    <row r="4258" spans="6:7" x14ac:dyDescent="0.35">
      <c r="F4258">
        <v>4253</v>
      </c>
      <c r="G4258" s="102">
        <f t="shared" ca="1" si="70"/>
        <v>-5.0788425290886161E-2</v>
      </c>
    </row>
    <row r="4259" spans="6:7" x14ac:dyDescent="0.35">
      <c r="F4259">
        <v>4254</v>
      </c>
      <c r="G4259" s="102">
        <f t="shared" ca="1" si="70"/>
        <v>3.3863881023875348E-3</v>
      </c>
    </row>
    <row r="4260" spans="6:7" x14ac:dyDescent="0.35">
      <c r="F4260">
        <v>4255</v>
      </c>
      <c r="G4260" s="102">
        <f t="shared" ca="1" si="70"/>
        <v>-2.0730935338244168E-2</v>
      </c>
    </row>
    <row r="4261" spans="6:7" x14ac:dyDescent="0.35">
      <c r="F4261">
        <v>4256</v>
      </c>
      <c r="G4261" s="102">
        <f t="shared" ca="1" si="70"/>
        <v>-9.1703896263123419E-2</v>
      </c>
    </row>
    <row r="4262" spans="6:7" x14ac:dyDescent="0.35">
      <c r="F4262">
        <v>4257</v>
      </c>
      <c r="G4262" s="102">
        <f t="shared" ca="1" si="70"/>
        <v>0.12426089053008944</v>
      </c>
    </row>
    <row r="4263" spans="6:7" x14ac:dyDescent="0.35">
      <c r="F4263">
        <v>4258</v>
      </c>
      <c r="G4263" s="102">
        <f t="shared" ca="1" si="70"/>
        <v>-2.0799711867610475E-2</v>
      </c>
    </row>
    <row r="4264" spans="6:7" x14ac:dyDescent="0.35">
      <c r="F4264">
        <v>4259</v>
      </c>
      <c r="G4264" s="102">
        <f t="shared" ca="1" si="70"/>
        <v>-3.111228311756517E-2</v>
      </c>
    </row>
    <row r="4265" spans="6:7" x14ac:dyDescent="0.35">
      <c r="F4265">
        <v>4260</v>
      </c>
      <c r="G4265" s="102">
        <f t="shared" ca="1" si="70"/>
        <v>0.13296395892621621</v>
      </c>
    </row>
    <row r="4266" spans="6:7" x14ac:dyDescent="0.35">
      <c r="F4266">
        <v>4261</v>
      </c>
      <c r="G4266" s="102">
        <f t="shared" ca="1" si="70"/>
        <v>-9.208479163006518E-2</v>
      </c>
    </row>
    <row r="4267" spans="6:7" x14ac:dyDescent="0.35">
      <c r="F4267">
        <v>4262</v>
      </c>
      <c r="G4267" s="102">
        <f t="shared" ca="1" si="70"/>
        <v>5.069569684770539E-2</v>
      </c>
    </row>
    <row r="4268" spans="6:7" x14ac:dyDescent="0.35">
      <c r="F4268">
        <v>4263</v>
      </c>
      <c r="G4268" s="102">
        <f t="shared" ca="1" si="70"/>
        <v>9.6071930990249563E-2</v>
      </c>
    </row>
    <row r="4269" spans="6:7" x14ac:dyDescent="0.35">
      <c r="F4269">
        <v>4264</v>
      </c>
      <c r="G4269" s="102">
        <f t="shared" ca="1" si="70"/>
        <v>3.9720274610162379E-2</v>
      </c>
    </row>
    <row r="4270" spans="6:7" x14ac:dyDescent="0.35">
      <c r="F4270">
        <v>4265</v>
      </c>
      <c r="G4270" s="102">
        <f t="shared" ca="1" si="70"/>
        <v>4.3511678885523979E-3</v>
      </c>
    </row>
    <row r="4271" spans="6:7" x14ac:dyDescent="0.35">
      <c r="F4271">
        <v>4266</v>
      </c>
      <c r="G4271" s="102">
        <f t="shared" ca="1" si="70"/>
        <v>8.4036454316785705E-2</v>
      </c>
    </row>
    <row r="4272" spans="6:7" x14ac:dyDescent="0.35">
      <c r="F4272">
        <v>4267</v>
      </c>
      <c r="G4272" s="102">
        <f t="shared" ca="1" si="70"/>
        <v>0.1187880523843598</v>
      </c>
    </row>
    <row r="4273" spans="6:7" x14ac:dyDescent="0.35">
      <c r="F4273">
        <v>4268</v>
      </c>
      <c r="G4273" s="102">
        <f t="shared" ca="1" si="70"/>
        <v>-0.11710586400801172</v>
      </c>
    </row>
    <row r="4274" spans="6:7" x14ac:dyDescent="0.35">
      <c r="F4274">
        <v>4269</v>
      </c>
      <c r="G4274" s="102">
        <f t="shared" ca="1" si="70"/>
        <v>4.1022381723246182E-2</v>
      </c>
    </row>
    <row r="4275" spans="6:7" x14ac:dyDescent="0.35">
      <c r="F4275">
        <v>4270</v>
      </c>
      <c r="G4275" s="102">
        <f t="shared" ca="1" si="70"/>
        <v>4.56839527430246E-2</v>
      </c>
    </row>
    <row r="4276" spans="6:7" x14ac:dyDescent="0.35">
      <c r="F4276">
        <v>4271</v>
      </c>
      <c r="G4276" s="102">
        <f t="shared" ca="1" si="70"/>
        <v>-2.5527696518305387E-2</v>
      </c>
    </row>
    <row r="4277" spans="6:7" x14ac:dyDescent="0.35">
      <c r="F4277">
        <v>4272</v>
      </c>
      <c r="G4277" s="102">
        <f t="shared" ca="1" si="70"/>
        <v>-8.5886117444302898E-2</v>
      </c>
    </row>
    <row r="4278" spans="6:7" x14ac:dyDescent="0.35">
      <c r="F4278">
        <v>4273</v>
      </c>
      <c r="G4278" s="102">
        <f t="shared" ca="1" si="70"/>
        <v>-1.2234173484362204E-2</v>
      </c>
    </row>
    <row r="4279" spans="6:7" x14ac:dyDescent="0.35">
      <c r="F4279">
        <v>4274</v>
      </c>
      <c r="G4279" s="102">
        <f t="shared" ca="1" si="70"/>
        <v>-4.8097400494332435E-2</v>
      </c>
    </row>
    <row r="4280" spans="6:7" x14ac:dyDescent="0.35">
      <c r="F4280">
        <v>4275</v>
      </c>
      <c r="G4280" s="102">
        <f t="shared" ca="1" si="70"/>
        <v>-8.7089778632748222E-2</v>
      </c>
    </row>
    <row r="4281" spans="6:7" x14ac:dyDescent="0.35">
      <c r="F4281">
        <v>4276</v>
      </c>
      <c r="G4281" s="102">
        <f t="shared" ca="1" si="70"/>
        <v>-9.1473643282208125E-2</v>
      </c>
    </row>
    <row r="4282" spans="6:7" x14ac:dyDescent="0.35">
      <c r="F4282">
        <v>4277</v>
      </c>
      <c r="G4282" s="102">
        <f t="shared" ca="1" si="70"/>
        <v>8.7260431144883438E-2</v>
      </c>
    </row>
    <row r="4283" spans="6:7" x14ac:dyDescent="0.35">
      <c r="F4283">
        <v>4278</v>
      </c>
      <c r="G4283" s="102">
        <f t="shared" ca="1" si="70"/>
        <v>1.0073524948259385E-3</v>
      </c>
    </row>
    <row r="4284" spans="6:7" x14ac:dyDescent="0.35">
      <c r="F4284">
        <v>4279</v>
      </c>
      <c r="G4284" s="102">
        <f t="shared" ca="1" si="70"/>
        <v>0.10429853385133331</v>
      </c>
    </row>
    <row r="4285" spans="6:7" x14ac:dyDescent="0.35">
      <c r="F4285">
        <v>4280</v>
      </c>
      <c r="G4285" s="102">
        <f t="shared" ca="1" si="70"/>
        <v>-2.3759423492740989E-2</v>
      </c>
    </row>
    <row r="4286" spans="6:7" x14ac:dyDescent="0.35">
      <c r="F4286">
        <v>4281</v>
      </c>
      <c r="G4286" s="102">
        <f t="shared" ca="1" si="70"/>
        <v>1.9148278697803545E-2</v>
      </c>
    </row>
    <row r="4287" spans="6:7" x14ac:dyDescent="0.35">
      <c r="F4287">
        <v>4282</v>
      </c>
      <c r="G4287" s="102">
        <f t="shared" ca="1" si="70"/>
        <v>-7.4888136691172391E-2</v>
      </c>
    </row>
    <row r="4288" spans="6:7" x14ac:dyDescent="0.35">
      <c r="F4288">
        <v>4283</v>
      </c>
      <c r="G4288" s="102">
        <f t="shared" ca="1" si="70"/>
        <v>3.8257213559728234E-2</v>
      </c>
    </row>
    <row r="4289" spans="6:7" x14ac:dyDescent="0.35">
      <c r="F4289">
        <v>4284</v>
      </c>
      <c r="G4289" s="102">
        <f t="shared" ca="1" si="70"/>
        <v>1.4094201033437781E-2</v>
      </c>
    </row>
    <row r="4290" spans="6:7" x14ac:dyDescent="0.35">
      <c r="F4290">
        <v>4285</v>
      </c>
      <c r="G4290" s="102">
        <f t="shared" ca="1" si="70"/>
        <v>-1.2571402824892025E-2</v>
      </c>
    </row>
    <row r="4291" spans="6:7" x14ac:dyDescent="0.35">
      <c r="F4291">
        <v>4286</v>
      </c>
      <c r="G4291" s="102">
        <f t="shared" ca="1" si="70"/>
        <v>1.7460211572514713E-2</v>
      </c>
    </row>
    <row r="4292" spans="6:7" x14ac:dyDescent="0.35">
      <c r="F4292">
        <v>4287</v>
      </c>
      <c r="G4292" s="102">
        <f t="shared" ca="1" si="70"/>
        <v>5.0058603046691103E-5</v>
      </c>
    </row>
    <row r="4293" spans="6:7" x14ac:dyDescent="0.35">
      <c r="F4293">
        <v>4288</v>
      </c>
      <c r="G4293" s="102">
        <f t="shared" ca="1" si="70"/>
        <v>1.8258687096907724E-2</v>
      </c>
    </row>
    <row r="4294" spans="6:7" x14ac:dyDescent="0.35">
      <c r="F4294">
        <v>4289</v>
      </c>
      <c r="G4294" s="102">
        <f t="shared" ca="1" si="70"/>
        <v>4.1285796965592828E-2</v>
      </c>
    </row>
    <row r="4295" spans="6:7" x14ac:dyDescent="0.35">
      <c r="F4295">
        <v>4290</v>
      </c>
      <c r="G4295" s="102">
        <f t="shared" ref="G4295:G4358" ca="1" si="71">_xlfn.NORM.INV(RAND(),M$9,M$10)</f>
        <v>-7.9069246028341551E-3</v>
      </c>
    </row>
    <row r="4296" spans="6:7" x14ac:dyDescent="0.35">
      <c r="F4296">
        <v>4291</v>
      </c>
      <c r="G4296" s="102">
        <f t="shared" ca="1" si="71"/>
        <v>1.9360117196801935E-2</v>
      </c>
    </row>
    <row r="4297" spans="6:7" x14ac:dyDescent="0.35">
      <c r="F4297">
        <v>4292</v>
      </c>
      <c r="G4297" s="102">
        <f t="shared" ca="1" si="71"/>
        <v>2.4220473813211137E-2</v>
      </c>
    </row>
    <row r="4298" spans="6:7" x14ac:dyDescent="0.35">
      <c r="F4298">
        <v>4293</v>
      </c>
      <c r="G4298" s="102">
        <f t="shared" ca="1" si="71"/>
        <v>-9.7863905480047822E-2</v>
      </c>
    </row>
    <row r="4299" spans="6:7" x14ac:dyDescent="0.35">
      <c r="F4299">
        <v>4294</v>
      </c>
      <c r="G4299" s="102">
        <f t="shared" ca="1" si="71"/>
        <v>-6.201227421363803E-2</v>
      </c>
    </row>
    <row r="4300" spans="6:7" x14ac:dyDescent="0.35">
      <c r="F4300">
        <v>4295</v>
      </c>
      <c r="G4300" s="102">
        <f t="shared" ca="1" si="71"/>
        <v>-3.6768525974454444E-2</v>
      </c>
    </row>
    <row r="4301" spans="6:7" x14ac:dyDescent="0.35">
      <c r="F4301">
        <v>4296</v>
      </c>
      <c r="G4301" s="102">
        <f t="shared" ca="1" si="71"/>
        <v>-6.027852961106725E-2</v>
      </c>
    </row>
    <row r="4302" spans="6:7" x14ac:dyDescent="0.35">
      <c r="F4302">
        <v>4297</v>
      </c>
      <c r="G4302" s="102">
        <f t="shared" ca="1" si="71"/>
        <v>1.1712424835984645E-3</v>
      </c>
    </row>
    <row r="4303" spans="6:7" x14ac:dyDescent="0.35">
      <c r="F4303">
        <v>4298</v>
      </c>
      <c r="G4303" s="102">
        <f t="shared" ca="1" si="71"/>
        <v>-2.5089483366166246E-2</v>
      </c>
    </row>
    <row r="4304" spans="6:7" x14ac:dyDescent="0.35">
      <c r="F4304">
        <v>4299</v>
      </c>
      <c r="G4304" s="102">
        <f t="shared" ca="1" si="71"/>
        <v>-1.8680628986243959E-2</v>
      </c>
    </row>
    <row r="4305" spans="6:7" x14ac:dyDescent="0.35">
      <c r="F4305">
        <v>4300</v>
      </c>
      <c r="G4305" s="102">
        <f t="shared" ca="1" si="71"/>
        <v>3.6599688621543142E-2</v>
      </c>
    </row>
    <row r="4306" spans="6:7" x14ac:dyDescent="0.35">
      <c r="F4306">
        <v>4301</v>
      </c>
      <c r="G4306" s="102">
        <f t="shared" ca="1" si="71"/>
        <v>-8.5174870304712463E-2</v>
      </c>
    </row>
    <row r="4307" spans="6:7" x14ac:dyDescent="0.35">
      <c r="F4307">
        <v>4302</v>
      </c>
      <c r="G4307" s="102">
        <f t="shared" ca="1" si="71"/>
        <v>1.8516467228530585E-2</v>
      </c>
    </row>
    <row r="4308" spans="6:7" x14ac:dyDescent="0.35">
      <c r="F4308">
        <v>4303</v>
      </c>
      <c r="G4308" s="102">
        <f t="shared" ca="1" si="71"/>
        <v>4.457801712420946E-2</v>
      </c>
    </row>
    <row r="4309" spans="6:7" x14ac:dyDescent="0.35">
      <c r="F4309">
        <v>4304</v>
      </c>
      <c r="G4309" s="102">
        <f t="shared" ca="1" si="71"/>
        <v>-7.7217834230097246E-2</v>
      </c>
    </row>
    <row r="4310" spans="6:7" x14ac:dyDescent="0.35">
      <c r="F4310">
        <v>4305</v>
      </c>
      <c r="G4310" s="102">
        <f t="shared" ca="1" si="71"/>
        <v>-6.4713510889221086E-3</v>
      </c>
    </row>
    <row r="4311" spans="6:7" x14ac:dyDescent="0.35">
      <c r="F4311">
        <v>4306</v>
      </c>
      <c r="G4311" s="102">
        <f t="shared" ca="1" si="71"/>
        <v>3.4706847528462981E-2</v>
      </c>
    </row>
    <row r="4312" spans="6:7" x14ac:dyDescent="0.35">
      <c r="F4312">
        <v>4307</v>
      </c>
      <c r="G4312" s="102">
        <f t="shared" ca="1" si="71"/>
        <v>-9.7732401108868161E-2</v>
      </c>
    </row>
    <row r="4313" spans="6:7" x14ac:dyDescent="0.35">
      <c r="F4313">
        <v>4308</v>
      </c>
      <c r="G4313" s="102">
        <f t="shared" ca="1" si="71"/>
        <v>1.5440288948856594E-2</v>
      </c>
    </row>
    <row r="4314" spans="6:7" x14ac:dyDescent="0.35">
      <c r="F4314">
        <v>4309</v>
      </c>
      <c r="G4314" s="102">
        <f t="shared" ca="1" si="71"/>
        <v>-3.379875285423517E-2</v>
      </c>
    </row>
    <row r="4315" spans="6:7" x14ac:dyDescent="0.35">
      <c r="F4315">
        <v>4310</v>
      </c>
      <c r="G4315" s="102">
        <f t="shared" ca="1" si="71"/>
        <v>-0.13570128333335263</v>
      </c>
    </row>
    <row r="4316" spans="6:7" x14ac:dyDescent="0.35">
      <c r="F4316">
        <v>4311</v>
      </c>
      <c r="G4316" s="102">
        <f t="shared" ca="1" si="71"/>
        <v>5.3896149976669985E-2</v>
      </c>
    </row>
    <row r="4317" spans="6:7" x14ac:dyDescent="0.35">
      <c r="F4317">
        <v>4312</v>
      </c>
      <c r="G4317" s="102">
        <f t="shared" ca="1" si="71"/>
        <v>3.9682563029314263E-2</v>
      </c>
    </row>
    <row r="4318" spans="6:7" x14ac:dyDescent="0.35">
      <c r="F4318">
        <v>4313</v>
      </c>
      <c r="G4318" s="102">
        <f t="shared" ca="1" si="71"/>
        <v>-8.0676941720395676E-2</v>
      </c>
    </row>
    <row r="4319" spans="6:7" x14ac:dyDescent="0.35">
      <c r="F4319">
        <v>4314</v>
      </c>
      <c r="G4319" s="102">
        <f t="shared" ca="1" si="71"/>
        <v>-1.2636719460737847E-2</v>
      </c>
    </row>
    <row r="4320" spans="6:7" x14ac:dyDescent="0.35">
      <c r="F4320">
        <v>4315</v>
      </c>
      <c r="G4320" s="102">
        <f t="shared" ca="1" si="71"/>
        <v>-0.10622462984097535</v>
      </c>
    </row>
    <row r="4321" spans="6:7" x14ac:dyDescent="0.35">
      <c r="F4321">
        <v>4316</v>
      </c>
      <c r="G4321" s="102">
        <f t="shared" ca="1" si="71"/>
        <v>-2.2343772671260895E-2</v>
      </c>
    </row>
    <row r="4322" spans="6:7" x14ac:dyDescent="0.35">
      <c r="F4322">
        <v>4317</v>
      </c>
      <c r="G4322" s="102">
        <f t="shared" ca="1" si="71"/>
        <v>-4.5158290487508509E-2</v>
      </c>
    </row>
    <row r="4323" spans="6:7" x14ac:dyDescent="0.35">
      <c r="F4323">
        <v>4318</v>
      </c>
      <c r="G4323" s="102">
        <f t="shared" ca="1" si="71"/>
        <v>1.7408581049127549E-2</v>
      </c>
    </row>
    <row r="4324" spans="6:7" x14ac:dyDescent="0.35">
      <c r="F4324">
        <v>4319</v>
      </c>
      <c r="G4324" s="102">
        <f t="shared" ca="1" si="71"/>
        <v>5.0913463973509723E-2</v>
      </c>
    </row>
    <row r="4325" spans="6:7" x14ac:dyDescent="0.35">
      <c r="F4325">
        <v>4320</v>
      </c>
      <c r="G4325" s="102">
        <f t="shared" ca="1" si="71"/>
        <v>2.0067787077290955E-2</v>
      </c>
    </row>
    <row r="4326" spans="6:7" x14ac:dyDescent="0.35">
      <c r="F4326">
        <v>4321</v>
      </c>
      <c r="G4326" s="102">
        <f t="shared" ca="1" si="71"/>
        <v>3.4670668882206546E-2</v>
      </c>
    </row>
    <row r="4327" spans="6:7" x14ac:dyDescent="0.35">
      <c r="F4327">
        <v>4322</v>
      </c>
      <c r="G4327" s="102">
        <f t="shared" ca="1" si="71"/>
        <v>4.4672742163139795E-2</v>
      </c>
    </row>
    <row r="4328" spans="6:7" x14ac:dyDescent="0.35">
      <c r="F4328">
        <v>4323</v>
      </c>
      <c r="G4328" s="102">
        <f t="shared" ca="1" si="71"/>
        <v>4.1876582307807372E-2</v>
      </c>
    </row>
    <row r="4329" spans="6:7" x14ac:dyDescent="0.35">
      <c r="F4329">
        <v>4324</v>
      </c>
      <c r="G4329" s="102">
        <f t="shared" ca="1" si="71"/>
        <v>-2.1124520917486709E-2</v>
      </c>
    </row>
    <row r="4330" spans="6:7" x14ac:dyDescent="0.35">
      <c r="F4330">
        <v>4325</v>
      </c>
      <c r="G4330" s="102">
        <f t="shared" ca="1" si="71"/>
        <v>6.5377521258007096E-2</v>
      </c>
    </row>
    <row r="4331" spans="6:7" x14ac:dyDescent="0.35">
      <c r="F4331">
        <v>4326</v>
      </c>
      <c r="G4331" s="102">
        <f t="shared" ca="1" si="71"/>
        <v>3.9934225902589465E-2</v>
      </c>
    </row>
    <row r="4332" spans="6:7" x14ac:dyDescent="0.35">
      <c r="F4332">
        <v>4327</v>
      </c>
      <c r="G4332" s="102">
        <f t="shared" ca="1" si="71"/>
        <v>6.8465420707051805E-2</v>
      </c>
    </row>
    <row r="4333" spans="6:7" x14ac:dyDescent="0.35">
      <c r="F4333">
        <v>4328</v>
      </c>
      <c r="G4333" s="102">
        <f t="shared" ca="1" si="71"/>
        <v>-4.6214063585026249E-2</v>
      </c>
    </row>
    <row r="4334" spans="6:7" x14ac:dyDescent="0.35">
      <c r="F4334">
        <v>4329</v>
      </c>
      <c r="G4334" s="102">
        <f t="shared" ca="1" si="71"/>
        <v>6.7223786060797097E-2</v>
      </c>
    </row>
    <row r="4335" spans="6:7" x14ac:dyDescent="0.35">
      <c r="F4335">
        <v>4330</v>
      </c>
      <c r="G4335" s="102">
        <f t="shared" ca="1" si="71"/>
        <v>-6.3989785533586183E-2</v>
      </c>
    </row>
    <row r="4336" spans="6:7" x14ac:dyDescent="0.35">
      <c r="F4336">
        <v>4331</v>
      </c>
      <c r="G4336" s="102">
        <f t="shared" ca="1" si="71"/>
        <v>-1.3121708966419735E-2</v>
      </c>
    </row>
    <row r="4337" spans="6:7" x14ac:dyDescent="0.35">
      <c r="F4337">
        <v>4332</v>
      </c>
      <c r="G4337" s="102">
        <f t="shared" ca="1" si="71"/>
        <v>5.4469005418560326E-2</v>
      </c>
    </row>
    <row r="4338" spans="6:7" x14ac:dyDescent="0.35">
      <c r="F4338">
        <v>4333</v>
      </c>
      <c r="G4338" s="102">
        <f t="shared" ca="1" si="71"/>
        <v>-2.5834155311677078E-3</v>
      </c>
    </row>
    <row r="4339" spans="6:7" x14ac:dyDescent="0.35">
      <c r="F4339">
        <v>4334</v>
      </c>
      <c r="G4339" s="102">
        <f t="shared" ca="1" si="71"/>
        <v>6.8420892625097179E-2</v>
      </c>
    </row>
    <row r="4340" spans="6:7" x14ac:dyDescent="0.35">
      <c r="F4340">
        <v>4335</v>
      </c>
      <c r="G4340" s="102">
        <f t="shared" ca="1" si="71"/>
        <v>1.8438031312886391E-2</v>
      </c>
    </row>
    <row r="4341" spans="6:7" x14ac:dyDescent="0.35">
      <c r="F4341">
        <v>4336</v>
      </c>
      <c r="G4341" s="102">
        <f t="shared" ca="1" si="71"/>
        <v>-1.9496982092552767E-2</v>
      </c>
    </row>
    <row r="4342" spans="6:7" x14ac:dyDescent="0.35">
      <c r="F4342">
        <v>4337</v>
      </c>
      <c r="G4342" s="102">
        <f t="shared" ca="1" si="71"/>
        <v>-2.4282803850922473E-2</v>
      </c>
    </row>
    <row r="4343" spans="6:7" x14ac:dyDescent="0.35">
      <c r="F4343">
        <v>4338</v>
      </c>
      <c r="G4343" s="102">
        <f t="shared" ca="1" si="71"/>
        <v>7.4001691785060539E-2</v>
      </c>
    </row>
    <row r="4344" spans="6:7" x14ac:dyDescent="0.35">
      <c r="F4344">
        <v>4339</v>
      </c>
      <c r="G4344" s="102">
        <f t="shared" ca="1" si="71"/>
        <v>5.7503827832033297E-2</v>
      </c>
    </row>
    <row r="4345" spans="6:7" x14ac:dyDescent="0.35">
      <c r="F4345">
        <v>4340</v>
      </c>
      <c r="G4345" s="102">
        <f t="shared" ca="1" si="71"/>
        <v>-6.3509627553049924E-2</v>
      </c>
    </row>
    <row r="4346" spans="6:7" x14ac:dyDescent="0.35">
      <c r="F4346">
        <v>4341</v>
      </c>
      <c r="G4346" s="102">
        <f t="shared" ca="1" si="71"/>
        <v>9.4588884504578349E-2</v>
      </c>
    </row>
    <row r="4347" spans="6:7" x14ac:dyDescent="0.35">
      <c r="F4347">
        <v>4342</v>
      </c>
      <c r="G4347" s="102">
        <f t="shared" ca="1" si="71"/>
        <v>-0.14003838540261146</v>
      </c>
    </row>
    <row r="4348" spans="6:7" x14ac:dyDescent="0.35">
      <c r="F4348">
        <v>4343</v>
      </c>
      <c r="G4348" s="102">
        <f t="shared" ca="1" si="71"/>
        <v>-5.8983258900779975E-2</v>
      </c>
    </row>
    <row r="4349" spans="6:7" x14ac:dyDescent="0.35">
      <c r="F4349">
        <v>4344</v>
      </c>
      <c r="G4349" s="102">
        <f t="shared" ca="1" si="71"/>
        <v>-4.498850605511312E-2</v>
      </c>
    </row>
    <row r="4350" spans="6:7" x14ac:dyDescent="0.35">
      <c r="F4350">
        <v>4345</v>
      </c>
      <c r="G4350" s="102">
        <f t="shared" ca="1" si="71"/>
        <v>-3.9172459776677535E-2</v>
      </c>
    </row>
    <row r="4351" spans="6:7" x14ac:dyDescent="0.35">
      <c r="F4351">
        <v>4346</v>
      </c>
      <c r="G4351" s="102">
        <f t="shared" ca="1" si="71"/>
        <v>5.5991154343596333E-3</v>
      </c>
    </row>
    <row r="4352" spans="6:7" x14ac:dyDescent="0.35">
      <c r="F4352">
        <v>4347</v>
      </c>
      <c r="G4352" s="102">
        <f t="shared" ca="1" si="71"/>
        <v>-0.11793514435762807</v>
      </c>
    </row>
    <row r="4353" spans="6:7" x14ac:dyDescent="0.35">
      <c r="F4353">
        <v>4348</v>
      </c>
      <c r="G4353" s="102">
        <f t="shared" ca="1" si="71"/>
        <v>-6.0820207443250923E-2</v>
      </c>
    </row>
    <row r="4354" spans="6:7" x14ac:dyDescent="0.35">
      <c r="F4354">
        <v>4349</v>
      </c>
      <c r="G4354" s="102">
        <f t="shared" ca="1" si="71"/>
        <v>0.10478201037096499</v>
      </c>
    </row>
    <row r="4355" spans="6:7" x14ac:dyDescent="0.35">
      <c r="F4355">
        <v>4350</v>
      </c>
      <c r="G4355" s="102">
        <f t="shared" ca="1" si="71"/>
        <v>1.7982468640280268E-2</v>
      </c>
    </row>
    <row r="4356" spans="6:7" x14ac:dyDescent="0.35">
      <c r="F4356">
        <v>4351</v>
      </c>
      <c r="G4356" s="102">
        <f t="shared" ca="1" si="71"/>
        <v>-1.2407371781978463E-2</v>
      </c>
    </row>
    <row r="4357" spans="6:7" x14ac:dyDescent="0.35">
      <c r="F4357">
        <v>4352</v>
      </c>
      <c r="G4357" s="102">
        <f t="shared" ca="1" si="71"/>
        <v>2.0219231485426356E-2</v>
      </c>
    </row>
    <row r="4358" spans="6:7" x14ac:dyDescent="0.35">
      <c r="F4358">
        <v>4353</v>
      </c>
      <c r="G4358" s="102">
        <f t="shared" ca="1" si="71"/>
        <v>3.6721555496665989E-2</v>
      </c>
    </row>
    <row r="4359" spans="6:7" x14ac:dyDescent="0.35">
      <c r="F4359">
        <v>4354</v>
      </c>
      <c r="G4359" s="102">
        <f t="shared" ref="G4359:G4422" ca="1" si="72">_xlfn.NORM.INV(RAND(),M$9,M$10)</f>
        <v>-1.3012494145096394E-2</v>
      </c>
    </row>
    <row r="4360" spans="6:7" x14ac:dyDescent="0.35">
      <c r="F4360">
        <v>4355</v>
      </c>
      <c r="G4360" s="102">
        <f t="shared" ca="1" si="72"/>
        <v>0.10302582534361147</v>
      </c>
    </row>
    <row r="4361" spans="6:7" x14ac:dyDescent="0.35">
      <c r="F4361">
        <v>4356</v>
      </c>
      <c r="G4361" s="102">
        <f t="shared" ca="1" si="72"/>
        <v>-1.6809072679232036E-2</v>
      </c>
    </row>
    <row r="4362" spans="6:7" x14ac:dyDescent="0.35">
      <c r="F4362">
        <v>4357</v>
      </c>
      <c r="G4362" s="102">
        <f t="shared" ca="1" si="72"/>
        <v>1.4723270948158548E-2</v>
      </c>
    </row>
    <row r="4363" spans="6:7" x14ac:dyDescent="0.35">
      <c r="F4363">
        <v>4358</v>
      </c>
      <c r="G4363" s="102">
        <f t="shared" ca="1" si="72"/>
        <v>9.2157393692940473E-2</v>
      </c>
    </row>
    <row r="4364" spans="6:7" x14ac:dyDescent="0.35">
      <c r="F4364">
        <v>4359</v>
      </c>
      <c r="G4364" s="102">
        <f t="shared" ca="1" si="72"/>
        <v>4.7871672134189275E-2</v>
      </c>
    </row>
    <row r="4365" spans="6:7" x14ac:dyDescent="0.35">
      <c r="F4365">
        <v>4360</v>
      </c>
      <c r="G4365" s="102">
        <f t="shared" ca="1" si="72"/>
        <v>2.3437265483996168E-2</v>
      </c>
    </row>
    <row r="4366" spans="6:7" x14ac:dyDescent="0.35">
      <c r="F4366">
        <v>4361</v>
      </c>
      <c r="G4366" s="102">
        <f t="shared" ca="1" si="72"/>
        <v>-3.9360713705981112E-2</v>
      </c>
    </row>
    <row r="4367" spans="6:7" x14ac:dyDescent="0.35">
      <c r="F4367">
        <v>4362</v>
      </c>
      <c r="G4367" s="102">
        <f t="shared" ca="1" si="72"/>
        <v>-6.842176878300886E-2</v>
      </c>
    </row>
    <row r="4368" spans="6:7" x14ac:dyDescent="0.35">
      <c r="F4368">
        <v>4363</v>
      </c>
      <c r="G4368" s="102">
        <f t="shared" ca="1" si="72"/>
        <v>5.0135057803575536E-2</v>
      </c>
    </row>
    <row r="4369" spans="6:7" x14ac:dyDescent="0.35">
      <c r="F4369">
        <v>4364</v>
      </c>
      <c r="G4369" s="102">
        <f t="shared" ca="1" si="72"/>
        <v>8.8833331949680197E-2</v>
      </c>
    </row>
    <row r="4370" spans="6:7" x14ac:dyDescent="0.35">
      <c r="F4370">
        <v>4365</v>
      </c>
      <c r="G4370" s="102">
        <f t="shared" ca="1" si="72"/>
        <v>-1.9826485448663562E-2</v>
      </c>
    </row>
    <row r="4371" spans="6:7" x14ac:dyDescent="0.35">
      <c r="F4371">
        <v>4366</v>
      </c>
      <c r="G4371" s="102">
        <f t="shared" ca="1" si="72"/>
        <v>4.7883312015117849E-2</v>
      </c>
    </row>
    <row r="4372" spans="6:7" x14ac:dyDescent="0.35">
      <c r="F4372">
        <v>4367</v>
      </c>
      <c r="G4372" s="102">
        <f t="shared" ca="1" si="72"/>
        <v>5.9418448060145467E-3</v>
      </c>
    </row>
    <row r="4373" spans="6:7" x14ac:dyDescent="0.35">
      <c r="F4373">
        <v>4368</v>
      </c>
      <c r="G4373" s="102">
        <f t="shared" ca="1" si="72"/>
        <v>6.4319909558536392E-2</v>
      </c>
    </row>
    <row r="4374" spans="6:7" x14ac:dyDescent="0.35">
      <c r="F4374">
        <v>4369</v>
      </c>
      <c r="G4374" s="102">
        <f t="shared" ca="1" si="72"/>
        <v>4.0653038244948786E-2</v>
      </c>
    </row>
    <row r="4375" spans="6:7" x14ac:dyDescent="0.35">
      <c r="F4375">
        <v>4370</v>
      </c>
      <c r="G4375" s="102">
        <f t="shared" ca="1" si="72"/>
        <v>-4.2493773290112433E-2</v>
      </c>
    </row>
    <row r="4376" spans="6:7" x14ac:dyDescent="0.35">
      <c r="F4376">
        <v>4371</v>
      </c>
      <c r="G4376" s="102">
        <f t="shared" ca="1" si="72"/>
        <v>5.3973064530543818E-2</v>
      </c>
    </row>
    <row r="4377" spans="6:7" x14ac:dyDescent="0.35">
      <c r="F4377">
        <v>4372</v>
      </c>
      <c r="G4377" s="102">
        <f t="shared" ca="1" si="72"/>
        <v>-4.1595088522209167E-2</v>
      </c>
    </row>
    <row r="4378" spans="6:7" x14ac:dyDescent="0.35">
      <c r="F4378">
        <v>4373</v>
      </c>
      <c r="G4378" s="102">
        <f t="shared" ca="1" si="72"/>
        <v>3.8009382642581205E-2</v>
      </c>
    </row>
    <row r="4379" spans="6:7" x14ac:dyDescent="0.35">
      <c r="F4379">
        <v>4374</v>
      </c>
      <c r="G4379" s="102">
        <f t="shared" ca="1" si="72"/>
        <v>-0.13246752213000634</v>
      </c>
    </row>
    <row r="4380" spans="6:7" x14ac:dyDescent="0.35">
      <c r="F4380">
        <v>4375</v>
      </c>
      <c r="G4380" s="102">
        <f t="shared" ca="1" si="72"/>
        <v>-0.13857613690800838</v>
      </c>
    </row>
    <row r="4381" spans="6:7" x14ac:dyDescent="0.35">
      <c r="F4381">
        <v>4376</v>
      </c>
      <c r="G4381" s="102">
        <f t="shared" ca="1" si="72"/>
        <v>8.2681503540210949E-2</v>
      </c>
    </row>
    <row r="4382" spans="6:7" x14ac:dyDescent="0.35">
      <c r="F4382">
        <v>4377</v>
      </c>
      <c r="G4382" s="102">
        <f t="shared" ca="1" si="72"/>
        <v>7.8049838724171487E-3</v>
      </c>
    </row>
    <row r="4383" spans="6:7" x14ac:dyDescent="0.35">
      <c r="F4383">
        <v>4378</v>
      </c>
      <c r="G4383" s="102">
        <f t="shared" ca="1" si="72"/>
        <v>-8.5053194045311156E-2</v>
      </c>
    </row>
    <row r="4384" spans="6:7" x14ac:dyDescent="0.35">
      <c r="F4384">
        <v>4379</v>
      </c>
      <c r="G4384" s="102">
        <f t="shared" ca="1" si="72"/>
        <v>9.3773379803889067E-3</v>
      </c>
    </row>
    <row r="4385" spans="6:7" x14ac:dyDescent="0.35">
      <c r="F4385">
        <v>4380</v>
      </c>
      <c r="G4385" s="102">
        <f t="shared" ca="1" si="72"/>
        <v>-2.6002284846327824E-2</v>
      </c>
    </row>
    <row r="4386" spans="6:7" x14ac:dyDescent="0.35">
      <c r="F4386">
        <v>4381</v>
      </c>
      <c r="G4386" s="102">
        <f t="shared" ca="1" si="72"/>
        <v>-7.153158423942578E-2</v>
      </c>
    </row>
    <row r="4387" spans="6:7" x14ac:dyDescent="0.35">
      <c r="F4387">
        <v>4382</v>
      </c>
      <c r="G4387" s="102">
        <f t="shared" ca="1" si="72"/>
        <v>-9.0358447764232908E-2</v>
      </c>
    </row>
    <row r="4388" spans="6:7" x14ac:dyDescent="0.35">
      <c r="F4388">
        <v>4383</v>
      </c>
      <c r="G4388" s="102">
        <f t="shared" ca="1" si="72"/>
        <v>3.0138880047395417E-2</v>
      </c>
    </row>
    <row r="4389" spans="6:7" x14ac:dyDescent="0.35">
      <c r="F4389">
        <v>4384</v>
      </c>
      <c r="G4389" s="102">
        <f t="shared" ca="1" si="72"/>
        <v>6.7814240277409912E-3</v>
      </c>
    </row>
    <row r="4390" spans="6:7" x14ac:dyDescent="0.35">
      <c r="F4390">
        <v>4385</v>
      </c>
      <c r="G4390" s="102">
        <f t="shared" ca="1" si="72"/>
        <v>8.0608402446665839E-2</v>
      </c>
    </row>
    <row r="4391" spans="6:7" x14ac:dyDescent="0.35">
      <c r="F4391">
        <v>4386</v>
      </c>
      <c r="G4391" s="102">
        <f t="shared" ca="1" si="72"/>
        <v>-2.1836690593324007E-2</v>
      </c>
    </row>
    <row r="4392" spans="6:7" x14ac:dyDescent="0.35">
      <c r="F4392">
        <v>4387</v>
      </c>
      <c r="G4392" s="102">
        <f t="shared" ca="1" si="72"/>
        <v>-5.3519659026817115E-2</v>
      </c>
    </row>
    <row r="4393" spans="6:7" x14ac:dyDescent="0.35">
      <c r="F4393">
        <v>4388</v>
      </c>
      <c r="G4393" s="102">
        <f t="shared" ca="1" si="72"/>
        <v>-1.9329355203907599E-2</v>
      </c>
    </row>
    <row r="4394" spans="6:7" x14ac:dyDescent="0.35">
      <c r="F4394">
        <v>4389</v>
      </c>
      <c r="G4394" s="102">
        <f t="shared" ca="1" si="72"/>
        <v>-4.8701632552476934E-2</v>
      </c>
    </row>
    <row r="4395" spans="6:7" x14ac:dyDescent="0.35">
      <c r="F4395">
        <v>4390</v>
      </c>
      <c r="G4395" s="102">
        <f t="shared" ca="1" si="72"/>
        <v>-1.5405295648809724E-2</v>
      </c>
    </row>
    <row r="4396" spans="6:7" x14ac:dyDescent="0.35">
      <c r="F4396">
        <v>4391</v>
      </c>
      <c r="G4396" s="102">
        <f t="shared" ca="1" si="72"/>
        <v>0.1379171933015039</v>
      </c>
    </row>
    <row r="4397" spans="6:7" x14ac:dyDescent="0.35">
      <c r="F4397">
        <v>4392</v>
      </c>
      <c r="G4397" s="102">
        <f t="shared" ca="1" si="72"/>
        <v>6.4042814281305982E-3</v>
      </c>
    </row>
    <row r="4398" spans="6:7" x14ac:dyDescent="0.35">
      <c r="F4398">
        <v>4393</v>
      </c>
      <c r="G4398" s="102">
        <f t="shared" ca="1" si="72"/>
        <v>-5.4273640246284977E-2</v>
      </c>
    </row>
    <row r="4399" spans="6:7" x14ac:dyDescent="0.35">
      <c r="F4399">
        <v>4394</v>
      </c>
      <c r="G4399" s="102">
        <f t="shared" ca="1" si="72"/>
        <v>-2.8580861809176704E-2</v>
      </c>
    </row>
    <row r="4400" spans="6:7" x14ac:dyDescent="0.35">
      <c r="F4400">
        <v>4395</v>
      </c>
      <c r="G4400" s="102">
        <f t="shared" ca="1" si="72"/>
        <v>8.1536500908144377E-3</v>
      </c>
    </row>
    <row r="4401" spans="6:7" x14ac:dyDescent="0.35">
      <c r="F4401">
        <v>4396</v>
      </c>
      <c r="G4401" s="102">
        <f t="shared" ca="1" si="72"/>
        <v>-2.0703677492606688E-2</v>
      </c>
    </row>
    <row r="4402" spans="6:7" x14ac:dyDescent="0.35">
      <c r="F4402">
        <v>4397</v>
      </c>
      <c r="G4402" s="102">
        <f t="shared" ca="1" si="72"/>
        <v>-6.1315974487553132E-2</v>
      </c>
    </row>
    <row r="4403" spans="6:7" x14ac:dyDescent="0.35">
      <c r="F4403">
        <v>4398</v>
      </c>
      <c r="G4403" s="102">
        <f t="shared" ca="1" si="72"/>
        <v>-8.3125989700178274E-3</v>
      </c>
    </row>
    <row r="4404" spans="6:7" x14ac:dyDescent="0.35">
      <c r="F4404">
        <v>4399</v>
      </c>
      <c r="G4404" s="102">
        <f t="shared" ca="1" si="72"/>
        <v>-9.2158939926604649E-2</v>
      </c>
    </row>
    <row r="4405" spans="6:7" x14ac:dyDescent="0.35">
      <c r="F4405">
        <v>4400</v>
      </c>
      <c r="G4405" s="102">
        <f t="shared" ca="1" si="72"/>
        <v>-7.665501807810135E-2</v>
      </c>
    </row>
    <row r="4406" spans="6:7" x14ac:dyDescent="0.35">
      <c r="F4406">
        <v>4401</v>
      </c>
      <c r="G4406" s="102">
        <f t="shared" ca="1" si="72"/>
        <v>-0.11933679777943379</v>
      </c>
    </row>
    <row r="4407" spans="6:7" x14ac:dyDescent="0.35">
      <c r="F4407">
        <v>4402</v>
      </c>
      <c r="G4407" s="102">
        <f t="shared" ca="1" si="72"/>
        <v>-9.4889733608682237E-3</v>
      </c>
    </row>
    <row r="4408" spans="6:7" x14ac:dyDescent="0.35">
      <c r="F4408">
        <v>4403</v>
      </c>
      <c r="G4408" s="102">
        <f t="shared" ca="1" si="72"/>
        <v>1.1320907964550653E-2</v>
      </c>
    </row>
    <row r="4409" spans="6:7" x14ac:dyDescent="0.35">
      <c r="F4409">
        <v>4404</v>
      </c>
      <c r="G4409" s="102">
        <f t="shared" ca="1" si="72"/>
        <v>-2.7883211327812494E-2</v>
      </c>
    </row>
    <row r="4410" spans="6:7" x14ac:dyDescent="0.35">
      <c r="F4410">
        <v>4405</v>
      </c>
      <c r="G4410" s="102">
        <f t="shared" ca="1" si="72"/>
        <v>-3.7051932772370552E-2</v>
      </c>
    </row>
    <row r="4411" spans="6:7" x14ac:dyDescent="0.35">
      <c r="F4411">
        <v>4406</v>
      </c>
      <c r="G4411" s="102">
        <f t="shared" ca="1" si="72"/>
        <v>-1.9356453793194513E-2</v>
      </c>
    </row>
    <row r="4412" spans="6:7" x14ac:dyDescent="0.35">
      <c r="F4412">
        <v>4407</v>
      </c>
      <c r="G4412" s="102">
        <f t="shared" ca="1" si="72"/>
        <v>-0.11840737358360737</v>
      </c>
    </row>
    <row r="4413" spans="6:7" x14ac:dyDescent="0.35">
      <c r="F4413">
        <v>4408</v>
      </c>
      <c r="G4413" s="102">
        <f t="shared" ca="1" si="72"/>
        <v>-5.4528377816320348E-2</v>
      </c>
    </row>
    <row r="4414" spans="6:7" x14ac:dyDescent="0.35">
      <c r="F4414">
        <v>4409</v>
      </c>
      <c r="G4414" s="102">
        <f t="shared" ca="1" si="72"/>
        <v>-8.1692657620588027E-2</v>
      </c>
    </row>
    <row r="4415" spans="6:7" x14ac:dyDescent="0.35">
      <c r="F4415">
        <v>4410</v>
      </c>
      <c r="G4415" s="102">
        <f t="shared" ca="1" si="72"/>
        <v>-2.0488557940443828E-2</v>
      </c>
    </row>
    <row r="4416" spans="6:7" x14ac:dyDescent="0.35">
      <c r="F4416">
        <v>4411</v>
      </c>
      <c r="G4416" s="102">
        <f t="shared" ca="1" si="72"/>
        <v>8.2614826461650068E-2</v>
      </c>
    </row>
    <row r="4417" spans="6:7" x14ac:dyDescent="0.35">
      <c r="F4417">
        <v>4412</v>
      </c>
      <c r="G4417" s="102">
        <f t="shared" ca="1" si="72"/>
        <v>4.2891214009976142E-2</v>
      </c>
    </row>
    <row r="4418" spans="6:7" x14ac:dyDescent="0.35">
      <c r="F4418">
        <v>4413</v>
      </c>
      <c r="G4418" s="102">
        <f t="shared" ca="1" si="72"/>
        <v>-8.1374380444667438E-2</v>
      </c>
    </row>
    <row r="4419" spans="6:7" x14ac:dyDescent="0.35">
      <c r="F4419">
        <v>4414</v>
      </c>
      <c r="G4419" s="102">
        <f t="shared" ca="1" si="72"/>
        <v>3.1701437987593686E-2</v>
      </c>
    </row>
    <row r="4420" spans="6:7" x14ac:dyDescent="0.35">
      <c r="F4420">
        <v>4415</v>
      </c>
      <c r="G4420" s="102">
        <f t="shared" ca="1" si="72"/>
        <v>-6.4543051467451998E-3</v>
      </c>
    </row>
    <row r="4421" spans="6:7" x14ac:dyDescent="0.35">
      <c r="F4421">
        <v>4416</v>
      </c>
      <c r="G4421" s="102">
        <f t="shared" ca="1" si="72"/>
        <v>1.8126685700302014E-2</v>
      </c>
    </row>
    <row r="4422" spans="6:7" x14ac:dyDescent="0.35">
      <c r="F4422">
        <v>4417</v>
      </c>
      <c r="G4422" s="102">
        <f t="shared" ca="1" si="72"/>
        <v>2.1644939109839289E-3</v>
      </c>
    </row>
    <row r="4423" spans="6:7" x14ac:dyDescent="0.35">
      <c r="F4423">
        <v>4418</v>
      </c>
      <c r="G4423" s="102">
        <f t="shared" ref="G4423:G4486" ca="1" si="73">_xlfn.NORM.INV(RAND(),M$9,M$10)</f>
        <v>-2.9250072981764113E-2</v>
      </c>
    </row>
    <row r="4424" spans="6:7" x14ac:dyDescent="0.35">
      <c r="F4424">
        <v>4419</v>
      </c>
      <c r="G4424" s="102">
        <f t="shared" ca="1" si="73"/>
        <v>-6.8819375118610401E-2</v>
      </c>
    </row>
    <row r="4425" spans="6:7" x14ac:dyDescent="0.35">
      <c r="F4425">
        <v>4420</v>
      </c>
      <c r="G4425" s="102">
        <f t="shared" ca="1" si="73"/>
        <v>5.0205534123510531E-2</v>
      </c>
    </row>
    <row r="4426" spans="6:7" x14ac:dyDescent="0.35">
      <c r="F4426">
        <v>4421</v>
      </c>
      <c r="G4426" s="102">
        <f t="shared" ca="1" si="73"/>
        <v>-0.11038322864260279</v>
      </c>
    </row>
    <row r="4427" spans="6:7" x14ac:dyDescent="0.35">
      <c r="F4427">
        <v>4422</v>
      </c>
      <c r="G4427" s="102">
        <f t="shared" ca="1" si="73"/>
        <v>-5.1617321576582553E-2</v>
      </c>
    </row>
    <row r="4428" spans="6:7" x14ac:dyDescent="0.35">
      <c r="F4428">
        <v>4423</v>
      </c>
      <c r="G4428" s="102">
        <f t="shared" ca="1" si="73"/>
        <v>2.2073940157657937E-3</v>
      </c>
    </row>
    <row r="4429" spans="6:7" x14ac:dyDescent="0.35">
      <c r="F4429">
        <v>4424</v>
      </c>
      <c r="G4429" s="102">
        <f t="shared" ca="1" si="73"/>
        <v>-2.1588802313512592E-2</v>
      </c>
    </row>
    <row r="4430" spans="6:7" x14ac:dyDescent="0.35">
      <c r="F4430">
        <v>4425</v>
      </c>
      <c r="G4430" s="102">
        <f t="shared" ca="1" si="73"/>
        <v>-0.11149030828451374</v>
      </c>
    </row>
    <row r="4431" spans="6:7" x14ac:dyDescent="0.35">
      <c r="F4431">
        <v>4426</v>
      </c>
      <c r="G4431" s="102">
        <f t="shared" ca="1" si="73"/>
        <v>4.6985287873385267E-2</v>
      </c>
    </row>
    <row r="4432" spans="6:7" x14ac:dyDescent="0.35">
      <c r="F4432">
        <v>4427</v>
      </c>
      <c r="G4432" s="102">
        <f t="shared" ca="1" si="73"/>
        <v>0.14333399608555028</v>
      </c>
    </row>
    <row r="4433" spans="6:7" x14ac:dyDescent="0.35">
      <c r="F4433">
        <v>4428</v>
      </c>
      <c r="G4433" s="102">
        <f t="shared" ca="1" si="73"/>
        <v>4.736753183111184E-3</v>
      </c>
    </row>
    <row r="4434" spans="6:7" x14ac:dyDescent="0.35">
      <c r="F4434">
        <v>4429</v>
      </c>
      <c r="G4434" s="102">
        <f t="shared" ca="1" si="73"/>
        <v>-6.5838104713963175E-2</v>
      </c>
    </row>
    <row r="4435" spans="6:7" x14ac:dyDescent="0.35">
      <c r="F4435">
        <v>4430</v>
      </c>
      <c r="G4435" s="102">
        <f t="shared" ca="1" si="73"/>
        <v>5.0529948580760441E-3</v>
      </c>
    </row>
    <row r="4436" spans="6:7" x14ac:dyDescent="0.35">
      <c r="F4436">
        <v>4431</v>
      </c>
      <c r="G4436" s="102">
        <f t="shared" ca="1" si="73"/>
        <v>6.7083961852371643E-3</v>
      </c>
    </row>
    <row r="4437" spans="6:7" x14ac:dyDescent="0.35">
      <c r="F4437">
        <v>4432</v>
      </c>
      <c r="G4437" s="102">
        <f t="shared" ca="1" si="73"/>
        <v>-1.6205268869018474E-2</v>
      </c>
    </row>
    <row r="4438" spans="6:7" x14ac:dyDescent="0.35">
      <c r="F4438">
        <v>4433</v>
      </c>
      <c r="G4438" s="102">
        <f t="shared" ca="1" si="73"/>
        <v>-2.4093744286103422E-2</v>
      </c>
    </row>
    <row r="4439" spans="6:7" x14ac:dyDescent="0.35">
      <c r="F4439">
        <v>4434</v>
      </c>
      <c r="G4439" s="102">
        <f t="shared" ca="1" si="73"/>
        <v>-8.0277650412549501E-2</v>
      </c>
    </row>
    <row r="4440" spans="6:7" x14ac:dyDescent="0.35">
      <c r="F4440">
        <v>4435</v>
      </c>
      <c r="G4440" s="102">
        <f t="shared" ca="1" si="73"/>
        <v>2.1387012371458895E-2</v>
      </c>
    </row>
    <row r="4441" spans="6:7" x14ac:dyDescent="0.35">
      <c r="F4441">
        <v>4436</v>
      </c>
      <c r="G4441" s="102">
        <f t="shared" ca="1" si="73"/>
        <v>1.1850066108001007E-2</v>
      </c>
    </row>
    <row r="4442" spans="6:7" x14ac:dyDescent="0.35">
      <c r="F4442">
        <v>4437</v>
      </c>
      <c r="G4442" s="102">
        <f t="shared" ca="1" si="73"/>
        <v>-1.4047315871224405E-2</v>
      </c>
    </row>
    <row r="4443" spans="6:7" x14ac:dyDescent="0.35">
      <c r="F4443">
        <v>4438</v>
      </c>
      <c r="G4443" s="102">
        <f t="shared" ca="1" si="73"/>
        <v>3.9630679122588761E-2</v>
      </c>
    </row>
    <row r="4444" spans="6:7" x14ac:dyDescent="0.35">
      <c r="F4444">
        <v>4439</v>
      </c>
      <c r="G4444" s="102">
        <f t="shared" ca="1" si="73"/>
        <v>6.4649148890558381E-2</v>
      </c>
    </row>
    <row r="4445" spans="6:7" x14ac:dyDescent="0.35">
      <c r="F4445">
        <v>4440</v>
      </c>
      <c r="G4445" s="102">
        <f t="shared" ca="1" si="73"/>
        <v>-6.9568703245661709E-2</v>
      </c>
    </row>
    <row r="4446" spans="6:7" x14ac:dyDescent="0.35">
      <c r="F4446">
        <v>4441</v>
      </c>
      <c r="G4446" s="102">
        <f t="shared" ca="1" si="73"/>
        <v>-3.2279393124854013E-2</v>
      </c>
    </row>
    <row r="4447" spans="6:7" x14ac:dyDescent="0.35">
      <c r="F4447">
        <v>4442</v>
      </c>
      <c r="G4447" s="102">
        <f t="shared" ca="1" si="73"/>
        <v>-0.134181726831091</v>
      </c>
    </row>
    <row r="4448" spans="6:7" x14ac:dyDescent="0.35">
      <c r="F4448">
        <v>4443</v>
      </c>
      <c r="G4448" s="102">
        <f t="shared" ca="1" si="73"/>
        <v>5.5309377625347378E-2</v>
      </c>
    </row>
    <row r="4449" spans="6:7" x14ac:dyDescent="0.35">
      <c r="F4449">
        <v>4444</v>
      </c>
      <c r="G4449" s="102">
        <f t="shared" ca="1" si="73"/>
        <v>-4.8587414128052786E-2</v>
      </c>
    </row>
    <row r="4450" spans="6:7" x14ac:dyDescent="0.35">
      <c r="F4450">
        <v>4445</v>
      </c>
      <c r="G4450" s="102">
        <f t="shared" ca="1" si="73"/>
        <v>0.13025528209342757</v>
      </c>
    </row>
    <row r="4451" spans="6:7" x14ac:dyDescent="0.35">
      <c r="F4451">
        <v>4446</v>
      </c>
      <c r="G4451" s="102">
        <f t="shared" ca="1" si="73"/>
        <v>7.2057364733023849E-2</v>
      </c>
    </row>
    <row r="4452" spans="6:7" x14ac:dyDescent="0.35">
      <c r="F4452">
        <v>4447</v>
      </c>
      <c r="G4452" s="102">
        <f t="shared" ca="1" si="73"/>
        <v>-5.1214641944798023E-2</v>
      </c>
    </row>
    <row r="4453" spans="6:7" x14ac:dyDescent="0.35">
      <c r="F4453">
        <v>4448</v>
      </c>
      <c r="G4453" s="102">
        <f t="shared" ca="1" si="73"/>
        <v>3.7893607934164603E-2</v>
      </c>
    </row>
    <row r="4454" spans="6:7" x14ac:dyDescent="0.35">
      <c r="F4454">
        <v>4449</v>
      </c>
      <c r="G4454" s="102">
        <f t="shared" ca="1" si="73"/>
        <v>-1.7093110296567287E-3</v>
      </c>
    </row>
    <row r="4455" spans="6:7" x14ac:dyDescent="0.35">
      <c r="F4455">
        <v>4450</v>
      </c>
      <c r="G4455" s="102">
        <f t="shared" ca="1" si="73"/>
        <v>6.4294708473034826E-2</v>
      </c>
    </row>
    <row r="4456" spans="6:7" x14ac:dyDescent="0.35">
      <c r="F4456">
        <v>4451</v>
      </c>
      <c r="G4456" s="102">
        <f t="shared" ca="1" si="73"/>
        <v>-6.0889783029975802E-2</v>
      </c>
    </row>
    <row r="4457" spans="6:7" x14ac:dyDescent="0.35">
      <c r="F4457">
        <v>4452</v>
      </c>
      <c r="G4457" s="102">
        <f t="shared" ca="1" si="73"/>
        <v>-3.0041979403579711E-2</v>
      </c>
    </row>
    <row r="4458" spans="6:7" x14ac:dyDescent="0.35">
      <c r="F4458">
        <v>4453</v>
      </c>
      <c r="G4458" s="102">
        <f t="shared" ca="1" si="73"/>
        <v>-0.13708834094866654</v>
      </c>
    </row>
    <row r="4459" spans="6:7" x14ac:dyDescent="0.35">
      <c r="F4459">
        <v>4454</v>
      </c>
      <c r="G4459" s="102">
        <f t="shared" ca="1" si="73"/>
        <v>-5.4572716268721067E-2</v>
      </c>
    </row>
    <row r="4460" spans="6:7" x14ac:dyDescent="0.35">
      <c r="F4460">
        <v>4455</v>
      </c>
      <c r="G4460" s="102">
        <f t="shared" ca="1" si="73"/>
        <v>3.7429306630098164E-2</v>
      </c>
    </row>
    <row r="4461" spans="6:7" x14ac:dyDescent="0.35">
      <c r="F4461">
        <v>4456</v>
      </c>
      <c r="G4461" s="102">
        <f t="shared" ca="1" si="73"/>
        <v>-2.3949011593409186E-2</v>
      </c>
    </row>
    <row r="4462" spans="6:7" x14ac:dyDescent="0.35">
      <c r="F4462">
        <v>4457</v>
      </c>
      <c r="G4462" s="102">
        <f t="shared" ca="1" si="73"/>
        <v>-3.0697367773924983E-2</v>
      </c>
    </row>
    <row r="4463" spans="6:7" x14ac:dyDescent="0.35">
      <c r="F4463">
        <v>4458</v>
      </c>
      <c r="G4463" s="102">
        <f t="shared" ca="1" si="73"/>
        <v>1.319469193317608E-2</v>
      </c>
    </row>
    <row r="4464" spans="6:7" x14ac:dyDescent="0.35">
      <c r="F4464">
        <v>4459</v>
      </c>
      <c r="G4464" s="102">
        <f t="shared" ca="1" si="73"/>
        <v>-1.2265168233352892E-2</v>
      </c>
    </row>
    <row r="4465" spans="6:7" x14ac:dyDescent="0.35">
      <c r="F4465">
        <v>4460</v>
      </c>
      <c r="G4465" s="102">
        <f t="shared" ca="1" si="73"/>
        <v>6.3657338639765956E-2</v>
      </c>
    </row>
    <row r="4466" spans="6:7" x14ac:dyDescent="0.35">
      <c r="F4466">
        <v>4461</v>
      </c>
      <c r="G4466" s="102">
        <f t="shared" ca="1" si="73"/>
        <v>2.5294305121490428E-2</v>
      </c>
    </row>
    <row r="4467" spans="6:7" x14ac:dyDescent="0.35">
      <c r="F4467">
        <v>4462</v>
      </c>
      <c r="G4467" s="102">
        <f t="shared" ca="1" si="73"/>
        <v>-5.7906471363455767E-2</v>
      </c>
    </row>
    <row r="4468" spans="6:7" x14ac:dyDescent="0.35">
      <c r="F4468">
        <v>4463</v>
      </c>
      <c r="G4468" s="102">
        <f t="shared" ca="1" si="73"/>
        <v>-7.1445406928325239E-2</v>
      </c>
    </row>
    <row r="4469" spans="6:7" x14ac:dyDescent="0.35">
      <c r="F4469">
        <v>4464</v>
      </c>
      <c r="G4469" s="102">
        <f t="shared" ca="1" si="73"/>
        <v>-0.11013812829202942</v>
      </c>
    </row>
    <row r="4470" spans="6:7" x14ac:dyDescent="0.35">
      <c r="F4470">
        <v>4465</v>
      </c>
      <c r="G4470" s="102">
        <f t="shared" ca="1" si="73"/>
        <v>1.299378924350566E-3</v>
      </c>
    </row>
    <row r="4471" spans="6:7" x14ac:dyDescent="0.35">
      <c r="F4471">
        <v>4466</v>
      </c>
      <c r="G4471" s="102">
        <f t="shared" ca="1" si="73"/>
        <v>-7.0971153989481655E-3</v>
      </c>
    </row>
    <row r="4472" spans="6:7" x14ac:dyDescent="0.35">
      <c r="F4472">
        <v>4467</v>
      </c>
      <c r="G4472" s="102">
        <f t="shared" ca="1" si="73"/>
        <v>3.4333558327702979E-3</v>
      </c>
    </row>
    <row r="4473" spans="6:7" x14ac:dyDescent="0.35">
      <c r="F4473">
        <v>4468</v>
      </c>
      <c r="G4473" s="102">
        <f t="shared" ca="1" si="73"/>
        <v>-5.6200791663320954E-2</v>
      </c>
    </row>
    <row r="4474" spans="6:7" x14ac:dyDescent="0.35">
      <c r="F4474">
        <v>4469</v>
      </c>
      <c r="G4474" s="102">
        <f t="shared" ca="1" si="73"/>
        <v>-5.9250857901370149E-2</v>
      </c>
    </row>
    <row r="4475" spans="6:7" x14ac:dyDescent="0.35">
      <c r="F4475">
        <v>4470</v>
      </c>
      <c r="G4475" s="102">
        <f t="shared" ca="1" si="73"/>
        <v>-0.16921467615483543</v>
      </c>
    </row>
    <row r="4476" spans="6:7" x14ac:dyDescent="0.35">
      <c r="F4476">
        <v>4471</v>
      </c>
      <c r="G4476" s="102">
        <f t="shared" ca="1" si="73"/>
        <v>6.3723215013830728E-2</v>
      </c>
    </row>
    <row r="4477" spans="6:7" x14ac:dyDescent="0.35">
      <c r="F4477">
        <v>4472</v>
      </c>
      <c r="G4477" s="102">
        <f t="shared" ca="1" si="73"/>
        <v>-5.7680828539492787E-2</v>
      </c>
    </row>
    <row r="4478" spans="6:7" x14ac:dyDescent="0.35">
      <c r="F4478">
        <v>4473</v>
      </c>
      <c r="G4478" s="102">
        <f t="shared" ca="1" si="73"/>
        <v>-0.10756857273842323</v>
      </c>
    </row>
    <row r="4479" spans="6:7" x14ac:dyDescent="0.35">
      <c r="F4479">
        <v>4474</v>
      </c>
      <c r="G4479" s="102">
        <f t="shared" ca="1" si="73"/>
        <v>-6.1639475910514191E-2</v>
      </c>
    </row>
    <row r="4480" spans="6:7" x14ac:dyDescent="0.35">
      <c r="F4480">
        <v>4475</v>
      </c>
      <c r="G4480" s="102">
        <f t="shared" ca="1" si="73"/>
        <v>1.3234502094236312E-2</v>
      </c>
    </row>
    <row r="4481" spans="6:7" x14ac:dyDescent="0.35">
      <c r="F4481">
        <v>4476</v>
      </c>
      <c r="G4481" s="102">
        <f t="shared" ca="1" si="73"/>
        <v>-2.6839226534158774E-2</v>
      </c>
    </row>
    <row r="4482" spans="6:7" x14ac:dyDescent="0.35">
      <c r="F4482">
        <v>4477</v>
      </c>
      <c r="G4482" s="102">
        <f t="shared" ca="1" si="73"/>
        <v>-2.4035783469121743E-3</v>
      </c>
    </row>
    <row r="4483" spans="6:7" x14ac:dyDescent="0.35">
      <c r="F4483">
        <v>4478</v>
      </c>
      <c r="G4483" s="102">
        <f t="shared" ca="1" si="73"/>
        <v>6.9964894058735211E-2</v>
      </c>
    </row>
    <row r="4484" spans="6:7" x14ac:dyDescent="0.35">
      <c r="F4484">
        <v>4479</v>
      </c>
      <c r="G4484" s="102">
        <f t="shared" ca="1" si="73"/>
        <v>-7.6024532597167988E-2</v>
      </c>
    </row>
    <row r="4485" spans="6:7" x14ac:dyDescent="0.35">
      <c r="F4485">
        <v>4480</v>
      </c>
      <c r="G4485" s="102">
        <f t="shared" ca="1" si="73"/>
        <v>-9.8611792946048216E-2</v>
      </c>
    </row>
    <row r="4486" spans="6:7" x14ac:dyDescent="0.35">
      <c r="F4486">
        <v>4481</v>
      </c>
      <c r="G4486" s="102">
        <f t="shared" ca="1" si="73"/>
        <v>-7.1960949059251336E-2</v>
      </c>
    </row>
    <row r="4487" spans="6:7" x14ac:dyDescent="0.35">
      <c r="F4487">
        <v>4482</v>
      </c>
      <c r="G4487" s="102">
        <f t="shared" ref="G4487:G4550" ca="1" si="74">_xlfn.NORM.INV(RAND(),M$9,M$10)</f>
        <v>-7.3667594061681149E-2</v>
      </c>
    </row>
    <row r="4488" spans="6:7" x14ac:dyDescent="0.35">
      <c r="F4488">
        <v>4483</v>
      </c>
      <c r="G4488" s="102">
        <f t="shared" ca="1" si="74"/>
        <v>-6.5148234506947317E-2</v>
      </c>
    </row>
    <row r="4489" spans="6:7" x14ac:dyDescent="0.35">
      <c r="F4489">
        <v>4484</v>
      </c>
      <c r="G4489" s="102">
        <f t="shared" ca="1" si="74"/>
        <v>-4.4153495829552011E-2</v>
      </c>
    </row>
    <row r="4490" spans="6:7" x14ac:dyDescent="0.35">
      <c r="F4490">
        <v>4485</v>
      </c>
      <c r="G4490" s="102">
        <f t="shared" ca="1" si="74"/>
        <v>-3.794883444760519E-2</v>
      </c>
    </row>
    <row r="4491" spans="6:7" x14ac:dyDescent="0.35">
      <c r="F4491">
        <v>4486</v>
      </c>
      <c r="G4491" s="102">
        <f t="shared" ca="1" si="74"/>
        <v>-1.8307045083407639E-2</v>
      </c>
    </row>
    <row r="4492" spans="6:7" x14ac:dyDescent="0.35">
      <c r="F4492">
        <v>4487</v>
      </c>
      <c r="G4492" s="102">
        <f t="shared" ca="1" si="74"/>
        <v>-6.2994047702102401E-2</v>
      </c>
    </row>
    <row r="4493" spans="6:7" x14ac:dyDescent="0.35">
      <c r="F4493">
        <v>4488</v>
      </c>
      <c r="G4493" s="102">
        <f t="shared" ca="1" si="74"/>
        <v>-8.3728425656608901E-2</v>
      </c>
    </row>
    <row r="4494" spans="6:7" x14ac:dyDescent="0.35">
      <c r="F4494">
        <v>4489</v>
      </c>
      <c r="G4494" s="102">
        <f t="shared" ca="1" si="74"/>
        <v>0.10755742731513913</v>
      </c>
    </row>
    <row r="4495" spans="6:7" x14ac:dyDescent="0.35">
      <c r="F4495">
        <v>4490</v>
      </c>
      <c r="G4495" s="102">
        <f t="shared" ca="1" si="74"/>
        <v>-2.8968986983810265E-2</v>
      </c>
    </row>
    <row r="4496" spans="6:7" x14ac:dyDescent="0.35">
      <c r="F4496">
        <v>4491</v>
      </c>
      <c r="G4496" s="102">
        <f t="shared" ca="1" si="74"/>
        <v>-1.8764391256902935E-2</v>
      </c>
    </row>
    <row r="4497" spans="6:7" x14ac:dyDescent="0.35">
      <c r="F4497">
        <v>4492</v>
      </c>
      <c r="G4497" s="102">
        <f t="shared" ca="1" si="74"/>
        <v>9.2998073189546143E-2</v>
      </c>
    </row>
    <row r="4498" spans="6:7" x14ac:dyDescent="0.35">
      <c r="F4498">
        <v>4493</v>
      </c>
      <c r="G4498" s="102">
        <f t="shared" ca="1" si="74"/>
        <v>2.8141257188838652E-2</v>
      </c>
    </row>
    <row r="4499" spans="6:7" x14ac:dyDescent="0.35">
      <c r="F4499">
        <v>4494</v>
      </c>
      <c r="G4499" s="102">
        <f t="shared" ca="1" si="74"/>
        <v>9.0181643476920682E-3</v>
      </c>
    </row>
    <row r="4500" spans="6:7" x14ac:dyDescent="0.35">
      <c r="F4500">
        <v>4495</v>
      </c>
      <c r="G4500" s="102">
        <f t="shared" ca="1" si="74"/>
        <v>7.6811482664563557E-3</v>
      </c>
    </row>
    <row r="4501" spans="6:7" x14ac:dyDescent="0.35">
      <c r="F4501">
        <v>4496</v>
      </c>
      <c r="G4501" s="102">
        <f t="shared" ca="1" si="74"/>
        <v>3.4622517694362323E-2</v>
      </c>
    </row>
    <row r="4502" spans="6:7" x14ac:dyDescent="0.35">
      <c r="F4502">
        <v>4497</v>
      </c>
      <c r="G4502" s="102">
        <f t="shared" ca="1" si="74"/>
        <v>-9.17295604361512E-2</v>
      </c>
    </row>
    <row r="4503" spans="6:7" x14ac:dyDescent="0.35">
      <c r="F4503">
        <v>4498</v>
      </c>
      <c r="G4503" s="102">
        <f t="shared" ca="1" si="74"/>
        <v>1.7976896956478344E-3</v>
      </c>
    </row>
    <row r="4504" spans="6:7" x14ac:dyDescent="0.35">
      <c r="F4504">
        <v>4499</v>
      </c>
      <c r="G4504" s="102">
        <f t="shared" ca="1" si="74"/>
        <v>4.9119448414341557E-2</v>
      </c>
    </row>
    <row r="4505" spans="6:7" x14ac:dyDescent="0.35">
      <c r="F4505">
        <v>4500</v>
      </c>
      <c r="G4505" s="102">
        <f t="shared" ca="1" si="74"/>
        <v>-3.493500285950106E-2</v>
      </c>
    </row>
    <row r="4506" spans="6:7" x14ac:dyDescent="0.35">
      <c r="F4506">
        <v>4501</v>
      </c>
      <c r="G4506" s="102">
        <f t="shared" ca="1" si="74"/>
        <v>5.0706585617169259E-2</v>
      </c>
    </row>
    <row r="4507" spans="6:7" x14ac:dyDescent="0.35">
      <c r="F4507">
        <v>4502</v>
      </c>
      <c r="G4507" s="102">
        <f t="shared" ca="1" si="74"/>
        <v>4.1719080737762815E-2</v>
      </c>
    </row>
    <row r="4508" spans="6:7" x14ac:dyDescent="0.35">
      <c r="F4508">
        <v>4503</v>
      </c>
      <c r="G4508" s="102">
        <f t="shared" ca="1" si="74"/>
        <v>-2.6265556189257695E-2</v>
      </c>
    </row>
    <row r="4509" spans="6:7" x14ac:dyDescent="0.35">
      <c r="F4509">
        <v>4504</v>
      </c>
      <c r="G4509" s="102">
        <f t="shared" ca="1" si="74"/>
        <v>8.0418700872602056E-2</v>
      </c>
    </row>
    <row r="4510" spans="6:7" x14ac:dyDescent="0.35">
      <c r="F4510">
        <v>4505</v>
      </c>
      <c r="G4510" s="102">
        <f t="shared" ca="1" si="74"/>
        <v>-2.498974837987954E-2</v>
      </c>
    </row>
    <row r="4511" spans="6:7" x14ac:dyDescent="0.35">
      <c r="F4511">
        <v>4506</v>
      </c>
      <c r="G4511" s="102">
        <f t="shared" ca="1" si="74"/>
        <v>-6.3962585994505092E-2</v>
      </c>
    </row>
    <row r="4512" spans="6:7" x14ac:dyDescent="0.35">
      <c r="F4512">
        <v>4507</v>
      </c>
      <c r="G4512" s="102">
        <f t="shared" ca="1" si="74"/>
        <v>0.12254013214765998</v>
      </c>
    </row>
    <row r="4513" spans="6:7" x14ac:dyDescent="0.35">
      <c r="F4513">
        <v>4508</v>
      </c>
      <c r="G4513" s="102">
        <f t="shared" ca="1" si="74"/>
        <v>-2.9882305174506251E-2</v>
      </c>
    </row>
    <row r="4514" spans="6:7" x14ac:dyDescent="0.35">
      <c r="F4514">
        <v>4509</v>
      </c>
      <c r="G4514" s="102">
        <f t="shared" ca="1" si="74"/>
        <v>-4.2174749405488141E-2</v>
      </c>
    </row>
    <row r="4515" spans="6:7" x14ac:dyDescent="0.35">
      <c r="F4515">
        <v>4510</v>
      </c>
      <c r="G4515" s="102">
        <f t="shared" ca="1" si="74"/>
        <v>3.5457414358439854E-2</v>
      </c>
    </row>
    <row r="4516" spans="6:7" x14ac:dyDescent="0.35">
      <c r="F4516">
        <v>4511</v>
      </c>
      <c r="G4516" s="102">
        <f t="shared" ca="1" si="74"/>
        <v>-0.11011804804254156</v>
      </c>
    </row>
    <row r="4517" spans="6:7" x14ac:dyDescent="0.35">
      <c r="F4517">
        <v>4512</v>
      </c>
      <c r="G4517" s="102">
        <f t="shared" ca="1" si="74"/>
        <v>-1.0536300444532637E-2</v>
      </c>
    </row>
    <row r="4518" spans="6:7" x14ac:dyDescent="0.35">
      <c r="F4518">
        <v>4513</v>
      </c>
      <c r="G4518" s="102">
        <f t="shared" ca="1" si="74"/>
        <v>-7.0802401869234314E-3</v>
      </c>
    </row>
    <row r="4519" spans="6:7" x14ac:dyDescent="0.35">
      <c r="F4519">
        <v>4514</v>
      </c>
      <c r="G4519" s="102">
        <f t="shared" ca="1" si="74"/>
        <v>6.9908743082836525E-2</v>
      </c>
    </row>
    <row r="4520" spans="6:7" x14ac:dyDescent="0.35">
      <c r="F4520">
        <v>4515</v>
      </c>
      <c r="G4520" s="102">
        <f t="shared" ca="1" si="74"/>
        <v>-9.0604202458858224E-2</v>
      </c>
    </row>
    <row r="4521" spans="6:7" x14ac:dyDescent="0.35">
      <c r="F4521">
        <v>4516</v>
      </c>
      <c r="G4521" s="102">
        <f t="shared" ca="1" si="74"/>
        <v>2.7440173195762047E-2</v>
      </c>
    </row>
    <row r="4522" spans="6:7" x14ac:dyDescent="0.35">
      <c r="F4522">
        <v>4517</v>
      </c>
      <c r="G4522" s="102">
        <f t="shared" ca="1" si="74"/>
        <v>-5.3120752480514941E-2</v>
      </c>
    </row>
    <row r="4523" spans="6:7" x14ac:dyDescent="0.35">
      <c r="F4523">
        <v>4518</v>
      </c>
      <c r="G4523" s="102">
        <f t="shared" ca="1" si="74"/>
        <v>9.4564096920789157E-3</v>
      </c>
    </row>
    <row r="4524" spans="6:7" x14ac:dyDescent="0.35">
      <c r="F4524">
        <v>4519</v>
      </c>
      <c r="G4524" s="102">
        <f t="shared" ca="1" si="74"/>
        <v>-6.4935400697120019E-2</v>
      </c>
    </row>
    <row r="4525" spans="6:7" x14ac:dyDescent="0.35">
      <c r="F4525">
        <v>4520</v>
      </c>
      <c r="G4525" s="102">
        <f t="shared" ca="1" si="74"/>
        <v>-0.12807604611671258</v>
      </c>
    </row>
    <row r="4526" spans="6:7" x14ac:dyDescent="0.35">
      <c r="F4526">
        <v>4521</v>
      </c>
      <c r="G4526" s="102">
        <f t="shared" ca="1" si="74"/>
        <v>4.4564304606037122E-2</v>
      </c>
    </row>
    <row r="4527" spans="6:7" x14ac:dyDescent="0.35">
      <c r="F4527">
        <v>4522</v>
      </c>
      <c r="G4527" s="102">
        <f t="shared" ca="1" si="74"/>
        <v>7.0955919086309119E-3</v>
      </c>
    </row>
    <row r="4528" spans="6:7" x14ac:dyDescent="0.35">
      <c r="F4528">
        <v>4523</v>
      </c>
      <c r="G4528" s="102">
        <f t="shared" ca="1" si="74"/>
        <v>6.2776731846539202E-2</v>
      </c>
    </row>
    <row r="4529" spans="6:7" x14ac:dyDescent="0.35">
      <c r="F4529">
        <v>4524</v>
      </c>
      <c r="G4529" s="102">
        <f t="shared" ca="1" si="74"/>
        <v>-2.0065375379127652E-3</v>
      </c>
    </row>
    <row r="4530" spans="6:7" x14ac:dyDescent="0.35">
      <c r="F4530">
        <v>4525</v>
      </c>
      <c r="G4530" s="102">
        <f t="shared" ca="1" si="74"/>
        <v>-4.0562155450707849E-2</v>
      </c>
    </row>
    <row r="4531" spans="6:7" x14ac:dyDescent="0.35">
      <c r="F4531">
        <v>4526</v>
      </c>
      <c r="G4531" s="102">
        <f t="shared" ca="1" si="74"/>
        <v>7.1395787687019457E-2</v>
      </c>
    </row>
    <row r="4532" spans="6:7" x14ac:dyDescent="0.35">
      <c r="F4532">
        <v>4527</v>
      </c>
      <c r="G4532" s="102">
        <f t="shared" ca="1" si="74"/>
        <v>4.4022053454106563E-2</v>
      </c>
    </row>
    <row r="4533" spans="6:7" x14ac:dyDescent="0.35">
      <c r="F4533">
        <v>4528</v>
      </c>
      <c r="G4533" s="102">
        <f t="shared" ca="1" si="74"/>
        <v>-5.0701645942934845E-2</v>
      </c>
    </row>
    <row r="4534" spans="6:7" x14ac:dyDescent="0.35">
      <c r="F4534">
        <v>4529</v>
      </c>
      <c r="G4534" s="102">
        <f t="shared" ca="1" si="74"/>
        <v>-7.6095409466582975E-3</v>
      </c>
    </row>
    <row r="4535" spans="6:7" x14ac:dyDescent="0.35">
      <c r="F4535">
        <v>4530</v>
      </c>
      <c r="G4535" s="102">
        <f t="shared" ca="1" si="74"/>
        <v>-0.11877796468016998</v>
      </c>
    </row>
    <row r="4536" spans="6:7" x14ac:dyDescent="0.35">
      <c r="F4536">
        <v>4531</v>
      </c>
      <c r="G4536" s="102">
        <f t="shared" ca="1" si="74"/>
        <v>-9.0892636247875812E-3</v>
      </c>
    </row>
    <row r="4537" spans="6:7" x14ac:dyDescent="0.35">
      <c r="F4537">
        <v>4532</v>
      </c>
      <c r="G4537" s="102">
        <f t="shared" ca="1" si="74"/>
        <v>-6.8466670190604775E-2</v>
      </c>
    </row>
    <row r="4538" spans="6:7" x14ac:dyDescent="0.35">
      <c r="F4538">
        <v>4533</v>
      </c>
      <c r="G4538" s="102">
        <f t="shared" ca="1" si="74"/>
        <v>3.5175516675869906E-2</v>
      </c>
    </row>
    <row r="4539" spans="6:7" x14ac:dyDescent="0.35">
      <c r="F4539">
        <v>4534</v>
      </c>
      <c r="G4539" s="102">
        <f t="shared" ca="1" si="74"/>
        <v>3.9497460499466411E-2</v>
      </c>
    </row>
    <row r="4540" spans="6:7" x14ac:dyDescent="0.35">
      <c r="F4540">
        <v>4535</v>
      </c>
      <c r="G4540" s="102">
        <f t="shared" ca="1" si="74"/>
        <v>-7.4412575585286828E-2</v>
      </c>
    </row>
    <row r="4541" spans="6:7" x14ac:dyDescent="0.35">
      <c r="F4541">
        <v>4536</v>
      </c>
      <c r="G4541" s="102">
        <f t="shared" ca="1" si="74"/>
        <v>7.0340148288937331E-3</v>
      </c>
    </row>
    <row r="4542" spans="6:7" x14ac:dyDescent="0.35">
      <c r="F4542">
        <v>4537</v>
      </c>
      <c r="G4542" s="102">
        <f t="shared" ca="1" si="74"/>
        <v>-4.9441811626873167E-2</v>
      </c>
    </row>
    <row r="4543" spans="6:7" x14ac:dyDescent="0.35">
      <c r="F4543">
        <v>4538</v>
      </c>
      <c r="G4543" s="102">
        <f t="shared" ca="1" si="74"/>
        <v>-3.2410472755926178E-2</v>
      </c>
    </row>
    <row r="4544" spans="6:7" x14ac:dyDescent="0.35">
      <c r="F4544">
        <v>4539</v>
      </c>
      <c r="G4544" s="102">
        <f t="shared" ca="1" si="74"/>
        <v>-2.2675354162056668E-2</v>
      </c>
    </row>
    <row r="4545" spans="6:7" x14ac:dyDescent="0.35">
      <c r="F4545">
        <v>4540</v>
      </c>
      <c r="G4545" s="102">
        <f t="shared" ca="1" si="74"/>
        <v>3.8245794497670696E-2</v>
      </c>
    </row>
    <row r="4546" spans="6:7" x14ac:dyDescent="0.35">
      <c r="F4546">
        <v>4541</v>
      </c>
      <c r="G4546" s="102">
        <f t="shared" ca="1" si="74"/>
        <v>3.6077679851442848E-2</v>
      </c>
    </row>
    <row r="4547" spans="6:7" x14ac:dyDescent="0.35">
      <c r="F4547">
        <v>4542</v>
      </c>
      <c r="G4547" s="102">
        <f t="shared" ca="1" si="74"/>
        <v>7.0751916083760538E-2</v>
      </c>
    </row>
    <row r="4548" spans="6:7" x14ac:dyDescent="0.35">
      <c r="F4548">
        <v>4543</v>
      </c>
      <c r="G4548" s="102">
        <f t="shared" ca="1" si="74"/>
        <v>-5.1238634492228657E-3</v>
      </c>
    </row>
    <row r="4549" spans="6:7" x14ac:dyDescent="0.35">
      <c r="F4549">
        <v>4544</v>
      </c>
      <c r="G4549" s="102">
        <f t="shared" ca="1" si="74"/>
        <v>-9.3421109332543426E-2</v>
      </c>
    </row>
    <row r="4550" spans="6:7" x14ac:dyDescent="0.35">
      <c r="F4550">
        <v>4545</v>
      </c>
      <c r="G4550" s="102">
        <f t="shared" ca="1" si="74"/>
        <v>4.8074328080597972E-2</v>
      </c>
    </row>
    <row r="4551" spans="6:7" x14ac:dyDescent="0.35">
      <c r="F4551">
        <v>4546</v>
      </c>
      <c r="G4551" s="102">
        <f t="shared" ref="G4551:G4614" ca="1" si="75">_xlfn.NORM.INV(RAND(),M$9,M$10)</f>
        <v>-4.8624202218746108E-3</v>
      </c>
    </row>
    <row r="4552" spans="6:7" x14ac:dyDescent="0.35">
      <c r="F4552">
        <v>4547</v>
      </c>
      <c r="G4552" s="102">
        <f t="shared" ca="1" si="75"/>
        <v>7.4785845208522828E-2</v>
      </c>
    </row>
    <row r="4553" spans="6:7" x14ac:dyDescent="0.35">
      <c r="F4553">
        <v>4548</v>
      </c>
      <c r="G4553" s="102">
        <f t="shared" ca="1" si="75"/>
        <v>2.9507497493587918E-2</v>
      </c>
    </row>
    <row r="4554" spans="6:7" x14ac:dyDescent="0.35">
      <c r="F4554">
        <v>4549</v>
      </c>
      <c r="G4554" s="102">
        <f t="shared" ca="1" si="75"/>
        <v>-0.17605412661373981</v>
      </c>
    </row>
    <row r="4555" spans="6:7" x14ac:dyDescent="0.35">
      <c r="F4555">
        <v>4550</v>
      </c>
      <c r="G4555" s="102">
        <f t="shared" ca="1" si="75"/>
        <v>-0.18110587509186518</v>
      </c>
    </row>
    <row r="4556" spans="6:7" x14ac:dyDescent="0.35">
      <c r="F4556">
        <v>4551</v>
      </c>
      <c r="G4556" s="102">
        <f t="shared" ca="1" si="75"/>
        <v>6.0185203363114462E-2</v>
      </c>
    </row>
    <row r="4557" spans="6:7" x14ac:dyDescent="0.35">
      <c r="F4557">
        <v>4552</v>
      </c>
      <c r="G4557" s="102">
        <f t="shared" ca="1" si="75"/>
        <v>-3.0940187179567067E-2</v>
      </c>
    </row>
    <row r="4558" spans="6:7" x14ac:dyDescent="0.35">
      <c r="F4558">
        <v>4553</v>
      </c>
      <c r="G4558" s="102">
        <f t="shared" ca="1" si="75"/>
        <v>-3.788928397047274E-2</v>
      </c>
    </row>
    <row r="4559" spans="6:7" x14ac:dyDescent="0.35">
      <c r="F4559">
        <v>4554</v>
      </c>
      <c r="G4559" s="102">
        <f t="shared" ca="1" si="75"/>
        <v>-1.0828588716079158E-2</v>
      </c>
    </row>
    <row r="4560" spans="6:7" x14ac:dyDescent="0.35">
      <c r="F4560">
        <v>4555</v>
      </c>
      <c r="G4560" s="102">
        <f t="shared" ca="1" si="75"/>
        <v>6.7711911912223199E-2</v>
      </c>
    </row>
    <row r="4561" spans="6:7" x14ac:dyDescent="0.35">
      <c r="F4561">
        <v>4556</v>
      </c>
      <c r="G4561" s="102">
        <f t="shared" ca="1" si="75"/>
        <v>-9.9602181730137004E-3</v>
      </c>
    </row>
    <row r="4562" spans="6:7" x14ac:dyDescent="0.35">
      <c r="F4562">
        <v>4557</v>
      </c>
      <c r="G4562" s="102">
        <f t="shared" ca="1" si="75"/>
        <v>1.126443933657692E-2</v>
      </c>
    </row>
    <row r="4563" spans="6:7" x14ac:dyDescent="0.35">
      <c r="F4563">
        <v>4558</v>
      </c>
      <c r="G4563" s="102">
        <f t="shared" ca="1" si="75"/>
        <v>-2.6256798086945699E-2</v>
      </c>
    </row>
    <row r="4564" spans="6:7" x14ac:dyDescent="0.35">
      <c r="F4564">
        <v>4559</v>
      </c>
      <c r="G4564" s="102">
        <f t="shared" ca="1" si="75"/>
        <v>-3.9231118575660015E-2</v>
      </c>
    </row>
    <row r="4565" spans="6:7" x14ac:dyDescent="0.35">
      <c r="F4565">
        <v>4560</v>
      </c>
      <c r="G4565" s="102">
        <f t="shared" ca="1" si="75"/>
        <v>6.8638770341365882E-2</v>
      </c>
    </row>
    <row r="4566" spans="6:7" x14ac:dyDescent="0.35">
      <c r="F4566">
        <v>4561</v>
      </c>
      <c r="G4566" s="102">
        <f t="shared" ca="1" si="75"/>
        <v>-1.3660316494974831E-2</v>
      </c>
    </row>
    <row r="4567" spans="6:7" x14ac:dyDescent="0.35">
      <c r="F4567">
        <v>4562</v>
      </c>
      <c r="G4567" s="102">
        <f t="shared" ca="1" si="75"/>
        <v>3.8768394681567328E-2</v>
      </c>
    </row>
    <row r="4568" spans="6:7" x14ac:dyDescent="0.35">
      <c r="F4568">
        <v>4563</v>
      </c>
      <c r="G4568" s="102">
        <f t="shared" ca="1" si="75"/>
        <v>9.4837307883374092E-2</v>
      </c>
    </row>
    <row r="4569" spans="6:7" x14ac:dyDescent="0.35">
      <c r="F4569">
        <v>4564</v>
      </c>
      <c r="G4569" s="102">
        <f t="shared" ca="1" si="75"/>
        <v>-4.6276721163176771E-2</v>
      </c>
    </row>
    <row r="4570" spans="6:7" x14ac:dyDescent="0.35">
      <c r="F4570">
        <v>4565</v>
      </c>
      <c r="G4570" s="102">
        <f t="shared" ca="1" si="75"/>
        <v>-6.1073725097462186E-2</v>
      </c>
    </row>
    <row r="4571" spans="6:7" x14ac:dyDescent="0.35">
      <c r="F4571">
        <v>4566</v>
      </c>
      <c r="G4571" s="102">
        <f t="shared" ca="1" si="75"/>
        <v>8.4219822423910157E-2</v>
      </c>
    </row>
    <row r="4572" spans="6:7" x14ac:dyDescent="0.35">
      <c r="F4572">
        <v>4567</v>
      </c>
      <c r="G4572" s="102">
        <f t="shared" ca="1" si="75"/>
        <v>-4.4672091896622839E-3</v>
      </c>
    </row>
    <row r="4573" spans="6:7" x14ac:dyDescent="0.35">
      <c r="F4573">
        <v>4568</v>
      </c>
      <c r="G4573" s="102">
        <f t="shared" ca="1" si="75"/>
        <v>-0.13637333721286521</v>
      </c>
    </row>
    <row r="4574" spans="6:7" x14ac:dyDescent="0.35">
      <c r="F4574">
        <v>4569</v>
      </c>
      <c r="G4574" s="102">
        <f t="shared" ca="1" si="75"/>
        <v>2.2892051908478726E-2</v>
      </c>
    </row>
    <row r="4575" spans="6:7" x14ac:dyDescent="0.35">
      <c r="F4575">
        <v>4570</v>
      </c>
      <c r="G4575" s="102">
        <f t="shared" ca="1" si="75"/>
        <v>-4.4421134670929008E-2</v>
      </c>
    </row>
    <row r="4576" spans="6:7" x14ac:dyDescent="0.35">
      <c r="F4576">
        <v>4571</v>
      </c>
      <c r="G4576" s="102">
        <f t="shared" ca="1" si="75"/>
        <v>1.5894063573871731E-2</v>
      </c>
    </row>
    <row r="4577" spans="6:7" x14ac:dyDescent="0.35">
      <c r="F4577">
        <v>4572</v>
      </c>
      <c r="G4577" s="102">
        <f t="shared" ca="1" si="75"/>
        <v>-0.10473998691776566</v>
      </c>
    </row>
    <row r="4578" spans="6:7" x14ac:dyDescent="0.35">
      <c r="F4578">
        <v>4573</v>
      </c>
      <c r="G4578" s="102">
        <f t="shared" ca="1" si="75"/>
        <v>-1.0507801266076665E-2</v>
      </c>
    </row>
    <row r="4579" spans="6:7" x14ac:dyDescent="0.35">
      <c r="F4579">
        <v>4574</v>
      </c>
      <c r="G4579" s="102">
        <f t="shared" ca="1" si="75"/>
        <v>-1.661823243355405E-2</v>
      </c>
    </row>
    <row r="4580" spans="6:7" x14ac:dyDescent="0.35">
      <c r="F4580">
        <v>4575</v>
      </c>
      <c r="G4580" s="102">
        <f t="shared" ca="1" si="75"/>
        <v>7.0277000396099035E-2</v>
      </c>
    </row>
    <row r="4581" spans="6:7" x14ac:dyDescent="0.35">
      <c r="F4581">
        <v>4576</v>
      </c>
      <c r="G4581" s="102">
        <f t="shared" ca="1" si="75"/>
        <v>-2.0922557015127057E-2</v>
      </c>
    </row>
    <row r="4582" spans="6:7" x14ac:dyDescent="0.35">
      <c r="F4582">
        <v>4577</v>
      </c>
      <c r="G4582" s="102">
        <f t="shared" ca="1" si="75"/>
        <v>-8.2549770402641942E-2</v>
      </c>
    </row>
    <row r="4583" spans="6:7" x14ac:dyDescent="0.35">
      <c r="F4583">
        <v>4578</v>
      </c>
      <c r="G4583" s="102">
        <f t="shared" ca="1" si="75"/>
        <v>-0.1023318363361094</v>
      </c>
    </row>
    <row r="4584" spans="6:7" x14ac:dyDescent="0.35">
      <c r="F4584">
        <v>4579</v>
      </c>
      <c r="G4584" s="102">
        <f t="shared" ca="1" si="75"/>
        <v>-5.5186812408972635E-2</v>
      </c>
    </row>
    <row r="4585" spans="6:7" x14ac:dyDescent="0.35">
      <c r="F4585">
        <v>4580</v>
      </c>
      <c r="G4585" s="102">
        <f t="shared" ca="1" si="75"/>
        <v>2.9348563992687735E-2</v>
      </c>
    </row>
    <row r="4586" spans="6:7" x14ac:dyDescent="0.35">
      <c r="F4586">
        <v>4581</v>
      </c>
      <c r="G4586" s="102">
        <f t="shared" ca="1" si="75"/>
        <v>-2.0297834113447856E-2</v>
      </c>
    </row>
    <row r="4587" spans="6:7" x14ac:dyDescent="0.35">
      <c r="F4587">
        <v>4582</v>
      </c>
      <c r="G4587" s="102">
        <f t="shared" ca="1" si="75"/>
        <v>7.7372982039772928E-2</v>
      </c>
    </row>
    <row r="4588" spans="6:7" x14ac:dyDescent="0.35">
      <c r="F4588">
        <v>4583</v>
      </c>
      <c r="G4588" s="102">
        <f t="shared" ca="1" si="75"/>
        <v>5.0975209621933623E-2</v>
      </c>
    </row>
    <row r="4589" spans="6:7" x14ac:dyDescent="0.35">
      <c r="F4589">
        <v>4584</v>
      </c>
      <c r="G4589" s="102">
        <f t="shared" ca="1" si="75"/>
        <v>-8.5118470217629749E-2</v>
      </c>
    </row>
    <row r="4590" spans="6:7" x14ac:dyDescent="0.35">
      <c r="F4590">
        <v>4585</v>
      </c>
      <c r="G4590" s="102">
        <f t="shared" ca="1" si="75"/>
        <v>4.5848582281850757E-3</v>
      </c>
    </row>
    <row r="4591" spans="6:7" x14ac:dyDescent="0.35">
      <c r="F4591">
        <v>4586</v>
      </c>
      <c r="G4591" s="102">
        <f t="shared" ca="1" si="75"/>
        <v>-9.0058268186795978E-3</v>
      </c>
    </row>
    <row r="4592" spans="6:7" x14ac:dyDescent="0.35">
      <c r="F4592">
        <v>4587</v>
      </c>
      <c r="G4592" s="102">
        <f t="shared" ca="1" si="75"/>
        <v>-3.5976885309398715E-2</v>
      </c>
    </row>
    <row r="4593" spans="6:7" x14ac:dyDescent="0.35">
      <c r="F4593">
        <v>4588</v>
      </c>
      <c r="G4593" s="102">
        <f t="shared" ca="1" si="75"/>
        <v>2.6115862246293819E-2</v>
      </c>
    </row>
    <row r="4594" spans="6:7" x14ac:dyDescent="0.35">
      <c r="F4594">
        <v>4589</v>
      </c>
      <c r="G4594" s="102">
        <f t="shared" ca="1" si="75"/>
        <v>-6.3761716721779556E-3</v>
      </c>
    </row>
    <row r="4595" spans="6:7" x14ac:dyDescent="0.35">
      <c r="F4595">
        <v>4590</v>
      </c>
      <c r="G4595" s="102">
        <f t="shared" ca="1" si="75"/>
        <v>2.3956608765237468E-2</v>
      </c>
    </row>
    <row r="4596" spans="6:7" x14ac:dyDescent="0.35">
      <c r="F4596">
        <v>4591</v>
      </c>
      <c r="G4596" s="102">
        <f t="shared" ca="1" si="75"/>
        <v>-3.3964848534486156E-2</v>
      </c>
    </row>
    <row r="4597" spans="6:7" x14ac:dyDescent="0.35">
      <c r="F4597">
        <v>4592</v>
      </c>
      <c r="G4597" s="102">
        <f t="shared" ca="1" si="75"/>
        <v>-6.459204656480709E-2</v>
      </c>
    </row>
    <row r="4598" spans="6:7" x14ac:dyDescent="0.35">
      <c r="F4598">
        <v>4593</v>
      </c>
      <c r="G4598" s="102">
        <f t="shared" ca="1" si="75"/>
        <v>6.8637721202810087E-2</v>
      </c>
    </row>
    <row r="4599" spans="6:7" x14ac:dyDescent="0.35">
      <c r="F4599">
        <v>4594</v>
      </c>
      <c r="G4599" s="102">
        <f t="shared" ca="1" si="75"/>
        <v>-8.7804997361443527E-3</v>
      </c>
    </row>
    <row r="4600" spans="6:7" x14ac:dyDescent="0.35">
      <c r="F4600">
        <v>4595</v>
      </c>
      <c r="G4600" s="102">
        <f t="shared" ca="1" si="75"/>
        <v>-1.7196395322928531E-2</v>
      </c>
    </row>
    <row r="4601" spans="6:7" x14ac:dyDescent="0.35">
      <c r="F4601">
        <v>4596</v>
      </c>
      <c r="G4601" s="102">
        <f t="shared" ca="1" si="75"/>
        <v>2.8897785796761891E-2</v>
      </c>
    </row>
    <row r="4602" spans="6:7" x14ac:dyDescent="0.35">
      <c r="F4602">
        <v>4597</v>
      </c>
      <c r="G4602" s="102">
        <f t="shared" ca="1" si="75"/>
        <v>9.9028307407549674E-3</v>
      </c>
    </row>
    <row r="4603" spans="6:7" x14ac:dyDescent="0.35">
      <c r="F4603">
        <v>4598</v>
      </c>
      <c r="G4603" s="102">
        <f t="shared" ca="1" si="75"/>
        <v>3.0271816437831205E-2</v>
      </c>
    </row>
    <row r="4604" spans="6:7" x14ac:dyDescent="0.35">
      <c r="F4604">
        <v>4599</v>
      </c>
      <c r="G4604" s="102">
        <f t="shared" ca="1" si="75"/>
        <v>0.10526393468224141</v>
      </c>
    </row>
    <row r="4605" spans="6:7" x14ac:dyDescent="0.35">
      <c r="F4605">
        <v>4600</v>
      </c>
      <c r="G4605" s="102">
        <f t="shared" ca="1" si="75"/>
        <v>-1.6466621762646363E-2</v>
      </c>
    </row>
    <row r="4606" spans="6:7" x14ac:dyDescent="0.35">
      <c r="F4606">
        <v>4601</v>
      </c>
      <c r="G4606" s="102">
        <f t="shared" ca="1" si="75"/>
        <v>3.4084128736531549E-2</v>
      </c>
    </row>
    <row r="4607" spans="6:7" x14ac:dyDescent="0.35">
      <c r="F4607">
        <v>4602</v>
      </c>
      <c r="G4607" s="102">
        <f t="shared" ca="1" si="75"/>
        <v>-6.9423358492858703E-2</v>
      </c>
    </row>
    <row r="4608" spans="6:7" x14ac:dyDescent="0.35">
      <c r="F4608">
        <v>4603</v>
      </c>
      <c r="G4608" s="102">
        <f t="shared" ca="1" si="75"/>
        <v>6.9846366138699476E-2</v>
      </c>
    </row>
    <row r="4609" spans="6:7" x14ac:dyDescent="0.35">
      <c r="F4609">
        <v>4604</v>
      </c>
      <c r="G4609" s="102">
        <f t="shared" ca="1" si="75"/>
        <v>5.4244937211319171E-3</v>
      </c>
    </row>
    <row r="4610" spans="6:7" x14ac:dyDescent="0.35">
      <c r="F4610">
        <v>4605</v>
      </c>
      <c r="G4610" s="102">
        <f t="shared" ca="1" si="75"/>
        <v>-9.7128509123800416E-2</v>
      </c>
    </row>
    <row r="4611" spans="6:7" x14ac:dyDescent="0.35">
      <c r="F4611">
        <v>4606</v>
      </c>
      <c r="G4611" s="102">
        <f t="shared" ca="1" si="75"/>
        <v>3.0018094908535482E-2</v>
      </c>
    </row>
    <row r="4612" spans="6:7" x14ac:dyDescent="0.35">
      <c r="F4612">
        <v>4607</v>
      </c>
      <c r="G4612" s="102">
        <f t="shared" ca="1" si="75"/>
        <v>6.0873870646318634E-2</v>
      </c>
    </row>
    <row r="4613" spans="6:7" x14ac:dyDescent="0.35">
      <c r="F4613">
        <v>4608</v>
      </c>
      <c r="G4613" s="102">
        <f t="shared" ca="1" si="75"/>
        <v>1.9558748521114212E-2</v>
      </c>
    </row>
    <row r="4614" spans="6:7" x14ac:dyDescent="0.35">
      <c r="F4614">
        <v>4609</v>
      </c>
      <c r="G4614" s="102">
        <f t="shared" ca="1" si="75"/>
        <v>-6.7903172384576214E-3</v>
      </c>
    </row>
    <row r="4615" spans="6:7" x14ac:dyDescent="0.35">
      <c r="F4615">
        <v>4610</v>
      </c>
      <c r="G4615" s="102">
        <f t="shared" ref="G4615:G4678" ca="1" si="76">_xlfn.NORM.INV(RAND(),M$9,M$10)</f>
        <v>3.4832843959405571E-2</v>
      </c>
    </row>
    <row r="4616" spans="6:7" x14ac:dyDescent="0.35">
      <c r="F4616">
        <v>4611</v>
      </c>
      <c r="G4616" s="102">
        <f t="shared" ca="1" si="76"/>
        <v>-8.0341110369366604E-3</v>
      </c>
    </row>
    <row r="4617" spans="6:7" x14ac:dyDescent="0.35">
      <c r="F4617">
        <v>4612</v>
      </c>
      <c r="G4617" s="102">
        <f t="shared" ca="1" si="76"/>
        <v>-8.062343778221065E-2</v>
      </c>
    </row>
    <row r="4618" spans="6:7" x14ac:dyDescent="0.35">
      <c r="F4618">
        <v>4613</v>
      </c>
      <c r="G4618" s="102">
        <f t="shared" ca="1" si="76"/>
        <v>-4.4721436602257053E-2</v>
      </c>
    </row>
    <row r="4619" spans="6:7" x14ac:dyDescent="0.35">
      <c r="F4619">
        <v>4614</v>
      </c>
      <c r="G4619" s="102">
        <f t="shared" ca="1" si="76"/>
        <v>6.1726036796883581E-3</v>
      </c>
    </row>
    <row r="4620" spans="6:7" x14ac:dyDescent="0.35">
      <c r="F4620">
        <v>4615</v>
      </c>
      <c r="G4620" s="102">
        <f t="shared" ca="1" si="76"/>
        <v>4.5708501970441212E-2</v>
      </c>
    </row>
    <row r="4621" spans="6:7" x14ac:dyDescent="0.35">
      <c r="F4621">
        <v>4616</v>
      </c>
      <c r="G4621" s="102">
        <f t="shared" ca="1" si="76"/>
        <v>-2.6458238397307821E-3</v>
      </c>
    </row>
    <row r="4622" spans="6:7" x14ac:dyDescent="0.35">
      <c r="F4622">
        <v>4617</v>
      </c>
      <c r="G4622" s="102">
        <f t="shared" ca="1" si="76"/>
        <v>1.9599747950990336E-2</v>
      </c>
    </row>
    <row r="4623" spans="6:7" x14ac:dyDescent="0.35">
      <c r="F4623">
        <v>4618</v>
      </c>
      <c r="G4623" s="102">
        <f t="shared" ca="1" si="76"/>
        <v>-6.1768625827799975E-2</v>
      </c>
    </row>
    <row r="4624" spans="6:7" x14ac:dyDescent="0.35">
      <c r="F4624">
        <v>4619</v>
      </c>
      <c r="G4624" s="102">
        <f t="shared" ca="1" si="76"/>
        <v>6.7338771646831691E-2</v>
      </c>
    </row>
    <row r="4625" spans="6:7" x14ac:dyDescent="0.35">
      <c r="F4625">
        <v>4620</v>
      </c>
      <c r="G4625" s="102">
        <f t="shared" ca="1" si="76"/>
        <v>-4.8756043305447749E-2</v>
      </c>
    </row>
    <row r="4626" spans="6:7" x14ac:dyDescent="0.35">
      <c r="F4626">
        <v>4621</v>
      </c>
      <c r="G4626" s="102">
        <f t="shared" ca="1" si="76"/>
        <v>-6.8526004291797463E-2</v>
      </c>
    </row>
    <row r="4627" spans="6:7" x14ac:dyDescent="0.35">
      <c r="F4627">
        <v>4622</v>
      </c>
      <c r="G4627" s="102">
        <f t="shared" ca="1" si="76"/>
        <v>-5.4092623719194967E-3</v>
      </c>
    </row>
    <row r="4628" spans="6:7" x14ac:dyDescent="0.35">
      <c r="F4628">
        <v>4623</v>
      </c>
      <c r="G4628" s="102">
        <f t="shared" ca="1" si="76"/>
        <v>-0.12201566321696472</v>
      </c>
    </row>
    <row r="4629" spans="6:7" x14ac:dyDescent="0.35">
      <c r="F4629">
        <v>4624</v>
      </c>
      <c r="G4629" s="102">
        <f t="shared" ca="1" si="76"/>
        <v>3.9529791752212273E-2</v>
      </c>
    </row>
    <row r="4630" spans="6:7" x14ac:dyDescent="0.35">
      <c r="F4630">
        <v>4625</v>
      </c>
      <c r="G4630" s="102">
        <f t="shared" ca="1" si="76"/>
        <v>-0.11109866542433944</v>
      </c>
    </row>
    <row r="4631" spans="6:7" x14ac:dyDescent="0.35">
      <c r="F4631">
        <v>4626</v>
      </c>
      <c r="G4631" s="102">
        <f t="shared" ca="1" si="76"/>
        <v>1.2776879036833159E-2</v>
      </c>
    </row>
    <row r="4632" spans="6:7" x14ac:dyDescent="0.35">
      <c r="F4632">
        <v>4627</v>
      </c>
      <c r="G4632" s="102">
        <f t="shared" ca="1" si="76"/>
        <v>-3.4066863529089796E-2</v>
      </c>
    </row>
    <row r="4633" spans="6:7" x14ac:dyDescent="0.35">
      <c r="F4633">
        <v>4628</v>
      </c>
      <c r="G4633" s="102">
        <f t="shared" ca="1" si="76"/>
        <v>4.1938864983221566E-2</v>
      </c>
    </row>
    <row r="4634" spans="6:7" x14ac:dyDescent="0.35">
      <c r="F4634">
        <v>4629</v>
      </c>
      <c r="G4634" s="102">
        <f t="shared" ca="1" si="76"/>
        <v>8.7217937106218724E-2</v>
      </c>
    </row>
    <row r="4635" spans="6:7" x14ac:dyDescent="0.35">
      <c r="F4635">
        <v>4630</v>
      </c>
      <c r="G4635" s="102">
        <f t="shared" ca="1" si="76"/>
        <v>-2.1226251966787586E-2</v>
      </c>
    </row>
    <row r="4636" spans="6:7" x14ac:dyDescent="0.35">
      <c r="F4636">
        <v>4631</v>
      </c>
      <c r="G4636" s="102">
        <f t="shared" ca="1" si="76"/>
        <v>-0.17118772817506786</v>
      </c>
    </row>
    <row r="4637" spans="6:7" x14ac:dyDescent="0.35">
      <c r="F4637">
        <v>4632</v>
      </c>
      <c r="G4637" s="102">
        <f t="shared" ca="1" si="76"/>
        <v>-4.8412572961417807E-2</v>
      </c>
    </row>
    <row r="4638" spans="6:7" x14ac:dyDescent="0.35">
      <c r="F4638">
        <v>4633</v>
      </c>
      <c r="G4638" s="102">
        <f t="shared" ca="1" si="76"/>
        <v>0.13972777145506818</v>
      </c>
    </row>
    <row r="4639" spans="6:7" x14ac:dyDescent="0.35">
      <c r="F4639">
        <v>4634</v>
      </c>
      <c r="G4639" s="102">
        <f t="shared" ca="1" si="76"/>
        <v>-6.3202945843499989E-2</v>
      </c>
    </row>
    <row r="4640" spans="6:7" x14ac:dyDescent="0.35">
      <c r="F4640">
        <v>4635</v>
      </c>
      <c r="G4640" s="102">
        <f t="shared" ca="1" si="76"/>
        <v>4.3789206006652481E-2</v>
      </c>
    </row>
    <row r="4641" spans="6:7" x14ac:dyDescent="0.35">
      <c r="F4641">
        <v>4636</v>
      </c>
      <c r="G4641" s="102">
        <f t="shared" ca="1" si="76"/>
        <v>-6.6570247052567921E-2</v>
      </c>
    </row>
    <row r="4642" spans="6:7" x14ac:dyDescent="0.35">
      <c r="F4642">
        <v>4637</v>
      </c>
      <c r="G4642" s="102">
        <f t="shared" ca="1" si="76"/>
        <v>-2.903680322091844E-2</v>
      </c>
    </row>
    <row r="4643" spans="6:7" x14ac:dyDescent="0.35">
      <c r="F4643">
        <v>4638</v>
      </c>
      <c r="G4643" s="102">
        <f t="shared" ca="1" si="76"/>
        <v>3.7480285549335218E-2</v>
      </c>
    </row>
    <row r="4644" spans="6:7" x14ac:dyDescent="0.35">
      <c r="F4644">
        <v>4639</v>
      </c>
      <c r="G4644" s="102">
        <f t="shared" ca="1" si="76"/>
        <v>1.9456072313046292E-2</v>
      </c>
    </row>
    <row r="4645" spans="6:7" x14ac:dyDescent="0.35">
      <c r="F4645">
        <v>4640</v>
      </c>
      <c r="G4645" s="102">
        <f t="shared" ca="1" si="76"/>
        <v>1.7903670644639415E-2</v>
      </c>
    </row>
    <row r="4646" spans="6:7" x14ac:dyDescent="0.35">
      <c r="F4646">
        <v>4641</v>
      </c>
      <c r="G4646" s="102">
        <f t="shared" ca="1" si="76"/>
        <v>3.3205885113502073E-2</v>
      </c>
    </row>
    <row r="4647" spans="6:7" x14ac:dyDescent="0.35">
      <c r="F4647">
        <v>4642</v>
      </c>
      <c r="G4647" s="102">
        <f t="shared" ca="1" si="76"/>
        <v>-2.651840773433577E-2</v>
      </c>
    </row>
    <row r="4648" spans="6:7" x14ac:dyDescent="0.35">
      <c r="F4648">
        <v>4643</v>
      </c>
      <c r="G4648" s="102">
        <f t="shared" ca="1" si="76"/>
        <v>-0.11204389744125387</v>
      </c>
    </row>
    <row r="4649" spans="6:7" x14ac:dyDescent="0.35">
      <c r="F4649">
        <v>4644</v>
      </c>
      <c r="G4649" s="102">
        <f t="shared" ca="1" si="76"/>
        <v>-1.5570772934914901E-2</v>
      </c>
    </row>
    <row r="4650" spans="6:7" x14ac:dyDescent="0.35">
      <c r="F4650">
        <v>4645</v>
      </c>
      <c r="G4650" s="102">
        <f t="shared" ca="1" si="76"/>
        <v>-5.5416788402700437E-2</v>
      </c>
    </row>
    <row r="4651" spans="6:7" x14ac:dyDescent="0.35">
      <c r="F4651">
        <v>4646</v>
      </c>
      <c r="G4651" s="102">
        <f t="shared" ca="1" si="76"/>
        <v>4.3305123611165106E-2</v>
      </c>
    </row>
    <row r="4652" spans="6:7" x14ac:dyDescent="0.35">
      <c r="F4652">
        <v>4647</v>
      </c>
      <c r="G4652" s="102">
        <f t="shared" ca="1" si="76"/>
        <v>-6.2450390533238906E-2</v>
      </c>
    </row>
    <row r="4653" spans="6:7" x14ac:dyDescent="0.35">
      <c r="F4653">
        <v>4648</v>
      </c>
      <c r="G4653" s="102">
        <f t="shared" ca="1" si="76"/>
        <v>-0.12460187227218902</v>
      </c>
    </row>
    <row r="4654" spans="6:7" x14ac:dyDescent="0.35">
      <c r="F4654">
        <v>4649</v>
      </c>
      <c r="G4654" s="102">
        <f t="shared" ca="1" si="76"/>
        <v>3.6126560395556926E-3</v>
      </c>
    </row>
    <row r="4655" spans="6:7" x14ac:dyDescent="0.35">
      <c r="F4655">
        <v>4650</v>
      </c>
      <c r="G4655" s="102">
        <f t="shared" ca="1" si="76"/>
        <v>-8.652152019353429E-2</v>
      </c>
    </row>
    <row r="4656" spans="6:7" x14ac:dyDescent="0.35">
      <c r="F4656">
        <v>4651</v>
      </c>
      <c r="G4656" s="102">
        <f t="shared" ca="1" si="76"/>
        <v>-2.7650854977926579E-2</v>
      </c>
    </row>
    <row r="4657" spans="6:7" x14ac:dyDescent="0.35">
      <c r="F4657">
        <v>4652</v>
      </c>
      <c r="G4657" s="102">
        <f t="shared" ca="1" si="76"/>
        <v>1.0116544785584809E-3</v>
      </c>
    </row>
    <row r="4658" spans="6:7" x14ac:dyDescent="0.35">
      <c r="F4658">
        <v>4653</v>
      </c>
      <c r="G4658" s="102">
        <f t="shared" ca="1" si="76"/>
        <v>-6.8601875192882064E-2</v>
      </c>
    </row>
    <row r="4659" spans="6:7" x14ac:dyDescent="0.35">
      <c r="F4659">
        <v>4654</v>
      </c>
      <c r="G4659" s="102">
        <f t="shared" ca="1" si="76"/>
        <v>7.4323864867875136E-2</v>
      </c>
    </row>
    <row r="4660" spans="6:7" x14ac:dyDescent="0.35">
      <c r="F4660">
        <v>4655</v>
      </c>
      <c r="G4660" s="102">
        <f t="shared" ca="1" si="76"/>
        <v>7.1238726953713524E-3</v>
      </c>
    </row>
    <row r="4661" spans="6:7" x14ac:dyDescent="0.35">
      <c r="F4661">
        <v>4656</v>
      </c>
      <c r="G4661" s="102">
        <f t="shared" ca="1" si="76"/>
        <v>2.6305543739843264E-3</v>
      </c>
    </row>
    <row r="4662" spans="6:7" x14ac:dyDescent="0.35">
      <c r="F4662">
        <v>4657</v>
      </c>
      <c r="G4662" s="102">
        <f t="shared" ca="1" si="76"/>
        <v>-7.4656145165115885E-3</v>
      </c>
    </row>
    <row r="4663" spans="6:7" x14ac:dyDescent="0.35">
      <c r="F4663">
        <v>4658</v>
      </c>
      <c r="G4663" s="102">
        <f t="shared" ca="1" si="76"/>
        <v>4.9636215992420032E-2</v>
      </c>
    </row>
    <row r="4664" spans="6:7" x14ac:dyDescent="0.35">
      <c r="F4664">
        <v>4659</v>
      </c>
      <c r="G4664" s="102">
        <f t="shared" ca="1" si="76"/>
        <v>-1.8751428209959099E-2</v>
      </c>
    </row>
    <row r="4665" spans="6:7" x14ac:dyDescent="0.35">
      <c r="F4665">
        <v>4660</v>
      </c>
      <c r="G4665" s="102">
        <f t="shared" ca="1" si="76"/>
        <v>3.8848398793791303E-2</v>
      </c>
    </row>
    <row r="4666" spans="6:7" x14ac:dyDescent="0.35">
      <c r="F4666">
        <v>4661</v>
      </c>
      <c r="G4666" s="102">
        <f t="shared" ca="1" si="76"/>
        <v>-5.3887558217574905E-2</v>
      </c>
    </row>
    <row r="4667" spans="6:7" x14ac:dyDescent="0.35">
      <c r="F4667">
        <v>4662</v>
      </c>
      <c r="G4667" s="102">
        <f t="shared" ca="1" si="76"/>
        <v>-1.7654443249420896E-2</v>
      </c>
    </row>
    <row r="4668" spans="6:7" x14ac:dyDescent="0.35">
      <c r="F4668">
        <v>4663</v>
      </c>
      <c r="G4668" s="102">
        <f t="shared" ca="1" si="76"/>
        <v>-0.13365595473075234</v>
      </c>
    </row>
    <row r="4669" spans="6:7" x14ac:dyDescent="0.35">
      <c r="F4669">
        <v>4664</v>
      </c>
      <c r="G4669" s="102">
        <f t="shared" ca="1" si="76"/>
        <v>3.1769350861051773E-2</v>
      </c>
    </row>
    <row r="4670" spans="6:7" x14ac:dyDescent="0.35">
      <c r="F4670">
        <v>4665</v>
      </c>
      <c r="G4670" s="102">
        <f t="shared" ca="1" si="76"/>
        <v>-8.2141243114958643E-2</v>
      </c>
    </row>
    <row r="4671" spans="6:7" x14ac:dyDescent="0.35">
      <c r="F4671">
        <v>4666</v>
      </c>
      <c r="G4671" s="102">
        <f t="shared" ca="1" si="76"/>
        <v>5.7889097499743775E-2</v>
      </c>
    </row>
    <row r="4672" spans="6:7" x14ac:dyDescent="0.35">
      <c r="F4672">
        <v>4667</v>
      </c>
      <c r="G4672" s="102">
        <f t="shared" ca="1" si="76"/>
        <v>-8.7445156222922163E-2</v>
      </c>
    </row>
    <row r="4673" spans="6:7" x14ac:dyDescent="0.35">
      <c r="F4673">
        <v>4668</v>
      </c>
      <c r="G4673" s="102">
        <f t="shared" ca="1" si="76"/>
        <v>2.5176063363954056E-2</v>
      </c>
    </row>
    <row r="4674" spans="6:7" x14ac:dyDescent="0.35">
      <c r="F4674">
        <v>4669</v>
      </c>
      <c r="G4674" s="102">
        <f t="shared" ca="1" si="76"/>
        <v>-3.1648112689666247E-2</v>
      </c>
    </row>
    <row r="4675" spans="6:7" x14ac:dyDescent="0.35">
      <c r="F4675">
        <v>4670</v>
      </c>
      <c r="G4675" s="102">
        <f t="shared" ca="1" si="76"/>
        <v>-9.5570066966112491E-2</v>
      </c>
    </row>
    <row r="4676" spans="6:7" x14ac:dyDescent="0.35">
      <c r="F4676">
        <v>4671</v>
      </c>
      <c r="G4676" s="102">
        <f t="shared" ca="1" si="76"/>
        <v>7.7227634755592054E-3</v>
      </c>
    </row>
    <row r="4677" spans="6:7" x14ac:dyDescent="0.35">
      <c r="F4677">
        <v>4672</v>
      </c>
      <c r="G4677" s="102">
        <f t="shared" ca="1" si="76"/>
        <v>1.9020399144269638E-2</v>
      </c>
    </row>
    <row r="4678" spans="6:7" x14ac:dyDescent="0.35">
      <c r="F4678">
        <v>4673</v>
      </c>
      <c r="G4678" s="102">
        <f t="shared" ca="1" si="76"/>
        <v>5.5188040085471152E-2</v>
      </c>
    </row>
    <row r="4679" spans="6:7" x14ac:dyDescent="0.35">
      <c r="F4679">
        <v>4674</v>
      </c>
      <c r="G4679" s="102">
        <f t="shared" ref="G4679:G4742" ca="1" si="77">_xlfn.NORM.INV(RAND(),M$9,M$10)</f>
        <v>-0.1250197656727107</v>
      </c>
    </row>
    <row r="4680" spans="6:7" x14ac:dyDescent="0.35">
      <c r="F4680">
        <v>4675</v>
      </c>
      <c r="G4680" s="102">
        <f t="shared" ca="1" si="77"/>
        <v>7.3529481154446068E-3</v>
      </c>
    </row>
    <row r="4681" spans="6:7" x14ac:dyDescent="0.35">
      <c r="F4681">
        <v>4676</v>
      </c>
      <c r="G4681" s="102">
        <f t="shared" ca="1" si="77"/>
        <v>2.4422663562932437E-2</v>
      </c>
    </row>
    <row r="4682" spans="6:7" x14ac:dyDescent="0.35">
      <c r="F4682">
        <v>4677</v>
      </c>
      <c r="G4682" s="102">
        <f t="shared" ca="1" si="77"/>
        <v>7.1612709861250082E-2</v>
      </c>
    </row>
    <row r="4683" spans="6:7" x14ac:dyDescent="0.35">
      <c r="F4683">
        <v>4678</v>
      </c>
      <c r="G4683" s="102">
        <f t="shared" ca="1" si="77"/>
        <v>8.3545507432244093E-2</v>
      </c>
    </row>
    <row r="4684" spans="6:7" x14ac:dyDescent="0.35">
      <c r="F4684">
        <v>4679</v>
      </c>
      <c r="G4684" s="102">
        <f t="shared" ca="1" si="77"/>
        <v>7.3813387731092084E-2</v>
      </c>
    </row>
    <row r="4685" spans="6:7" x14ac:dyDescent="0.35">
      <c r="F4685">
        <v>4680</v>
      </c>
      <c r="G4685" s="102">
        <f t="shared" ca="1" si="77"/>
        <v>-5.0119519980428864E-2</v>
      </c>
    </row>
    <row r="4686" spans="6:7" x14ac:dyDescent="0.35">
      <c r="F4686">
        <v>4681</v>
      </c>
      <c r="G4686" s="102">
        <f t="shared" ca="1" si="77"/>
        <v>5.4858326200439483E-2</v>
      </c>
    </row>
    <row r="4687" spans="6:7" x14ac:dyDescent="0.35">
      <c r="F4687">
        <v>4682</v>
      </c>
      <c r="G4687" s="102">
        <f t="shared" ca="1" si="77"/>
        <v>0.11711155621079457</v>
      </c>
    </row>
    <row r="4688" spans="6:7" x14ac:dyDescent="0.35">
      <c r="F4688">
        <v>4683</v>
      </c>
      <c r="G4688" s="102">
        <f t="shared" ca="1" si="77"/>
        <v>-9.5973997138924974E-2</v>
      </c>
    </row>
    <row r="4689" spans="6:7" x14ac:dyDescent="0.35">
      <c r="F4689">
        <v>4684</v>
      </c>
      <c r="G4689" s="102">
        <f t="shared" ca="1" si="77"/>
        <v>5.0542736145929676E-2</v>
      </c>
    </row>
    <row r="4690" spans="6:7" x14ac:dyDescent="0.35">
      <c r="F4690">
        <v>4685</v>
      </c>
      <c r="G4690" s="102">
        <f t="shared" ca="1" si="77"/>
        <v>5.4839275816672181E-2</v>
      </c>
    </row>
    <row r="4691" spans="6:7" x14ac:dyDescent="0.35">
      <c r="F4691">
        <v>4686</v>
      </c>
      <c r="G4691" s="102">
        <f t="shared" ca="1" si="77"/>
        <v>4.8057082268679208E-3</v>
      </c>
    </row>
    <row r="4692" spans="6:7" x14ac:dyDescent="0.35">
      <c r="F4692">
        <v>4687</v>
      </c>
      <c r="G4692" s="102">
        <f t="shared" ca="1" si="77"/>
        <v>5.7143262764728517E-2</v>
      </c>
    </row>
    <row r="4693" spans="6:7" x14ac:dyDescent="0.35">
      <c r="F4693">
        <v>4688</v>
      </c>
      <c r="G4693" s="102">
        <f t="shared" ca="1" si="77"/>
        <v>3.6474412363765377E-3</v>
      </c>
    </row>
    <row r="4694" spans="6:7" x14ac:dyDescent="0.35">
      <c r="F4694">
        <v>4689</v>
      </c>
      <c r="G4694" s="102">
        <f t="shared" ca="1" si="77"/>
        <v>1.227665946785942E-2</v>
      </c>
    </row>
    <row r="4695" spans="6:7" x14ac:dyDescent="0.35">
      <c r="F4695">
        <v>4690</v>
      </c>
      <c r="G4695" s="102">
        <f t="shared" ca="1" si="77"/>
        <v>0.12970779530387397</v>
      </c>
    </row>
    <row r="4696" spans="6:7" x14ac:dyDescent="0.35">
      <c r="F4696">
        <v>4691</v>
      </c>
      <c r="G4696" s="102">
        <f t="shared" ca="1" si="77"/>
        <v>0.14343293056537723</v>
      </c>
    </row>
    <row r="4697" spans="6:7" x14ac:dyDescent="0.35">
      <c r="F4697">
        <v>4692</v>
      </c>
      <c r="G4697" s="102">
        <f t="shared" ca="1" si="77"/>
        <v>-3.4857463370907366E-2</v>
      </c>
    </row>
    <row r="4698" spans="6:7" x14ac:dyDescent="0.35">
      <c r="F4698">
        <v>4693</v>
      </c>
      <c r="G4698" s="102">
        <f t="shared" ca="1" si="77"/>
        <v>9.1719025201667005E-3</v>
      </c>
    </row>
    <row r="4699" spans="6:7" x14ac:dyDescent="0.35">
      <c r="F4699">
        <v>4694</v>
      </c>
      <c r="G4699" s="102">
        <f t="shared" ca="1" si="77"/>
        <v>3.6367468772042458E-2</v>
      </c>
    </row>
    <row r="4700" spans="6:7" x14ac:dyDescent="0.35">
      <c r="F4700">
        <v>4695</v>
      </c>
      <c r="G4700" s="102">
        <f t="shared" ca="1" si="77"/>
        <v>3.7534661850148643E-2</v>
      </c>
    </row>
    <row r="4701" spans="6:7" x14ac:dyDescent="0.35">
      <c r="F4701">
        <v>4696</v>
      </c>
      <c r="G4701" s="102">
        <f t="shared" ca="1" si="77"/>
        <v>2.3774378060516185E-2</v>
      </c>
    </row>
    <row r="4702" spans="6:7" x14ac:dyDescent="0.35">
      <c r="F4702">
        <v>4697</v>
      </c>
      <c r="G4702" s="102">
        <f t="shared" ca="1" si="77"/>
        <v>-3.603506384684442E-2</v>
      </c>
    </row>
    <row r="4703" spans="6:7" x14ac:dyDescent="0.35">
      <c r="F4703">
        <v>4698</v>
      </c>
      <c r="G4703" s="102">
        <f t="shared" ca="1" si="77"/>
        <v>1.1141605769377349E-2</v>
      </c>
    </row>
    <row r="4704" spans="6:7" x14ac:dyDescent="0.35">
      <c r="F4704">
        <v>4699</v>
      </c>
      <c r="G4704" s="102">
        <f t="shared" ca="1" si="77"/>
        <v>-9.3748129484033452E-2</v>
      </c>
    </row>
    <row r="4705" spans="6:7" x14ac:dyDescent="0.35">
      <c r="F4705">
        <v>4700</v>
      </c>
      <c r="G4705" s="102">
        <f t="shared" ca="1" si="77"/>
        <v>-7.9274337316862606E-2</v>
      </c>
    </row>
    <row r="4706" spans="6:7" x14ac:dyDescent="0.35">
      <c r="F4706">
        <v>4701</v>
      </c>
      <c r="G4706" s="102">
        <f t="shared" ca="1" si="77"/>
        <v>-2.2553512862289297E-2</v>
      </c>
    </row>
    <row r="4707" spans="6:7" x14ac:dyDescent="0.35">
      <c r="F4707">
        <v>4702</v>
      </c>
      <c r="G4707" s="102">
        <f t="shared" ca="1" si="77"/>
        <v>-2.3254018394592364E-2</v>
      </c>
    </row>
    <row r="4708" spans="6:7" x14ac:dyDescent="0.35">
      <c r="F4708">
        <v>4703</v>
      </c>
      <c r="G4708" s="102">
        <f t="shared" ca="1" si="77"/>
        <v>0.12469922050550521</v>
      </c>
    </row>
    <row r="4709" spans="6:7" x14ac:dyDescent="0.35">
      <c r="F4709">
        <v>4704</v>
      </c>
      <c r="G4709" s="102">
        <f t="shared" ca="1" si="77"/>
        <v>9.1299572709663643E-2</v>
      </c>
    </row>
    <row r="4710" spans="6:7" x14ac:dyDescent="0.35">
      <c r="F4710">
        <v>4705</v>
      </c>
      <c r="G4710" s="102">
        <f t="shared" ca="1" si="77"/>
        <v>-3.2422549719360261E-2</v>
      </c>
    </row>
    <row r="4711" spans="6:7" x14ac:dyDescent="0.35">
      <c r="F4711">
        <v>4706</v>
      </c>
      <c r="G4711" s="102">
        <f t="shared" ca="1" si="77"/>
        <v>-2.0013907947301485E-2</v>
      </c>
    </row>
    <row r="4712" spans="6:7" x14ac:dyDescent="0.35">
      <c r="F4712">
        <v>4707</v>
      </c>
      <c r="G4712" s="102">
        <f t="shared" ca="1" si="77"/>
        <v>-5.4830133683746538E-3</v>
      </c>
    </row>
    <row r="4713" spans="6:7" x14ac:dyDescent="0.35">
      <c r="F4713">
        <v>4708</v>
      </c>
      <c r="G4713" s="102">
        <f t="shared" ca="1" si="77"/>
        <v>-6.0573881721741454E-2</v>
      </c>
    </row>
    <row r="4714" spans="6:7" x14ac:dyDescent="0.35">
      <c r="F4714">
        <v>4709</v>
      </c>
      <c r="G4714" s="102">
        <f t="shared" ca="1" si="77"/>
        <v>4.7130397656288039E-3</v>
      </c>
    </row>
    <row r="4715" spans="6:7" x14ac:dyDescent="0.35">
      <c r="F4715">
        <v>4710</v>
      </c>
      <c r="G4715" s="102">
        <f t="shared" ca="1" si="77"/>
        <v>-0.10989518564941091</v>
      </c>
    </row>
    <row r="4716" spans="6:7" x14ac:dyDescent="0.35">
      <c r="F4716">
        <v>4711</v>
      </c>
      <c r="G4716" s="102">
        <f t="shared" ca="1" si="77"/>
        <v>-1.7281777083497693E-2</v>
      </c>
    </row>
    <row r="4717" spans="6:7" x14ac:dyDescent="0.35">
      <c r="F4717">
        <v>4712</v>
      </c>
      <c r="G4717" s="102">
        <f t="shared" ca="1" si="77"/>
        <v>-6.7193360637779156E-2</v>
      </c>
    </row>
    <row r="4718" spans="6:7" x14ac:dyDescent="0.35">
      <c r="F4718">
        <v>4713</v>
      </c>
      <c r="G4718" s="102">
        <f t="shared" ca="1" si="77"/>
        <v>7.0824488823718834E-2</v>
      </c>
    </row>
    <row r="4719" spans="6:7" x14ac:dyDescent="0.35">
      <c r="F4719">
        <v>4714</v>
      </c>
      <c r="G4719" s="102">
        <f t="shared" ca="1" si="77"/>
        <v>-5.493688606229034E-3</v>
      </c>
    </row>
    <row r="4720" spans="6:7" x14ac:dyDescent="0.35">
      <c r="F4720">
        <v>4715</v>
      </c>
      <c r="G4720" s="102">
        <f t="shared" ca="1" si="77"/>
        <v>-2.3432230169331384E-2</v>
      </c>
    </row>
    <row r="4721" spans="6:7" x14ac:dyDescent="0.35">
      <c r="F4721">
        <v>4716</v>
      </c>
      <c r="G4721" s="102">
        <f t="shared" ca="1" si="77"/>
        <v>7.9570424968016876E-2</v>
      </c>
    </row>
    <row r="4722" spans="6:7" x14ac:dyDescent="0.35">
      <c r="F4722">
        <v>4717</v>
      </c>
      <c r="G4722" s="102">
        <f t="shared" ca="1" si="77"/>
        <v>2.0209030453895372E-2</v>
      </c>
    </row>
    <row r="4723" spans="6:7" x14ac:dyDescent="0.35">
      <c r="F4723">
        <v>4718</v>
      </c>
      <c r="G4723" s="102">
        <f t="shared" ca="1" si="77"/>
        <v>2.0483586071869137E-3</v>
      </c>
    </row>
    <row r="4724" spans="6:7" x14ac:dyDescent="0.35">
      <c r="F4724">
        <v>4719</v>
      </c>
      <c r="G4724" s="102">
        <f t="shared" ca="1" si="77"/>
        <v>7.1664789796331424E-2</v>
      </c>
    </row>
    <row r="4725" spans="6:7" x14ac:dyDescent="0.35">
      <c r="F4725">
        <v>4720</v>
      </c>
      <c r="G4725" s="102">
        <f t="shared" ca="1" si="77"/>
        <v>-7.5995087805863198E-2</v>
      </c>
    </row>
    <row r="4726" spans="6:7" x14ac:dyDescent="0.35">
      <c r="F4726">
        <v>4721</v>
      </c>
      <c r="G4726" s="102">
        <f t="shared" ca="1" si="77"/>
        <v>-2.7865974625867301E-2</v>
      </c>
    </row>
    <row r="4727" spans="6:7" x14ac:dyDescent="0.35">
      <c r="F4727">
        <v>4722</v>
      </c>
      <c r="G4727" s="102">
        <f t="shared" ca="1" si="77"/>
        <v>6.5783518656912648E-2</v>
      </c>
    </row>
    <row r="4728" spans="6:7" x14ac:dyDescent="0.35">
      <c r="F4728">
        <v>4723</v>
      </c>
      <c r="G4728" s="102">
        <f t="shared" ca="1" si="77"/>
        <v>8.4350927126610409E-2</v>
      </c>
    </row>
    <row r="4729" spans="6:7" x14ac:dyDescent="0.35">
      <c r="F4729">
        <v>4724</v>
      </c>
      <c r="G4729" s="102">
        <f t="shared" ca="1" si="77"/>
        <v>2.6844937440501027E-2</v>
      </c>
    </row>
    <row r="4730" spans="6:7" x14ac:dyDescent="0.35">
      <c r="F4730">
        <v>4725</v>
      </c>
      <c r="G4730" s="102">
        <f t="shared" ca="1" si="77"/>
        <v>4.7131320920444142E-2</v>
      </c>
    </row>
    <row r="4731" spans="6:7" x14ac:dyDescent="0.35">
      <c r="F4731">
        <v>4726</v>
      </c>
      <c r="G4731" s="102">
        <f t="shared" ca="1" si="77"/>
        <v>-4.6090747886893962E-3</v>
      </c>
    </row>
    <row r="4732" spans="6:7" x14ac:dyDescent="0.35">
      <c r="F4732">
        <v>4727</v>
      </c>
      <c r="G4732" s="102">
        <f t="shared" ca="1" si="77"/>
        <v>4.0281633076206996E-2</v>
      </c>
    </row>
    <row r="4733" spans="6:7" x14ac:dyDescent="0.35">
      <c r="F4733">
        <v>4728</v>
      </c>
      <c r="G4733" s="102">
        <f t="shared" ca="1" si="77"/>
        <v>9.0497297256057596E-2</v>
      </c>
    </row>
    <row r="4734" spans="6:7" x14ac:dyDescent="0.35">
      <c r="F4734">
        <v>4729</v>
      </c>
      <c r="G4734" s="102">
        <f t="shared" ca="1" si="77"/>
        <v>-8.2602459308301193E-2</v>
      </c>
    </row>
    <row r="4735" spans="6:7" x14ac:dyDescent="0.35">
      <c r="F4735">
        <v>4730</v>
      </c>
      <c r="G4735" s="102">
        <f t="shared" ca="1" si="77"/>
        <v>5.7041060553816941E-2</v>
      </c>
    </row>
    <row r="4736" spans="6:7" x14ac:dyDescent="0.35">
      <c r="F4736">
        <v>4731</v>
      </c>
      <c r="G4736" s="102">
        <f t="shared" ca="1" si="77"/>
        <v>-4.7689464917054947E-2</v>
      </c>
    </row>
    <row r="4737" spans="6:7" x14ac:dyDescent="0.35">
      <c r="F4737">
        <v>4732</v>
      </c>
      <c r="G4737" s="102">
        <f t="shared" ca="1" si="77"/>
        <v>-6.1224931425989032E-2</v>
      </c>
    </row>
    <row r="4738" spans="6:7" x14ac:dyDescent="0.35">
      <c r="F4738">
        <v>4733</v>
      </c>
      <c r="G4738" s="102">
        <f t="shared" ca="1" si="77"/>
        <v>-2.5269690389168209E-2</v>
      </c>
    </row>
    <row r="4739" spans="6:7" x14ac:dyDescent="0.35">
      <c r="F4739">
        <v>4734</v>
      </c>
      <c r="G4739" s="102">
        <f t="shared" ca="1" si="77"/>
        <v>-4.8130649467309244E-2</v>
      </c>
    </row>
    <row r="4740" spans="6:7" x14ac:dyDescent="0.35">
      <c r="F4740">
        <v>4735</v>
      </c>
      <c r="G4740" s="102">
        <f t="shared" ca="1" si="77"/>
        <v>4.1060239500670115E-2</v>
      </c>
    </row>
    <row r="4741" spans="6:7" x14ac:dyDescent="0.35">
      <c r="F4741">
        <v>4736</v>
      </c>
      <c r="G4741" s="102">
        <f t="shared" ca="1" si="77"/>
        <v>0.11581537656187556</v>
      </c>
    </row>
    <row r="4742" spans="6:7" x14ac:dyDescent="0.35">
      <c r="F4742">
        <v>4737</v>
      </c>
      <c r="G4742" s="102">
        <f t="shared" ca="1" si="77"/>
        <v>4.6663979679891898E-4</v>
      </c>
    </row>
    <row r="4743" spans="6:7" x14ac:dyDescent="0.35">
      <c r="F4743">
        <v>4738</v>
      </c>
      <c r="G4743" s="102">
        <f t="shared" ref="G4743:G4806" ca="1" si="78">_xlfn.NORM.INV(RAND(),M$9,M$10)</f>
        <v>5.001000643293893E-2</v>
      </c>
    </row>
    <row r="4744" spans="6:7" x14ac:dyDescent="0.35">
      <c r="F4744">
        <v>4739</v>
      </c>
      <c r="G4744" s="102">
        <f t="shared" ca="1" si="78"/>
        <v>-6.1081125700550881E-2</v>
      </c>
    </row>
    <row r="4745" spans="6:7" x14ac:dyDescent="0.35">
      <c r="F4745">
        <v>4740</v>
      </c>
      <c r="G4745" s="102">
        <f t="shared" ca="1" si="78"/>
        <v>2.4716241750176931E-2</v>
      </c>
    </row>
    <row r="4746" spans="6:7" x14ac:dyDescent="0.35">
      <c r="F4746">
        <v>4741</v>
      </c>
      <c r="G4746" s="102">
        <f t="shared" ca="1" si="78"/>
        <v>-3.6923802100286285E-2</v>
      </c>
    </row>
    <row r="4747" spans="6:7" x14ac:dyDescent="0.35">
      <c r="F4747">
        <v>4742</v>
      </c>
      <c r="G4747" s="102">
        <f t="shared" ca="1" si="78"/>
        <v>-3.7297982162911761E-2</v>
      </c>
    </row>
    <row r="4748" spans="6:7" x14ac:dyDescent="0.35">
      <c r="F4748">
        <v>4743</v>
      </c>
      <c r="G4748" s="102">
        <f t="shared" ca="1" si="78"/>
        <v>4.8381394432354438E-2</v>
      </c>
    </row>
    <row r="4749" spans="6:7" x14ac:dyDescent="0.35">
      <c r="F4749">
        <v>4744</v>
      </c>
      <c r="G4749" s="102">
        <f t="shared" ca="1" si="78"/>
        <v>5.9073172215372449E-2</v>
      </c>
    </row>
    <row r="4750" spans="6:7" x14ac:dyDescent="0.35">
      <c r="F4750">
        <v>4745</v>
      </c>
      <c r="G4750" s="102">
        <f t="shared" ca="1" si="78"/>
        <v>5.2694217959830453E-2</v>
      </c>
    </row>
    <row r="4751" spans="6:7" x14ac:dyDescent="0.35">
      <c r="F4751">
        <v>4746</v>
      </c>
      <c r="G4751" s="102">
        <f t="shared" ca="1" si="78"/>
        <v>-2.0440099422412931E-2</v>
      </c>
    </row>
    <row r="4752" spans="6:7" x14ac:dyDescent="0.35">
      <c r="F4752">
        <v>4747</v>
      </c>
      <c r="G4752" s="102">
        <f t="shared" ca="1" si="78"/>
        <v>3.0183698284318831E-2</v>
      </c>
    </row>
    <row r="4753" spans="6:7" x14ac:dyDescent="0.35">
      <c r="F4753">
        <v>4748</v>
      </c>
      <c r="G4753" s="102">
        <f t="shared" ca="1" si="78"/>
        <v>-5.5950400418375235E-2</v>
      </c>
    </row>
    <row r="4754" spans="6:7" x14ac:dyDescent="0.35">
      <c r="F4754">
        <v>4749</v>
      </c>
      <c r="G4754" s="102">
        <f t="shared" ca="1" si="78"/>
        <v>-4.2882857796730012E-2</v>
      </c>
    </row>
    <row r="4755" spans="6:7" x14ac:dyDescent="0.35">
      <c r="F4755">
        <v>4750</v>
      </c>
      <c r="G4755" s="102">
        <f t="shared" ca="1" si="78"/>
        <v>-0.10018103868534196</v>
      </c>
    </row>
    <row r="4756" spans="6:7" x14ac:dyDescent="0.35">
      <c r="F4756">
        <v>4751</v>
      </c>
      <c r="G4756" s="102">
        <f t="shared" ca="1" si="78"/>
        <v>3.7185562686252088E-2</v>
      </c>
    </row>
    <row r="4757" spans="6:7" x14ac:dyDescent="0.35">
      <c r="F4757">
        <v>4752</v>
      </c>
      <c r="G4757" s="102">
        <f t="shared" ca="1" si="78"/>
        <v>-3.9121795950848012E-2</v>
      </c>
    </row>
    <row r="4758" spans="6:7" x14ac:dyDescent="0.35">
      <c r="F4758">
        <v>4753</v>
      </c>
      <c r="G4758" s="102">
        <f t="shared" ca="1" si="78"/>
        <v>-4.2052554966710192E-3</v>
      </c>
    </row>
    <row r="4759" spans="6:7" x14ac:dyDescent="0.35">
      <c r="F4759">
        <v>4754</v>
      </c>
      <c r="G4759" s="102">
        <f t="shared" ca="1" si="78"/>
        <v>6.5424854894154741E-2</v>
      </c>
    </row>
    <row r="4760" spans="6:7" x14ac:dyDescent="0.35">
      <c r="F4760">
        <v>4755</v>
      </c>
      <c r="G4760" s="102">
        <f t="shared" ca="1" si="78"/>
        <v>3.0512887583546037E-2</v>
      </c>
    </row>
    <row r="4761" spans="6:7" x14ac:dyDescent="0.35">
      <c r="F4761">
        <v>4756</v>
      </c>
      <c r="G4761" s="102">
        <f t="shared" ca="1" si="78"/>
        <v>0.10766924642680094</v>
      </c>
    </row>
    <row r="4762" spans="6:7" x14ac:dyDescent="0.35">
      <c r="F4762">
        <v>4757</v>
      </c>
      <c r="G4762" s="102">
        <f t="shared" ca="1" si="78"/>
        <v>5.5011972062983319E-2</v>
      </c>
    </row>
    <row r="4763" spans="6:7" x14ac:dyDescent="0.35">
      <c r="F4763">
        <v>4758</v>
      </c>
      <c r="G4763" s="102">
        <f t="shared" ca="1" si="78"/>
        <v>-3.611210278087662E-2</v>
      </c>
    </row>
    <row r="4764" spans="6:7" x14ac:dyDescent="0.35">
      <c r="F4764">
        <v>4759</v>
      </c>
      <c r="G4764" s="102">
        <f t="shared" ca="1" si="78"/>
        <v>-2.8390213775018575E-2</v>
      </c>
    </row>
    <row r="4765" spans="6:7" x14ac:dyDescent="0.35">
      <c r="F4765">
        <v>4760</v>
      </c>
      <c r="G4765" s="102">
        <f t="shared" ca="1" si="78"/>
        <v>3.9381941079697461E-2</v>
      </c>
    </row>
    <row r="4766" spans="6:7" x14ac:dyDescent="0.35">
      <c r="F4766">
        <v>4761</v>
      </c>
      <c r="G4766" s="102">
        <f t="shared" ca="1" si="78"/>
        <v>-7.4718555257725597E-2</v>
      </c>
    </row>
    <row r="4767" spans="6:7" x14ac:dyDescent="0.35">
      <c r="F4767">
        <v>4762</v>
      </c>
      <c r="G4767" s="102">
        <f t="shared" ca="1" si="78"/>
        <v>5.4618459010726941E-2</v>
      </c>
    </row>
    <row r="4768" spans="6:7" x14ac:dyDescent="0.35">
      <c r="F4768">
        <v>4763</v>
      </c>
      <c r="G4768" s="102">
        <f t="shared" ca="1" si="78"/>
        <v>-0.12025363398825822</v>
      </c>
    </row>
    <row r="4769" spans="6:7" x14ac:dyDescent="0.35">
      <c r="F4769">
        <v>4764</v>
      </c>
      <c r="G4769" s="102">
        <f t="shared" ca="1" si="78"/>
        <v>5.4471630792316122E-2</v>
      </c>
    </row>
    <row r="4770" spans="6:7" x14ac:dyDescent="0.35">
      <c r="F4770">
        <v>4765</v>
      </c>
      <c r="G4770" s="102">
        <f t="shared" ca="1" si="78"/>
        <v>0.1002065959425483</v>
      </c>
    </row>
    <row r="4771" spans="6:7" x14ac:dyDescent="0.35">
      <c r="F4771">
        <v>4766</v>
      </c>
      <c r="G4771" s="102">
        <f t="shared" ca="1" si="78"/>
        <v>-3.8698485729013507E-2</v>
      </c>
    </row>
    <row r="4772" spans="6:7" x14ac:dyDescent="0.35">
      <c r="F4772">
        <v>4767</v>
      </c>
      <c r="G4772" s="102">
        <f t="shared" ca="1" si="78"/>
        <v>-2.503837282672821E-2</v>
      </c>
    </row>
    <row r="4773" spans="6:7" x14ac:dyDescent="0.35">
      <c r="F4773">
        <v>4768</v>
      </c>
      <c r="G4773" s="102">
        <f t="shared" ca="1" si="78"/>
        <v>1.5399369099645684E-2</v>
      </c>
    </row>
    <row r="4774" spans="6:7" x14ac:dyDescent="0.35">
      <c r="F4774">
        <v>4769</v>
      </c>
      <c r="G4774" s="102">
        <f t="shared" ca="1" si="78"/>
        <v>5.8390336727324146E-2</v>
      </c>
    </row>
    <row r="4775" spans="6:7" x14ac:dyDescent="0.35">
      <c r="F4775">
        <v>4770</v>
      </c>
      <c r="G4775" s="102">
        <f t="shared" ca="1" si="78"/>
        <v>-2.7392511802164513E-2</v>
      </c>
    </row>
    <row r="4776" spans="6:7" x14ac:dyDescent="0.35">
      <c r="F4776">
        <v>4771</v>
      </c>
      <c r="G4776" s="102">
        <f t="shared" ca="1" si="78"/>
        <v>9.2770172675858784E-2</v>
      </c>
    </row>
    <row r="4777" spans="6:7" x14ac:dyDescent="0.35">
      <c r="F4777">
        <v>4772</v>
      </c>
      <c r="G4777" s="102">
        <f t="shared" ca="1" si="78"/>
        <v>5.0503509868962529E-2</v>
      </c>
    </row>
    <row r="4778" spans="6:7" x14ac:dyDescent="0.35">
      <c r="F4778">
        <v>4773</v>
      </c>
      <c r="G4778" s="102">
        <f t="shared" ca="1" si="78"/>
        <v>-1.5555819841250591E-3</v>
      </c>
    </row>
    <row r="4779" spans="6:7" x14ac:dyDescent="0.35">
      <c r="F4779">
        <v>4774</v>
      </c>
      <c r="G4779" s="102">
        <f t="shared" ca="1" si="78"/>
        <v>-1.5420243048270653E-2</v>
      </c>
    </row>
    <row r="4780" spans="6:7" x14ac:dyDescent="0.35">
      <c r="F4780">
        <v>4775</v>
      </c>
      <c r="G4780" s="102">
        <f t="shared" ca="1" si="78"/>
        <v>-0.11891161607888151</v>
      </c>
    </row>
    <row r="4781" spans="6:7" x14ac:dyDescent="0.35">
      <c r="F4781">
        <v>4776</v>
      </c>
      <c r="G4781" s="102">
        <f t="shared" ca="1" si="78"/>
        <v>-0.13704508727777615</v>
      </c>
    </row>
    <row r="4782" spans="6:7" x14ac:dyDescent="0.35">
      <c r="F4782">
        <v>4777</v>
      </c>
      <c r="G4782" s="102">
        <f t="shared" ca="1" si="78"/>
        <v>-2.3858521209617664E-2</v>
      </c>
    </row>
    <row r="4783" spans="6:7" x14ac:dyDescent="0.35">
      <c r="F4783">
        <v>4778</v>
      </c>
      <c r="G4783" s="102">
        <f t="shared" ca="1" si="78"/>
        <v>7.1973414642454006E-2</v>
      </c>
    </row>
    <row r="4784" spans="6:7" x14ac:dyDescent="0.35">
      <c r="F4784">
        <v>4779</v>
      </c>
      <c r="G4784" s="102">
        <f t="shared" ca="1" si="78"/>
        <v>-6.062982572025688E-2</v>
      </c>
    </row>
    <row r="4785" spans="6:7" x14ac:dyDescent="0.35">
      <c r="F4785">
        <v>4780</v>
      </c>
      <c r="G4785" s="102">
        <f t="shared" ca="1" si="78"/>
        <v>-4.1617521137869817E-2</v>
      </c>
    </row>
    <row r="4786" spans="6:7" x14ac:dyDescent="0.35">
      <c r="F4786">
        <v>4781</v>
      </c>
      <c r="G4786" s="102">
        <f t="shared" ca="1" si="78"/>
        <v>1.6138118463749494E-2</v>
      </c>
    </row>
    <row r="4787" spans="6:7" x14ac:dyDescent="0.35">
      <c r="F4787">
        <v>4782</v>
      </c>
      <c r="G4787" s="102">
        <f t="shared" ca="1" si="78"/>
        <v>6.216221045384146E-2</v>
      </c>
    </row>
    <row r="4788" spans="6:7" x14ac:dyDescent="0.35">
      <c r="F4788">
        <v>4783</v>
      </c>
      <c r="G4788" s="102">
        <f t="shared" ca="1" si="78"/>
        <v>1.2097281612777441E-2</v>
      </c>
    </row>
    <row r="4789" spans="6:7" x14ac:dyDescent="0.35">
      <c r="F4789">
        <v>4784</v>
      </c>
      <c r="G4789" s="102">
        <f t="shared" ca="1" si="78"/>
        <v>0.10789933050246883</v>
      </c>
    </row>
    <row r="4790" spans="6:7" x14ac:dyDescent="0.35">
      <c r="F4790">
        <v>4785</v>
      </c>
      <c r="G4790" s="102">
        <f t="shared" ca="1" si="78"/>
        <v>8.9399181668114433E-2</v>
      </c>
    </row>
    <row r="4791" spans="6:7" x14ac:dyDescent="0.35">
      <c r="F4791">
        <v>4786</v>
      </c>
      <c r="G4791" s="102">
        <f t="shared" ca="1" si="78"/>
        <v>0.10612939537580063</v>
      </c>
    </row>
    <row r="4792" spans="6:7" x14ac:dyDescent="0.35">
      <c r="F4792">
        <v>4787</v>
      </c>
      <c r="G4792" s="102">
        <f t="shared" ca="1" si="78"/>
        <v>-7.9124033748553146E-2</v>
      </c>
    </row>
    <row r="4793" spans="6:7" x14ac:dyDescent="0.35">
      <c r="F4793">
        <v>4788</v>
      </c>
      <c r="G4793" s="102">
        <f t="shared" ca="1" si="78"/>
        <v>-0.12141145761181837</v>
      </c>
    </row>
    <row r="4794" spans="6:7" x14ac:dyDescent="0.35">
      <c r="F4794">
        <v>4789</v>
      </c>
      <c r="G4794" s="102">
        <f t="shared" ca="1" si="78"/>
        <v>8.8301897633229001E-3</v>
      </c>
    </row>
    <row r="4795" spans="6:7" x14ac:dyDescent="0.35">
      <c r="F4795">
        <v>4790</v>
      </c>
      <c r="G4795" s="102">
        <f t="shared" ca="1" si="78"/>
        <v>-4.4615227746475375E-2</v>
      </c>
    </row>
    <row r="4796" spans="6:7" x14ac:dyDescent="0.35">
      <c r="F4796">
        <v>4791</v>
      </c>
      <c r="G4796" s="102">
        <f t="shared" ca="1" si="78"/>
        <v>5.5327785004387772E-2</v>
      </c>
    </row>
    <row r="4797" spans="6:7" x14ac:dyDescent="0.35">
      <c r="F4797">
        <v>4792</v>
      </c>
      <c r="G4797" s="102">
        <f t="shared" ca="1" si="78"/>
        <v>0.13255575093995312</v>
      </c>
    </row>
    <row r="4798" spans="6:7" x14ac:dyDescent="0.35">
      <c r="F4798">
        <v>4793</v>
      </c>
      <c r="G4798" s="102">
        <f t="shared" ca="1" si="78"/>
        <v>4.2066869458422154E-2</v>
      </c>
    </row>
    <row r="4799" spans="6:7" x14ac:dyDescent="0.35">
      <c r="F4799">
        <v>4794</v>
      </c>
      <c r="G4799" s="102">
        <f t="shared" ca="1" si="78"/>
        <v>-5.0147813406864375E-2</v>
      </c>
    </row>
    <row r="4800" spans="6:7" x14ac:dyDescent="0.35">
      <c r="F4800">
        <v>4795</v>
      </c>
      <c r="G4800" s="102">
        <f t="shared" ca="1" si="78"/>
        <v>7.067191155804739E-2</v>
      </c>
    </row>
    <row r="4801" spans="6:7" x14ac:dyDescent="0.35">
      <c r="F4801">
        <v>4796</v>
      </c>
      <c r="G4801" s="102">
        <f t="shared" ca="1" si="78"/>
        <v>-0.11390630827480282</v>
      </c>
    </row>
    <row r="4802" spans="6:7" x14ac:dyDescent="0.35">
      <c r="F4802">
        <v>4797</v>
      </c>
      <c r="G4802" s="102">
        <f t="shared" ca="1" si="78"/>
        <v>-5.8378036957115451E-2</v>
      </c>
    </row>
    <row r="4803" spans="6:7" x14ac:dyDescent="0.35">
      <c r="F4803">
        <v>4798</v>
      </c>
      <c r="G4803" s="102">
        <f t="shared" ca="1" si="78"/>
        <v>-8.3332280433401421E-2</v>
      </c>
    </row>
    <row r="4804" spans="6:7" x14ac:dyDescent="0.35">
      <c r="F4804">
        <v>4799</v>
      </c>
      <c r="G4804" s="102">
        <f t="shared" ca="1" si="78"/>
        <v>5.5121487583648637E-3</v>
      </c>
    </row>
    <row r="4805" spans="6:7" x14ac:dyDescent="0.35">
      <c r="F4805">
        <v>4800</v>
      </c>
      <c r="G4805" s="102">
        <f t="shared" ca="1" si="78"/>
        <v>7.0927047095413531E-2</v>
      </c>
    </row>
    <row r="4806" spans="6:7" x14ac:dyDescent="0.35">
      <c r="F4806">
        <v>4801</v>
      </c>
      <c r="G4806" s="102">
        <f t="shared" ca="1" si="78"/>
        <v>-4.1547840581332665E-2</v>
      </c>
    </row>
    <row r="4807" spans="6:7" x14ac:dyDescent="0.35">
      <c r="F4807">
        <v>4802</v>
      </c>
      <c r="G4807" s="102">
        <f t="shared" ref="G4807:G4870" ca="1" si="79">_xlfn.NORM.INV(RAND(),M$9,M$10)</f>
        <v>7.7244024944683007E-2</v>
      </c>
    </row>
    <row r="4808" spans="6:7" x14ac:dyDescent="0.35">
      <c r="F4808">
        <v>4803</v>
      </c>
      <c r="G4808" s="102">
        <f t="shared" ca="1" si="79"/>
        <v>-4.7406503429094179E-2</v>
      </c>
    </row>
    <row r="4809" spans="6:7" x14ac:dyDescent="0.35">
      <c r="F4809">
        <v>4804</v>
      </c>
      <c r="G4809" s="102">
        <f t="shared" ca="1" si="79"/>
        <v>-2.4309426862787063E-2</v>
      </c>
    </row>
    <row r="4810" spans="6:7" x14ac:dyDescent="0.35">
      <c r="F4810">
        <v>4805</v>
      </c>
      <c r="G4810" s="102">
        <f t="shared" ca="1" si="79"/>
        <v>2.4555627153629186E-2</v>
      </c>
    </row>
    <row r="4811" spans="6:7" x14ac:dyDescent="0.35">
      <c r="F4811">
        <v>4806</v>
      </c>
      <c r="G4811" s="102">
        <f t="shared" ca="1" si="79"/>
        <v>-4.5552418492333699E-2</v>
      </c>
    </row>
    <row r="4812" spans="6:7" x14ac:dyDescent="0.35">
      <c r="F4812">
        <v>4807</v>
      </c>
      <c r="G4812" s="102">
        <f t="shared" ca="1" si="79"/>
        <v>-0.1281140542993128</v>
      </c>
    </row>
    <row r="4813" spans="6:7" x14ac:dyDescent="0.35">
      <c r="F4813">
        <v>4808</v>
      </c>
      <c r="G4813" s="102">
        <f t="shared" ca="1" si="79"/>
        <v>-5.5882521661943824E-2</v>
      </c>
    </row>
    <row r="4814" spans="6:7" x14ac:dyDescent="0.35">
      <c r="F4814">
        <v>4809</v>
      </c>
      <c r="G4814" s="102">
        <f t="shared" ca="1" si="79"/>
        <v>-6.291556059165182E-2</v>
      </c>
    </row>
    <row r="4815" spans="6:7" x14ac:dyDescent="0.35">
      <c r="F4815">
        <v>4810</v>
      </c>
      <c r="G4815" s="102">
        <f t="shared" ca="1" si="79"/>
        <v>-1.2017673478798226E-2</v>
      </c>
    </row>
    <row r="4816" spans="6:7" x14ac:dyDescent="0.35">
      <c r="F4816">
        <v>4811</v>
      </c>
      <c r="G4816" s="102">
        <f t="shared" ca="1" si="79"/>
        <v>-9.515371762017534E-4</v>
      </c>
    </row>
    <row r="4817" spans="6:7" x14ac:dyDescent="0.35">
      <c r="F4817">
        <v>4812</v>
      </c>
      <c r="G4817" s="102">
        <f t="shared" ca="1" si="79"/>
        <v>-0.10506821853476721</v>
      </c>
    </row>
    <row r="4818" spans="6:7" x14ac:dyDescent="0.35">
      <c r="F4818">
        <v>4813</v>
      </c>
      <c r="G4818" s="102">
        <f t="shared" ca="1" si="79"/>
        <v>-6.5475926374755841E-2</v>
      </c>
    </row>
    <row r="4819" spans="6:7" x14ac:dyDescent="0.35">
      <c r="F4819">
        <v>4814</v>
      </c>
      <c r="G4819" s="102">
        <f t="shared" ca="1" si="79"/>
        <v>7.8068202635287035E-2</v>
      </c>
    </row>
    <row r="4820" spans="6:7" x14ac:dyDescent="0.35">
      <c r="F4820">
        <v>4815</v>
      </c>
      <c r="G4820" s="102">
        <f t="shared" ca="1" si="79"/>
        <v>-1.8280018511490685E-2</v>
      </c>
    </row>
    <row r="4821" spans="6:7" x14ac:dyDescent="0.35">
      <c r="F4821">
        <v>4816</v>
      </c>
      <c r="G4821" s="102">
        <f t="shared" ca="1" si="79"/>
        <v>3.6013608365315114E-2</v>
      </c>
    </row>
    <row r="4822" spans="6:7" x14ac:dyDescent="0.35">
      <c r="F4822">
        <v>4817</v>
      </c>
      <c r="G4822" s="102">
        <f t="shared" ca="1" si="79"/>
        <v>0.12503010381810048</v>
      </c>
    </row>
    <row r="4823" spans="6:7" x14ac:dyDescent="0.35">
      <c r="F4823">
        <v>4818</v>
      </c>
      <c r="G4823" s="102">
        <f t="shared" ca="1" si="79"/>
        <v>-2.4088370791681569E-2</v>
      </c>
    </row>
    <row r="4824" spans="6:7" x14ac:dyDescent="0.35">
      <c r="F4824">
        <v>4819</v>
      </c>
      <c r="G4824" s="102">
        <f t="shared" ca="1" si="79"/>
        <v>9.4468767863096895E-2</v>
      </c>
    </row>
    <row r="4825" spans="6:7" x14ac:dyDescent="0.35">
      <c r="F4825">
        <v>4820</v>
      </c>
      <c r="G4825" s="102">
        <f t="shared" ca="1" si="79"/>
        <v>1.7373342780882955E-2</v>
      </c>
    </row>
    <row r="4826" spans="6:7" x14ac:dyDescent="0.35">
      <c r="F4826">
        <v>4821</v>
      </c>
      <c r="G4826" s="102">
        <f t="shared" ca="1" si="79"/>
        <v>5.4450932702190258E-2</v>
      </c>
    </row>
    <row r="4827" spans="6:7" x14ac:dyDescent="0.35">
      <c r="F4827">
        <v>4822</v>
      </c>
      <c r="G4827" s="102">
        <f t="shared" ca="1" si="79"/>
        <v>4.9233970888242828E-2</v>
      </c>
    </row>
    <row r="4828" spans="6:7" x14ac:dyDescent="0.35">
      <c r="F4828">
        <v>4823</v>
      </c>
      <c r="G4828" s="102">
        <f t="shared" ca="1" si="79"/>
        <v>-0.30642719960478593</v>
      </c>
    </row>
    <row r="4829" spans="6:7" x14ac:dyDescent="0.35">
      <c r="F4829">
        <v>4824</v>
      </c>
      <c r="G4829" s="102">
        <f t="shared" ca="1" si="79"/>
        <v>8.6083659165649959E-2</v>
      </c>
    </row>
    <row r="4830" spans="6:7" x14ac:dyDescent="0.35">
      <c r="F4830">
        <v>4825</v>
      </c>
      <c r="G4830" s="102">
        <f t="shared" ca="1" si="79"/>
        <v>-0.19817384446680394</v>
      </c>
    </row>
    <row r="4831" spans="6:7" x14ac:dyDescent="0.35">
      <c r="F4831">
        <v>4826</v>
      </c>
      <c r="G4831" s="102">
        <f t="shared" ca="1" si="79"/>
        <v>-3.494458289626406E-3</v>
      </c>
    </row>
    <row r="4832" spans="6:7" x14ac:dyDescent="0.35">
      <c r="F4832">
        <v>4827</v>
      </c>
      <c r="G4832" s="102">
        <f t="shared" ca="1" si="79"/>
        <v>2.5086397253297386E-2</v>
      </c>
    </row>
    <row r="4833" spans="6:7" x14ac:dyDescent="0.35">
      <c r="F4833">
        <v>4828</v>
      </c>
      <c r="G4833" s="102">
        <f t="shared" ca="1" si="79"/>
        <v>6.5212565000316858E-3</v>
      </c>
    </row>
    <row r="4834" spans="6:7" x14ac:dyDescent="0.35">
      <c r="F4834">
        <v>4829</v>
      </c>
      <c r="G4834" s="102">
        <f t="shared" ca="1" si="79"/>
        <v>3.9320257220524946E-3</v>
      </c>
    </row>
    <row r="4835" spans="6:7" x14ac:dyDescent="0.35">
      <c r="F4835">
        <v>4830</v>
      </c>
      <c r="G4835" s="102">
        <f t="shared" ca="1" si="79"/>
        <v>-3.9446623275510309E-2</v>
      </c>
    </row>
    <row r="4836" spans="6:7" x14ac:dyDescent="0.35">
      <c r="F4836">
        <v>4831</v>
      </c>
      <c r="G4836" s="102">
        <f t="shared" ca="1" si="79"/>
        <v>-5.2869663398039434E-3</v>
      </c>
    </row>
    <row r="4837" spans="6:7" x14ac:dyDescent="0.35">
      <c r="F4837">
        <v>4832</v>
      </c>
      <c r="G4837" s="102">
        <f t="shared" ca="1" si="79"/>
        <v>8.5037526632063348E-2</v>
      </c>
    </row>
    <row r="4838" spans="6:7" x14ac:dyDescent="0.35">
      <c r="F4838">
        <v>4833</v>
      </c>
      <c r="G4838" s="102">
        <f t="shared" ca="1" si="79"/>
        <v>-5.9511600544185778E-2</v>
      </c>
    </row>
    <row r="4839" spans="6:7" x14ac:dyDescent="0.35">
      <c r="F4839">
        <v>4834</v>
      </c>
      <c r="G4839" s="102">
        <f t="shared" ca="1" si="79"/>
        <v>5.4973880164693456E-2</v>
      </c>
    </row>
    <row r="4840" spans="6:7" x14ac:dyDescent="0.35">
      <c r="F4840">
        <v>4835</v>
      </c>
      <c r="G4840" s="102">
        <f t="shared" ca="1" si="79"/>
        <v>-7.6895071890239836E-2</v>
      </c>
    </row>
    <row r="4841" spans="6:7" x14ac:dyDescent="0.35">
      <c r="F4841">
        <v>4836</v>
      </c>
      <c r="G4841" s="102">
        <f t="shared" ca="1" si="79"/>
        <v>6.4071598603355623E-2</v>
      </c>
    </row>
    <row r="4842" spans="6:7" x14ac:dyDescent="0.35">
      <c r="F4842">
        <v>4837</v>
      </c>
      <c r="G4842" s="102">
        <f t="shared" ca="1" si="79"/>
        <v>-6.52905948071659E-4</v>
      </c>
    </row>
    <row r="4843" spans="6:7" x14ac:dyDescent="0.35">
      <c r="F4843">
        <v>4838</v>
      </c>
      <c r="G4843" s="102">
        <f t="shared" ca="1" si="79"/>
        <v>-5.1717098922787794E-2</v>
      </c>
    </row>
    <row r="4844" spans="6:7" x14ac:dyDescent="0.35">
      <c r="F4844">
        <v>4839</v>
      </c>
      <c r="G4844" s="102">
        <f t="shared" ca="1" si="79"/>
        <v>6.0249123745977046E-2</v>
      </c>
    </row>
    <row r="4845" spans="6:7" x14ac:dyDescent="0.35">
      <c r="F4845">
        <v>4840</v>
      </c>
      <c r="G4845" s="102">
        <f t="shared" ca="1" si="79"/>
        <v>1.0044189790789446E-4</v>
      </c>
    </row>
    <row r="4846" spans="6:7" x14ac:dyDescent="0.35">
      <c r="F4846">
        <v>4841</v>
      </c>
      <c r="G4846" s="102">
        <f t="shared" ca="1" si="79"/>
        <v>-1.7848671646493022E-2</v>
      </c>
    </row>
    <row r="4847" spans="6:7" x14ac:dyDescent="0.35">
      <c r="F4847">
        <v>4842</v>
      </c>
      <c r="G4847" s="102">
        <f t="shared" ca="1" si="79"/>
        <v>-5.1063378368242068E-2</v>
      </c>
    </row>
    <row r="4848" spans="6:7" x14ac:dyDescent="0.35">
      <c r="F4848">
        <v>4843</v>
      </c>
      <c r="G4848" s="102">
        <f t="shared" ca="1" si="79"/>
        <v>0.11297133982282369</v>
      </c>
    </row>
    <row r="4849" spans="6:7" x14ac:dyDescent="0.35">
      <c r="F4849">
        <v>4844</v>
      </c>
      <c r="G4849" s="102">
        <f t="shared" ca="1" si="79"/>
        <v>6.3111197853051981E-4</v>
      </c>
    </row>
    <row r="4850" spans="6:7" x14ac:dyDescent="0.35">
      <c r="F4850">
        <v>4845</v>
      </c>
      <c r="G4850" s="102">
        <f t="shared" ca="1" si="79"/>
        <v>-7.1403184188895324E-2</v>
      </c>
    </row>
    <row r="4851" spans="6:7" x14ac:dyDescent="0.35">
      <c r="F4851">
        <v>4846</v>
      </c>
      <c r="G4851" s="102">
        <f t="shared" ca="1" si="79"/>
        <v>7.455191581954905E-2</v>
      </c>
    </row>
    <row r="4852" spans="6:7" x14ac:dyDescent="0.35">
      <c r="F4852">
        <v>4847</v>
      </c>
      <c r="G4852" s="102">
        <f t="shared" ca="1" si="79"/>
        <v>7.015180132631299E-2</v>
      </c>
    </row>
    <row r="4853" spans="6:7" x14ac:dyDescent="0.35">
      <c r="F4853">
        <v>4848</v>
      </c>
      <c r="G4853" s="102">
        <f t="shared" ca="1" si="79"/>
        <v>-1.2313568395443234E-2</v>
      </c>
    </row>
    <row r="4854" spans="6:7" x14ac:dyDescent="0.35">
      <c r="F4854">
        <v>4849</v>
      </c>
      <c r="G4854" s="102">
        <f t="shared" ca="1" si="79"/>
        <v>-8.4060475000306126E-2</v>
      </c>
    </row>
    <row r="4855" spans="6:7" x14ac:dyDescent="0.35">
      <c r="F4855">
        <v>4850</v>
      </c>
      <c r="G4855" s="102">
        <f t="shared" ca="1" si="79"/>
        <v>7.7337918567623107E-2</v>
      </c>
    </row>
    <row r="4856" spans="6:7" x14ac:dyDescent="0.35">
      <c r="F4856">
        <v>4851</v>
      </c>
      <c r="G4856" s="102">
        <f t="shared" ca="1" si="79"/>
        <v>-0.11605165994467517</v>
      </c>
    </row>
    <row r="4857" spans="6:7" x14ac:dyDescent="0.35">
      <c r="F4857">
        <v>4852</v>
      </c>
      <c r="G4857" s="102">
        <f t="shared" ca="1" si="79"/>
        <v>2.3062305064168457E-2</v>
      </c>
    </row>
    <row r="4858" spans="6:7" x14ac:dyDescent="0.35">
      <c r="F4858">
        <v>4853</v>
      </c>
      <c r="G4858" s="102">
        <f t="shared" ca="1" si="79"/>
        <v>5.4393085762148713E-2</v>
      </c>
    </row>
    <row r="4859" spans="6:7" x14ac:dyDescent="0.35">
      <c r="F4859">
        <v>4854</v>
      </c>
      <c r="G4859" s="102">
        <f t="shared" ca="1" si="79"/>
        <v>5.9204730577441092E-2</v>
      </c>
    </row>
    <row r="4860" spans="6:7" x14ac:dyDescent="0.35">
      <c r="F4860">
        <v>4855</v>
      </c>
      <c r="G4860" s="102">
        <f t="shared" ca="1" si="79"/>
        <v>4.5001819843214413E-2</v>
      </c>
    </row>
    <row r="4861" spans="6:7" x14ac:dyDescent="0.35">
      <c r="F4861">
        <v>4856</v>
      </c>
      <c r="G4861" s="102">
        <f t="shared" ca="1" si="79"/>
        <v>3.1898769219880115E-3</v>
      </c>
    </row>
    <row r="4862" spans="6:7" x14ac:dyDescent="0.35">
      <c r="F4862">
        <v>4857</v>
      </c>
      <c r="G4862" s="102">
        <f t="shared" ca="1" si="79"/>
        <v>-6.5233824565881435E-3</v>
      </c>
    </row>
    <row r="4863" spans="6:7" x14ac:dyDescent="0.35">
      <c r="F4863">
        <v>4858</v>
      </c>
      <c r="G4863" s="102">
        <f t="shared" ca="1" si="79"/>
        <v>-7.123057575579203E-2</v>
      </c>
    </row>
    <row r="4864" spans="6:7" x14ac:dyDescent="0.35">
      <c r="F4864">
        <v>4859</v>
      </c>
      <c r="G4864" s="102">
        <f t="shared" ca="1" si="79"/>
        <v>2.6239631467824553E-2</v>
      </c>
    </row>
    <row r="4865" spans="6:7" x14ac:dyDescent="0.35">
      <c r="F4865">
        <v>4860</v>
      </c>
      <c r="G4865" s="102">
        <f t="shared" ca="1" si="79"/>
        <v>-2.585847731905639E-2</v>
      </c>
    </row>
    <row r="4866" spans="6:7" x14ac:dyDescent="0.35">
      <c r="F4866">
        <v>4861</v>
      </c>
      <c r="G4866" s="102">
        <f t="shared" ca="1" si="79"/>
        <v>-1.5337883097053267E-2</v>
      </c>
    </row>
    <row r="4867" spans="6:7" x14ac:dyDescent="0.35">
      <c r="F4867">
        <v>4862</v>
      </c>
      <c r="G4867" s="102">
        <f t="shared" ca="1" si="79"/>
        <v>-4.6692069580923978E-2</v>
      </c>
    </row>
    <row r="4868" spans="6:7" x14ac:dyDescent="0.35">
      <c r="F4868">
        <v>4863</v>
      </c>
      <c r="G4868" s="102">
        <f t="shared" ca="1" si="79"/>
        <v>-7.1484489502296232E-3</v>
      </c>
    </row>
    <row r="4869" spans="6:7" x14ac:dyDescent="0.35">
      <c r="F4869">
        <v>4864</v>
      </c>
      <c r="G4869" s="102">
        <f t="shared" ca="1" si="79"/>
        <v>-5.607373644375549E-2</v>
      </c>
    </row>
    <row r="4870" spans="6:7" x14ac:dyDescent="0.35">
      <c r="F4870">
        <v>4865</v>
      </c>
      <c r="G4870" s="102">
        <f t="shared" ca="1" si="79"/>
        <v>-4.4751198325438973E-2</v>
      </c>
    </row>
    <row r="4871" spans="6:7" x14ac:dyDescent="0.35">
      <c r="F4871">
        <v>4866</v>
      </c>
      <c r="G4871" s="102">
        <f t="shared" ref="G4871:G4934" ca="1" si="80">_xlfn.NORM.INV(RAND(),M$9,M$10)</f>
        <v>1.2399825739205401E-2</v>
      </c>
    </row>
    <row r="4872" spans="6:7" x14ac:dyDescent="0.35">
      <c r="F4872">
        <v>4867</v>
      </c>
      <c r="G4872" s="102">
        <f t="shared" ca="1" si="80"/>
        <v>3.3446773661588505E-2</v>
      </c>
    </row>
    <row r="4873" spans="6:7" x14ac:dyDescent="0.35">
      <c r="F4873">
        <v>4868</v>
      </c>
      <c r="G4873" s="102">
        <f t="shared" ca="1" si="80"/>
        <v>-6.0543952521678712E-2</v>
      </c>
    </row>
    <row r="4874" spans="6:7" x14ac:dyDescent="0.35">
      <c r="F4874">
        <v>4869</v>
      </c>
      <c r="G4874" s="102">
        <f t="shared" ca="1" si="80"/>
        <v>2.4564376673896209E-2</v>
      </c>
    </row>
    <row r="4875" spans="6:7" x14ac:dyDescent="0.35">
      <c r="F4875">
        <v>4870</v>
      </c>
      <c r="G4875" s="102">
        <f t="shared" ca="1" si="80"/>
        <v>0.11785735345612536</v>
      </c>
    </row>
    <row r="4876" spans="6:7" x14ac:dyDescent="0.35">
      <c r="F4876">
        <v>4871</v>
      </c>
      <c r="G4876" s="102">
        <f t="shared" ca="1" si="80"/>
        <v>0.10778196426738455</v>
      </c>
    </row>
    <row r="4877" spans="6:7" x14ac:dyDescent="0.35">
      <c r="F4877">
        <v>4872</v>
      </c>
      <c r="G4877" s="102">
        <f t="shared" ca="1" si="80"/>
        <v>-1.6336781223975069E-2</v>
      </c>
    </row>
    <row r="4878" spans="6:7" x14ac:dyDescent="0.35">
      <c r="F4878">
        <v>4873</v>
      </c>
      <c r="G4878" s="102">
        <f t="shared" ca="1" si="80"/>
        <v>-7.6242087930663824E-2</v>
      </c>
    </row>
    <row r="4879" spans="6:7" x14ac:dyDescent="0.35">
      <c r="F4879">
        <v>4874</v>
      </c>
      <c r="G4879" s="102">
        <f t="shared" ca="1" si="80"/>
        <v>-6.150762960662097E-2</v>
      </c>
    </row>
    <row r="4880" spans="6:7" x14ac:dyDescent="0.35">
      <c r="F4880">
        <v>4875</v>
      </c>
      <c r="G4880" s="102">
        <f t="shared" ca="1" si="80"/>
        <v>3.6676850062844032E-2</v>
      </c>
    </row>
    <row r="4881" spans="6:7" x14ac:dyDescent="0.35">
      <c r="F4881">
        <v>4876</v>
      </c>
      <c r="G4881" s="102">
        <f t="shared" ca="1" si="80"/>
        <v>-5.3157539188368019E-2</v>
      </c>
    </row>
    <row r="4882" spans="6:7" x14ac:dyDescent="0.35">
      <c r="F4882">
        <v>4877</v>
      </c>
      <c r="G4882" s="102">
        <f t="shared" ca="1" si="80"/>
        <v>-2.0274815182757408E-2</v>
      </c>
    </row>
    <row r="4883" spans="6:7" x14ac:dyDescent="0.35">
      <c r="F4883">
        <v>4878</v>
      </c>
      <c r="G4883" s="102">
        <f t="shared" ca="1" si="80"/>
        <v>-1.701621934090158E-2</v>
      </c>
    </row>
    <row r="4884" spans="6:7" x14ac:dyDescent="0.35">
      <c r="F4884">
        <v>4879</v>
      </c>
      <c r="G4884" s="102">
        <f t="shared" ca="1" si="80"/>
        <v>1.8797127898349166E-3</v>
      </c>
    </row>
    <row r="4885" spans="6:7" x14ac:dyDescent="0.35">
      <c r="F4885">
        <v>4880</v>
      </c>
      <c r="G4885" s="102">
        <f t="shared" ca="1" si="80"/>
        <v>4.8966746076151042E-3</v>
      </c>
    </row>
    <row r="4886" spans="6:7" x14ac:dyDescent="0.35">
      <c r="F4886">
        <v>4881</v>
      </c>
      <c r="G4886" s="102">
        <f t="shared" ca="1" si="80"/>
        <v>7.3466470214878704E-2</v>
      </c>
    </row>
    <row r="4887" spans="6:7" x14ac:dyDescent="0.35">
      <c r="F4887">
        <v>4882</v>
      </c>
      <c r="G4887" s="102">
        <f t="shared" ca="1" si="80"/>
        <v>6.1144869673175992E-2</v>
      </c>
    </row>
    <row r="4888" spans="6:7" x14ac:dyDescent="0.35">
      <c r="F4888">
        <v>4883</v>
      </c>
      <c r="G4888" s="102">
        <f t="shared" ca="1" si="80"/>
        <v>9.9472436239011267E-2</v>
      </c>
    </row>
    <row r="4889" spans="6:7" x14ac:dyDescent="0.35">
      <c r="F4889">
        <v>4884</v>
      </c>
      <c r="G4889" s="102">
        <f t="shared" ca="1" si="80"/>
        <v>2.7435064695814689E-2</v>
      </c>
    </row>
    <row r="4890" spans="6:7" x14ac:dyDescent="0.35">
      <c r="F4890">
        <v>4885</v>
      </c>
      <c r="G4890" s="102">
        <f t="shared" ca="1" si="80"/>
        <v>-0.11178050133115684</v>
      </c>
    </row>
    <row r="4891" spans="6:7" x14ac:dyDescent="0.35">
      <c r="F4891">
        <v>4886</v>
      </c>
      <c r="G4891" s="102">
        <f t="shared" ca="1" si="80"/>
        <v>8.6273342594526001E-2</v>
      </c>
    </row>
    <row r="4892" spans="6:7" x14ac:dyDescent="0.35">
      <c r="F4892">
        <v>4887</v>
      </c>
      <c r="G4892" s="102">
        <f t="shared" ca="1" si="80"/>
        <v>-4.5649524133198798E-3</v>
      </c>
    </row>
    <row r="4893" spans="6:7" x14ac:dyDescent="0.35">
      <c r="F4893">
        <v>4888</v>
      </c>
      <c r="G4893" s="102">
        <f t="shared" ca="1" si="80"/>
        <v>-4.4958511220813041E-2</v>
      </c>
    </row>
    <row r="4894" spans="6:7" x14ac:dyDescent="0.35">
      <c r="F4894">
        <v>4889</v>
      </c>
      <c r="G4894" s="102">
        <f t="shared" ca="1" si="80"/>
        <v>1.4302122688790858E-2</v>
      </c>
    </row>
    <row r="4895" spans="6:7" x14ac:dyDescent="0.35">
      <c r="F4895">
        <v>4890</v>
      </c>
      <c r="G4895" s="102">
        <f t="shared" ca="1" si="80"/>
        <v>2.015807657683262E-2</v>
      </c>
    </row>
    <row r="4896" spans="6:7" x14ac:dyDescent="0.35">
      <c r="F4896">
        <v>4891</v>
      </c>
      <c r="G4896" s="102">
        <f t="shared" ca="1" si="80"/>
        <v>1.4910420620951027E-2</v>
      </c>
    </row>
    <row r="4897" spans="6:7" x14ac:dyDescent="0.35">
      <c r="F4897">
        <v>4892</v>
      </c>
      <c r="G4897" s="102">
        <f t="shared" ca="1" si="80"/>
        <v>2.7599050777975458E-2</v>
      </c>
    </row>
    <row r="4898" spans="6:7" x14ac:dyDescent="0.35">
      <c r="F4898">
        <v>4893</v>
      </c>
      <c r="G4898" s="102">
        <f t="shared" ca="1" si="80"/>
        <v>2.0149694400805693E-2</v>
      </c>
    </row>
    <row r="4899" spans="6:7" x14ac:dyDescent="0.35">
      <c r="F4899">
        <v>4894</v>
      </c>
      <c r="G4899" s="102">
        <f t="shared" ca="1" si="80"/>
        <v>1.5254916346935602E-3</v>
      </c>
    </row>
    <row r="4900" spans="6:7" x14ac:dyDescent="0.35">
      <c r="F4900">
        <v>4895</v>
      </c>
      <c r="G4900" s="102">
        <f t="shared" ca="1" si="80"/>
        <v>1.4738806857101109E-2</v>
      </c>
    </row>
    <row r="4901" spans="6:7" x14ac:dyDescent="0.35">
      <c r="F4901">
        <v>4896</v>
      </c>
      <c r="G4901" s="102">
        <f t="shared" ca="1" si="80"/>
        <v>1.2858908462258064E-2</v>
      </c>
    </row>
    <row r="4902" spans="6:7" x14ac:dyDescent="0.35">
      <c r="F4902">
        <v>4897</v>
      </c>
      <c r="G4902" s="102">
        <f t="shared" ca="1" si="80"/>
        <v>-2.9258976171840704E-2</v>
      </c>
    </row>
    <row r="4903" spans="6:7" x14ac:dyDescent="0.35">
      <c r="F4903">
        <v>4898</v>
      </c>
      <c r="G4903" s="102">
        <f t="shared" ca="1" si="80"/>
        <v>7.1660067324768942E-3</v>
      </c>
    </row>
    <row r="4904" spans="6:7" x14ac:dyDescent="0.35">
      <c r="F4904">
        <v>4899</v>
      </c>
      <c r="G4904" s="102">
        <f t="shared" ca="1" si="80"/>
        <v>-2.1725522628223991E-2</v>
      </c>
    </row>
    <row r="4905" spans="6:7" x14ac:dyDescent="0.35">
      <c r="F4905">
        <v>4900</v>
      </c>
      <c r="G4905" s="102">
        <f t="shared" ca="1" si="80"/>
        <v>-5.2635202763161693E-2</v>
      </c>
    </row>
    <row r="4906" spans="6:7" x14ac:dyDescent="0.35">
      <c r="F4906">
        <v>4901</v>
      </c>
      <c r="G4906" s="102">
        <f t="shared" ca="1" si="80"/>
        <v>6.1699441876381739E-2</v>
      </c>
    </row>
    <row r="4907" spans="6:7" x14ac:dyDescent="0.35">
      <c r="F4907">
        <v>4902</v>
      </c>
      <c r="G4907" s="102">
        <f t="shared" ca="1" si="80"/>
        <v>-6.7674732814590688E-2</v>
      </c>
    </row>
    <row r="4908" spans="6:7" x14ac:dyDescent="0.35">
      <c r="F4908">
        <v>4903</v>
      </c>
      <c r="G4908" s="102">
        <f t="shared" ca="1" si="80"/>
        <v>-4.8145582786548194E-2</v>
      </c>
    </row>
    <row r="4909" spans="6:7" x14ac:dyDescent="0.35">
      <c r="F4909">
        <v>4904</v>
      </c>
      <c r="G4909" s="102">
        <f t="shared" ca="1" si="80"/>
        <v>5.3872466322227738E-2</v>
      </c>
    </row>
    <row r="4910" spans="6:7" x14ac:dyDescent="0.35">
      <c r="F4910">
        <v>4905</v>
      </c>
      <c r="G4910" s="102">
        <f t="shared" ca="1" si="80"/>
        <v>-2.8162294161914642E-2</v>
      </c>
    </row>
    <row r="4911" spans="6:7" x14ac:dyDescent="0.35">
      <c r="F4911">
        <v>4906</v>
      </c>
      <c r="G4911" s="102">
        <f t="shared" ca="1" si="80"/>
        <v>2.795163325670599E-2</v>
      </c>
    </row>
    <row r="4912" spans="6:7" x14ac:dyDescent="0.35">
      <c r="F4912">
        <v>4907</v>
      </c>
      <c r="G4912" s="102">
        <f t="shared" ca="1" si="80"/>
        <v>2.2390027342870426E-2</v>
      </c>
    </row>
    <row r="4913" spans="6:7" x14ac:dyDescent="0.35">
      <c r="F4913">
        <v>4908</v>
      </c>
      <c r="G4913" s="102">
        <f t="shared" ca="1" si="80"/>
        <v>-6.9746216573819964E-3</v>
      </c>
    </row>
    <row r="4914" spans="6:7" x14ac:dyDescent="0.35">
      <c r="F4914">
        <v>4909</v>
      </c>
      <c r="G4914" s="102">
        <f t="shared" ca="1" si="80"/>
        <v>-1.5144864146518322E-3</v>
      </c>
    </row>
    <row r="4915" spans="6:7" x14ac:dyDescent="0.35">
      <c r="F4915">
        <v>4910</v>
      </c>
      <c r="G4915" s="102">
        <f t="shared" ca="1" si="80"/>
        <v>-6.5347159206159203E-2</v>
      </c>
    </row>
    <row r="4916" spans="6:7" x14ac:dyDescent="0.35">
      <c r="F4916">
        <v>4911</v>
      </c>
      <c r="G4916" s="102">
        <f t="shared" ca="1" si="80"/>
        <v>5.3349657932199278E-3</v>
      </c>
    </row>
    <row r="4917" spans="6:7" x14ac:dyDescent="0.35">
      <c r="F4917">
        <v>4912</v>
      </c>
      <c r="G4917" s="102">
        <f t="shared" ca="1" si="80"/>
        <v>1.6002273428233186E-2</v>
      </c>
    </row>
    <row r="4918" spans="6:7" x14ac:dyDescent="0.35">
      <c r="F4918">
        <v>4913</v>
      </c>
      <c r="G4918" s="102">
        <f t="shared" ca="1" si="80"/>
        <v>-5.5804026481981628E-2</v>
      </c>
    </row>
    <row r="4919" spans="6:7" x14ac:dyDescent="0.35">
      <c r="F4919">
        <v>4914</v>
      </c>
      <c r="G4919" s="102">
        <f t="shared" ca="1" si="80"/>
        <v>-0.1818409748180505</v>
      </c>
    </row>
    <row r="4920" spans="6:7" x14ac:dyDescent="0.35">
      <c r="F4920">
        <v>4915</v>
      </c>
      <c r="G4920" s="102">
        <f t="shared" ca="1" si="80"/>
        <v>-1.9560010603269267E-2</v>
      </c>
    </row>
    <row r="4921" spans="6:7" x14ac:dyDescent="0.35">
      <c r="F4921">
        <v>4916</v>
      </c>
      <c r="G4921" s="102">
        <f t="shared" ca="1" si="80"/>
        <v>3.3840286141597592E-2</v>
      </c>
    </row>
    <row r="4922" spans="6:7" x14ac:dyDescent="0.35">
      <c r="F4922">
        <v>4917</v>
      </c>
      <c r="G4922" s="102">
        <f t="shared" ca="1" si="80"/>
        <v>-4.149490960642617E-2</v>
      </c>
    </row>
    <row r="4923" spans="6:7" x14ac:dyDescent="0.35">
      <c r="F4923">
        <v>4918</v>
      </c>
      <c r="G4923" s="102">
        <f t="shared" ca="1" si="80"/>
        <v>-2.7960362521711652E-2</v>
      </c>
    </row>
    <row r="4924" spans="6:7" x14ac:dyDescent="0.35">
      <c r="F4924">
        <v>4919</v>
      </c>
      <c r="G4924" s="102">
        <f t="shared" ca="1" si="80"/>
        <v>-7.5526222552522296E-2</v>
      </c>
    </row>
    <row r="4925" spans="6:7" x14ac:dyDescent="0.35">
      <c r="F4925">
        <v>4920</v>
      </c>
      <c r="G4925" s="102">
        <f t="shared" ca="1" si="80"/>
        <v>-3.5092386254242641E-3</v>
      </c>
    </row>
    <row r="4926" spans="6:7" x14ac:dyDescent="0.35">
      <c r="F4926">
        <v>4921</v>
      </c>
      <c r="G4926" s="102">
        <f t="shared" ca="1" si="80"/>
        <v>-6.1430447447387626E-2</v>
      </c>
    </row>
    <row r="4927" spans="6:7" x14ac:dyDescent="0.35">
      <c r="F4927">
        <v>4922</v>
      </c>
      <c r="G4927" s="102">
        <f t="shared" ca="1" si="80"/>
        <v>0.1016221259521103</v>
      </c>
    </row>
    <row r="4928" spans="6:7" x14ac:dyDescent="0.35">
      <c r="F4928">
        <v>4923</v>
      </c>
      <c r="G4928" s="102">
        <f t="shared" ca="1" si="80"/>
        <v>6.6914060210650481E-2</v>
      </c>
    </row>
    <row r="4929" spans="6:7" x14ac:dyDescent="0.35">
      <c r="F4929">
        <v>4924</v>
      </c>
      <c r="G4929" s="102">
        <f t="shared" ca="1" si="80"/>
        <v>2.3259244438354618E-2</v>
      </c>
    </row>
    <row r="4930" spans="6:7" x14ac:dyDescent="0.35">
      <c r="F4930">
        <v>4925</v>
      </c>
      <c r="G4930" s="102">
        <f t="shared" ca="1" si="80"/>
        <v>0.13386098000202454</v>
      </c>
    </row>
    <row r="4931" spans="6:7" x14ac:dyDescent="0.35">
      <c r="F4931">
        <v>4926</v>
      </c>
      <c r="G4931" s="102">
        <f t="shared" ca="1" si="80"/>
        <v>-0.10919288605830736</v>
      </c>
    </row>
    <row r="4932" spans="6:7" x14ac:dyDescent="0.35">
      <c r="F4932">
        <v>4927</v>
      </c>
      <c r="G4932" s="102">
        <f t="shared" ca="1" si="80"/>
        <v>-7.5015834096812672E-2</v>
      </c>
    </row>
    <row r="4933" spans="6:7" x14ac:dyDescent="0.35">
      <c r="F4933">
        <v>4928</v>
      </c>
      <c r="G4933" s="102">
        <f t="shared" ca="1" si="80"/>
        <v>1.4410007284166988E-2</v>
      </c>
    </row>
    <row r="4934" spans="6:7" x14ac:dyDescent="0.35">
      <c r="F4934">
        <v>4929</v>
      </c>
      <c r="G4934" s="102">
        <f t="shared" ca="1" si="80"/>
        <v>2.2480477586286698E-2</v>
      </c>
    </row>
    <row r="4935" spans="6:7" x14ac:dyDescent="0.35">
      <c r="F4935">
        <v>4930</v>
      </c>
      <c r="G4935" s="102">
        <f t="shared" ref="G4935:G4998" ca="1" si="81">_xlfn.NORM.INV(RAND(),M$9,M$10)</f>
        <v>-4.5454104623704722E-2</v>
      </c>
    </row>
    <row r="4936" spans="6:7" x14ac:dyDescent="0.35">
      <c r="F4936">
        <v>4931</v>
      </c>
      <c r="G4936" s="102">
        <f t="shared" ca="1" si="81"/>
        <v>-1.1761917115476207E-2</v>
      </c>
    </row>
    <row r="4937" spans="6:7" x14ac:dyDescent="0.35">
      <c r="F4937">
        <v>4932</v>
      </c>
      <c r="G4937" s="102">
        <f t="shared" ca="1" si="81"/>
        <v>-0.1399784996266317</v>
      </c>
    </row>
    <row r="4938" spans="6:7" x14ac:dyDescent="0.35">
      <c r="F4938">
        <v>4933</v>
      </c>
      <c r="G4938" s="102">
        <f t="shared" ca="1" si="81"/>
        <v>2.3384764649473398E-2</v>
      </c>
    </row>
    <row r="4939" spans="6:7" x14ac:dyDescent="0.35">
      <c r="F4939">
        <v>4934</v>
      </c>
      <c r="G4939" s="102">
        <f t="shared" ca="1" si="81"/>
        <v>1.9316381662119037E-2</v>
      </c>
    </row>
    <row r="4940" spans="6:7" x14ac:dyDescent="0.35">
      <c r="F4940">
        <v>4935</v>
      </c>
      <c r="G4940" s="102">
        <f t="shared" ca="1" si="81"/>
        <v>7.3078202849126937E-3</v>
      </c>
    </row>
    <row r="4941" spans="6:7" x14ac:dyDescent="0.35">
      <c r="F4941">
        <v>4936</v>
      </c>
      <c r="G4941" s="102">
        <f t="shared" ca="1" si="81"/>
        <v>-7.6732056434032067E-2</v>
      </c>
    </row>
    <row r="4942" spans="6:7" x14ac:dyDescent="0.35">
      <c r="F4942">
        <v>4937</v>
      </c>
      <c r="G4942" s="102">
        <f t="shared" ca="1" si="81"/>
        <v>3.1314097277205591E-2</v>
      </c>
    </row>
    <row r="4943" spans="6:7" x14ac:dyDescent="0.35">
      <c r="F4943">
        <v>4938</v>
      </c>
      <c r="G4943" s="102">
        <f t="shared" ca="1" si="81"/>
        <v>6.5314105633033595E-2</v>
      </c>
    </row>
    <row r="4944" spans="6:7" x14ac:dyDescent="0.35">
      <c r="F4944">
        <v>4939</v>
      </c>
      <c r="G4944" s="102">
        <f t="shared" ca="1" si="81"/>
        <v>-0.10106466307007519</v>
      </c>
    </row>
    <row r="4945" spans="6:7" x14ac:dyDescent="0.35">
      <c r="F4945">
        <v>4940</v>
      </c>
      <c r="G4945" s="102">
        <f t="shared" ca="1" si="81"/>
        <v>2.1105378667622483E-2</v>
      </c>
    </row>
    <row r="4946" spans="6:7" x14ac:dyDescent="0.35">
      <c r="F4946">
        <v>4941</v>
      </c>
      <c r="G4946" s="102">
        <f t="shared" ca="1" si="81"/>
        <v>2.4664183018560333E-2</v>
      </c>
    </row>
    <row r="4947" spans="6:7" x14ac:dyDescent="0.35">
      <c r="F4947">
        <v>4942</v>
      </c>
      <c r="G4947" s="102">
        <f t="shared" ca="1" si="81"/>
        <v>-2.8180887105395035E-2</v>
      </c>
    </row>
    <row r="4948" spans="6:7" x14ac:dyDescent="0.35">
      <c r="F4948">
        <v>4943</v>
      </c>
      <c r="G4948" s="102">
        <f t="shared" ca="1" si="81"/>
        <v>8.1178623571502698E-2</v>
      </c>
    </row>
    <row r="4949" spans="6:7" x14ac:dyDescent="0.35">
      <c r="F4949">
        <v>4944</v>
      </c>
      <c r="G4949" s="102">
        <f t="shared" ca="1" si="81"/>
        <v>6.0639410805879854E-2</v>
      </c>
    </row>
    <row r="4950" spans="6:7" x14ac:dyDescent="0.35">
      <c r="F4950">
        <v>4945</v>
      </c>
      <c r="G4950" s="102">
        <f t="shared" ca="1" si="81"/>
        <v>3.3030847184371492E-2</v>
      </c>
    </row>
    <row r="4951" spans="6:7" x14ac:dyDescent="0.35">
      <c r="F4951">
        <v>4946</v>
      </c>
      <c r="G4951" s="102">
        <f t="shared" ca="1" si="81"/>
        <v>-4.9600355144952951E-2</v>
      </c>
    </row>
    <row r="4952" spans="6:7" x14ac:dyDescent="0.35">
      <c r="F4952">
        <v>4947</v>
      </c>
      <c r="G4952" s="102">
        <f t="shared" ca="1" si="81"/>
        <v>4.6574092048967924E-2</v>
      </c>
    </row>
    <row r="4953" spans="6:7" x14ac:dyDescent="0.35">
      <c r="F4953">
        <v>4948</v>
      </c>
      <c r="G4953" s="102">
        <f t="shared" ca="1" si="81"/>
        <v>3.4772439725720625E-2</v>
      </c>
    </row>
    <row r="4954" spans="6:7" x14ac:dyDescent="0.35">
      <c r="F4954">
        <v>4949</v>
      </c>
      <c r="G4954" s="102">
        <f t="shared" ca="1" si="81"/>
        <v>6.2344935395714257E-2</v>
      </c>
    </row>
    <row r="4955" spans="6:7" x14ac:dyDescent="0.35">
      <c r="F4955">
        <v>4950</v>
      </c>
      <c r="G4955" s="102">
        <f t="shared" ca="1" si="81"/>
        <v>4.0381010022189107E-2</v>
      </c>
    </row>
    <row r="4956" spans="6:7" x14ac:dyDescent="0.35">
      <c r="F4956">
        <v>4951</v>
      </c>
      <c r="G4956" s="102">
        <f t="shared" ca="1" si="81"/>
        <v>6.900259267234185E-2</v>
      </c>
    </row>
    <row r="4957" spans="6:7" x14ac:dyDescent="0.35">
      <c r="F4957">
        <v>4952</v>
      </c>
      <c r="G4957" s="102">
        <f t="shared" ca="1" si="81"/>
        <v>1.5920487688070296E-2</v>
      </c>
    </row>
    <row r="4958" spans="6:7" x14ac:dyDescent="0.35">
      <c r="F4958">
        <v>4953</v>
      </c>
      <c r="G4958" s="102">
        <f t="shared" ca="1" si="81"/>
        <v>0.10844377411382458</v>
      </c>
    </row>
    <row r="4959" spans="6:7" x14ac:dyDescent="0.35">
      <c r="F4959">
        <v>4954</v>
      </c>
      <c r="G4959" s="102">
        <f t="shared" ca="1" si="81"/>
        <v>3.3370379618557128E-2</v>
      </c>
    </row>
    <row r="4960" spans="6:7" x14ac:dyDescent="0.35">
      <c r="F4960">
        <v>4955</v>
      </c>
      <c r="G4960" s="102">
        <f t="shared" ca="1" si="81"/>
        <v>-5.1058702722062768E-2</v>
      </c>
    </row>
    <row r="4961" spans="6:7" x14ac:dyDescent="0.35">
      <c r="F4961">
        <v>4956</v>
      </c>
      <c r="G4961" s="102">
        <f t="shared" ca="1" si="81"/>
        <v>-1.5192376511447841E-2</v>
      </c>
    </row>
    <row r="4962" spans="6:7" x14ac:dyDescent="0.35">
      <c r="F4962">
        <v>4957</v>
      </c>
      <c r="G4962" s="102">
        <f t="shared" ca="1" si="81"/>
        <v>-3.47853247182561E-2</v>
      </c>
    </row>
    <row r="4963" spans="6:7" x14ac:dyDescent="0.35">
      <c r="F4963">
        <v>4958</v>
      </c>
      <c r="G4963" s="102">
        <f t="shared" ca="1" si="81"/>
        <v>-7.9122481601748396E-2</v>
      </c>
    </row>
    <row r="4964" spans="6:7" x14ac:dyDescent="0.35">
      <c r="F4964">
        <v>4959</v>
      </c>
      <c r="G4964" s="102">
        <f t="shared" ca="1" si="81"/>
        <v>3.8889511840439428E-2</v>
      </c>
    </row>
    <row r="4965" spans="6:7" x14ac:dyDescent="0.35">
      <c r="F4965">
        <v>4960</v>
      </c>
      <c r="G4965" s="102">
        <f t="shared" ca="1" si="81"/>
        <v>1.3050845759889863E-3</v>
      </c>
    </row>
    <row r="4966" spans="6:7" x14ac:dyDescent="0.35">
      <c r="F4966">
        <v>4961</v>
      </c>
      <c r="G4966" s="102">
        <f t="shared" ca="1" si="81"/>
        <v>-1.5808704105687115E-2</v>
      </c>
    </row>
    <row r="4967" spans="6:7" x14ac:dyDescent="0.35">
      <c r="F4967">
        <v>4962</v>
      </c>
      <c r="G4967" s="102">
        <f t="shared" ca="1" si="81"/>
        <v>-3.3032702516365683E-2</v>
      </c>
    </row>
    <row r="4968" spans="6:7" x14ac:dyDescent="0.35">
      <c r="F4968">
        <v>4963</v>
      </c>
      <c r="G4968" s="102">
        <f t="shared" ca="1" si="81"/>
        <v>-6.1592346347777494E-2</v>
      </c>
    </row>
    <row r="4969" spans="6:7" x14ac:dyDescent="0.35">
      <c r="F4969">
        <v>4964</v>
      </c>
      <c r="G4969" s="102">
        <f t="shared" ca="1" si="81"/>
        <v>7.2593748275734005E-2</v>
      </c>
    </row>
    <row r="4970" spans="6:7" x14ac:dyDescent="0.35">
      <c r="F4970">
        <v>4965</v>
      </c>
      <c r="G4970" s="102">
        <f t="shared" ca="1" si="81"/>
        <v>-7.4329792363583447E-2</v>
      </c>
    </row>
    <row r="4971" spans="6:7" x14ac:dyDescent="0.35">
      <c r="F4971">
        <v>4966</v>
      </c>
      <c r="G4971" s="102">
        <f t="shared" ca="1" si="81"/>
        <v>6.0882410098059572E-2</v>
      </c>
    </row>
    <row r="4972" spans="6:7" x14ac:dyDescent="0.35">
      <c r="F4972">
        <v>4967</v>
      </c>
      <c r="G4972" s="102">
        <f t="shared" ca="1" si="81"/>
        <v>-6.1312269191022201E-2</v>
      </c>
    </row>
    <row r="4973" spans="6:7" x14ac:dyDescent="0.35">
      <c r="F4973">
        <v>4968</v>
      </c>
      <c r="G4973" s="102">
        <f t="shared" ca="1" si="81"/>
        <v>-1.8507484963802889E-2</v>
      </c>
    </row>
    <row r="4974" spans="6:7" x14ac:dyDescent="0.35">
      <c r="F4974">
        <v>4969</v>
      </c>
      <c r="G4974" s="102">
        <f t="shared" ca="1" si="81"/>
        <v>7.1796199377660366E-2</v>
      </c>
    </row>
    <row r="4975" spans="6:7" x14ac:dyDescent="0.35">
      <c r="F4975">
        <v>4970</v>
      </c>
      <c r="G4975" s="102">
        <f t="shared" ca="1" si="81"/>
        <v>-5.0172852526625261E-2</v>
      </c>
    </row>
    <row r="4976" spans="6:7" x14ac:dyDescent="0.35">
      <c r="F4976">
        <v>4971</v>
      </c>
      <c r="G4976" s="102">
        <f t="shared" ca="1" si="81"/>
        <v>-0.13473919698670386</v>
      </c>
    </row>
    <row r="4977" spans="6:7" x14ac:dyDescent="0.35">
      <c r="F4977">
        <v>4972</v>
      </c>
      <c r="G4977" s="102">
        <f t="shared" ca="1" si="81"/>
        <v>-0.14484834732998289</v>
      </c>
    </row>
    <row r="4978" spans="6:7" x14ac:dyDescent="0.35">
      <c r="F4978">
        <v>4973</v>
      </c>
      <c r="G4978" s="102">
        <f t="shared" ca="1" si="81"/>
        <v>8.4428166674616723E-2</v>
      </c>
    </row>
    <row r="4979" spans="6:7" x14ac:dyDescent="0.35">
      <c r="F4979">
        <v>4974</v>
      </c>
      <c r="G4979" s="102">
        <f t="shared" ca="1" si="81"/>
        <v>-6.7002688288425982E-2</v>
      </c>
    </row>
    <row r="4980" spans="6:7" x14ac:dyDescent="0.35">
      <c r="F4980">
        <v>4975</v>
      </c>
      <c r="G4980" s="102">
        <f t="shared" ca="1" si="81"/>
        <v>-0.10868589322183808</v>
      </c>
    </row>
    <row r="4981" spans="6:7" x14ac:dyDescent="0.35">
      <c r="F4981">
        <v>4976</v>
      </c>
      <c r="G4981" s="102">
        <f t="shared" ca="1" si="81"/>
        <v>-0.1684910395272744</v>
      </c>
    </row>
    <row r="4982" spans="6:7" x14ac:dyDescent="0.35">
      <c r="F4982">
        <v>4977</v>
      </c>
      <c r="G4982" s="102">
        <f t="shared" ca="1" si="81"/>
        <v>-1.8456203920932696E-2</v>
      </c>
    </row>
    <row r="4983" spans="6:7" x14ac:dyDescent="0.35">
      <c r="F4983">
        <v>4978</v>
      </c>
      <c r="G4983" s="102">
        <f t="shared" ca="1" si="81"/>
        <v>7.6944019438175915E-2</v>
      </c>
    </row>
    <row r="4984" spans="6:7" x14ac:dyDescent="0.35">
      <c r="F4984">
        <v>4979</v>
      </c>
      <c r="G4984" s="102">
        <f t="shared" ca="1" si="81"/>
        <v>-2.7131871783713877E-2</v>
      </c>
    </row>
    <row r="4985" spans="6:7" x14ac:dyDescent="0.35">
      <c r="F4985">
        <v>4980</v>
      </c>
      <c r="G4985" s="102">
        <f t="shared" ca="1" si="81"/>
        <v>-4.050276826919233E-2</v>
      </c>
    </row>
    <row r="4986" spans="6:7" x14ac:dyDescent="0.35">
      <c r="F4986">
        <v>4981</v>
      </c>
      <c r="G4986" s="102">
        <f t="shared" ca="1" si="81"/>
        <v>-4.1718200810064263E-2</v>
      </c>
    </row>
    <row r="4987" spans="6:7" x14ac:dyDescent="0.35">
      <c r="F4987">
        <v>4982</v>
      </c>
      <c r="G4987" s="102">
        <f t="shared" ca="1" si="81"/>
        <v>1.960078091544834E-2</v>
      </c>
    </row>
    <row r="4988" spans="6:7" x14ac:dyDescent="0.35">
      <c r="F4988">
        <v>4983</v>
      </c>
      <c r="G4988" s="102">
        <f t="shared" ca="1" si="81"/>
        <v>-8.2176993994711636E-2</v>
      </c>
    </row>
    <row r="4989" spans="6:7" x14ac:dyDescent="0.35">
      <c r="F4989">
        <v>4984</v>
      </c>
      <c r="G4989" s="102">
        <f t="shared" ca="1" si="81"/>
        <v>2.6252898351646129E-2</v>
      </c>
    </row>
    <row r="4990" spans="6:7" x14ac:dyDescent="0.35">
      <c r="F4990">
        <v>4985</v>
      </c>
      <c r="G4990" s="102">
        <f t="shared" ca="1" si="81"/>
        <v>-0.11635763998058689</v>
      </c>
    </row>
    <row r="4991" spans="6:7" x14ac:dyDescent="0.35">
      <c r="F4991">
        <v>4986</v>
      </c>
      <c r="G4991" s="102">
        <f t="shared" ca="1" si="81"/>
        <v>-3.0065377772296252E-2</v>
      </c>
    </row>
    <row r="4992" spans="6:7" x14ac:dyDescent="0.35">
      <c r="F4992">
        <v>4987</v>
      </c>
      <c r="G4992" s="102">
        <f t="shared" ca="1" si="81"/>
        <v>-3.5026524254901603E-2</v>
      </c>
    </row>
    <row r="4993" spans="6:7" x14ac:dyDescent="0.35">
      <c r="F4993">
        <v>4988</v>
      </c>
      <c r="G4993" s="102">
        <f t="shared" ca="1" si="81"/>
        <v>-4.7729647383702167E-2</v>
      </c>
    </row>
    <row r="4994" spans="6:7" x14ac:dyDescent="0.35">
      <c r="F4994">
        <v>4989</v>
      </c>
      <c r="G4994" s="102">
        <f t="shared" ca="1" si="81"/>
        <v>6.4429024089468403E-3</v>
      </c>
    </row>
    <row r="4995" spans="6:7" x14ac:dyDescent="0.35">
      <c r="F4995">
        <v>4990</v>
      </c>
      <c r="G4995" s="102">
        <f t="shared" ca="1" si="81"/>
        <v>9.8627315275865227E-3</v>
      </c>
    </row>
    <row r="4996" spans="6:7" x14ac:dyDescent="0.35">
      <c r="F4996">
        <v>4991</v>
      </c>
      <c r="G4996" s="102">
        <f t="shared" ca="1" si="81"/>
        <v>-0.15266997104252339</v>
      </c>
    </row>
    <row r="4997" spans="6:7" x14ac:dyDescent="0.35">
      <c r="F4997">
        <v>4992</v>
      </c>
      <c r="G4997" s="102">
        <f t="shared" ca="1" si="81"/>
        <v>0.10433373683985082</v>
      </c>
    </row>
    <row r="4998" spans="6:7" x14ac:dyDescent="0.35">
      <c r="F4998">
        <v>4993</v>
      </c>
      <c r="G4998" s="102">
        <f t="shared" ca="1" si="81"/>
        <v>4.6844548031777122E-2</v>
      </c>
    </row>
    <row r="4999" spans="6:7" x14ac:dyDescent="0.35">
      <c r="F4999">
        <v>4994</v>
      </c>
      <c r="G4999" s="102">
        <f t="shared" ref="G4999:G5062" ca="1" si="82">_xlfn.NORM.INV(RAND(),M$9,M$10)</f>
        <v>4.343771907075647E-2</v>
      </c>
    </row>
    <row r="5000" spans="6:7" x14ac:dyDescent="0.35">
      <c r="F5000">
        <v>4995</v>
      </c>
      <c r="G5000" s="102">
        <f t="shared" ca="1" si="82"/>
        <v>-6.9720336570608624E-2</v>
      </c>
    </row>
    <row r="5001" spans="6:7" x14ac:dyDescent="0.35">
      <c r="F5001">
        <v>4996</v>
      </c>
      <c r="G5001" s="102">
        <f t="shared" ca="1" si="82"/>
        <v>3.7240828056341824E-2</v>
      </c>
    </row>
    <row r="5002" spans="6:7" x14ac:dyDescent="0.35">
      <c r="F5002">
        <v>4997</v>
      </c>
      <c r="G5002" s="102">
        <f t="shared" ca="1" si="82"/>
        <v>6.7018262408255119E-2</v>
      </c>
    </row>
    <row r="5003" spans="6:7" x14ac:dyDescent="0.35">
      <c r="F5003">
        <v>4998</v>
      </c>
      <c r="G5003" s="102">
        <f t="shared" ca="1" si="82"/>
        <v>0.13989999936131656</v>
      </c>
    </row>
    <row r="5004" spans="6:7" x14ac:dyDescent="0.35">
      <c r="F5004">
        <v>4999</v>
      </c>
      <c r="G5004" s="102">
        <f t="shared" ca="1" si="82"/>
        <v>4.2154391954781892E-2</v>
      </c>
    </row>
    <row r="5005" spans="6:7" x14ac:dyDescent="0.35">
      <c r="F5005">
        <v>5000</v>
      </c>
      <c r="G5005" s="102">
        <f t="shared" ca="1" si="82"/>
        <v>7.6107579803567763E-2</v>
      </c>
    </row>
    <row r="5006" spans="6:7" x14ac:dyDescent="0.35">
      <c r="F5006">
        <v>5001</v>
      </c>
      <c r="G5006" s="102">
        <f t="shared" ca="1" si="82"/>
        <v>-4.1583709689672829E-2</v>
      </c>
    </row>
    <row r="5007" spans="6:7" x14ac:dyDescent="0.35">
      <c r="F5007">
        <v>5002</v>
      </c>
      <c r="G5007" s="102">
        <f t="shared" ca="1" si="82"/>
        <v>-6.7714353270055871E-2</v>
      </c>
    </row>
    <row r="5008" spans="6:7" x14ac:dyDescent="0.35">
      <c r="F5008">
        <v>5003</v>
      </c>
      <c r="G5008" s="102">
        <f t="shared" ca="1" si="82"/>
        <v>-9.2633825256282637E-2</v>
      </c>
    </row>
    <row r="5009" spans="6:7" x14ac:dyDescent="0.35">
      <c r="F5009">
        <v>5004</v>
      </c>
      <c r="G5009" s="102">
        <f t="shared" ca="1" si="82"/>
        <v>-5.4483490959732261E-2</v>
      </c>
    </row>
    <row r="5010" spans="6:7" x14ac:dyDescent="0.35">
      <c r="F5010">
        <v>5005</v>
      </c>
      <c r="G5010" s="102">
        <f t="shared" ca="1" si="82"/>
        <v>2.9347375694250766E-2</v>
      </c>
    </row>
    <row r="5011" spans="6:7" x14ac:dyDescent="0.35">
      <c r="F5011">
        <v>5006</v>
      </c>
      <c r="G5011" s="102">
        <f t="shared" ca="1" si="82"/>
        <v>3.0510704703206621E-2</v>
      </c>
    </row>
    <row r="5012" spans="6:7" x14ac:dyDescent="0.35">
      <c r="F5012">
        <v>5007</v>
      </c>
      <c r="G5012" s="102">
        <f t="shared" ca="1" si="82"/>
        <v>2.1062987005592226E-2</v>
      </c>
    </row>
    <row r="5013" spans="6:7" x14ac:dyDescent="0.35">
      <c r="F5013">
        <v>5008</v>
      </c>
      <c r="G5013" s="102">
        <f t="shared" ca="1" si="82"/>
        <v>2.3435418626112807E-2</v>
      </c>
    </row>
    <row r="5014" spans="6:7" x14ac:dyDescent="0.35">
      <c r="F5014">
        <v>5009</v>
      </c>
      <c r="G5014" s="102">
        <f t="shared" ca="1" si="82"/>
        <v>6.2097981730567395E-2</v>
      </c>
    </row>
    <row r="5015" spans="6:7" x14ac:dyDescent="0.35">
      <c r="F5015">
        <v>5010</v>
      </c>
      <c r="G5015" s="102">
        <f t="shared" ca="1" si="82"/>
        <v>0.11037933908596044</v>
      </c>
    </row>
    <row r="5016" spans="6:7" x14ac:dyDescent="0.35">
      <c r="F5016">
        <v>5011</v>
      </c>
      <c r="G5016" s="102">
        <f t="shared" ca="1" si="82"/>
        <v>-9.0365903239847632E-3</v>
      </c>
    </row>
    <row r="5017" spans="6:7" x14ac:dyDescent="0.35">
      <c r="F5017">
        <v>5012</v>
      </c>
      <c r="G5017" s="102">
        <f t="shared" ca="1" si="82"/>
        <v>0.1079879621945304</v>
      </c>
    </row>
    <row r="5018" spans="6:7" x14ac:dyDescent="0.35">
      <c r="F5018">
        <v>5013</v>
      </c>
      <c r="G5018" s="102">
        <f t="shared" ca="1" si="82"/>
        <v>6.3004536619682278E-2</v>
      </c>
    </row>
    <row r="5019" spans="6:7" x14ac:dyDescent="0.35">
      <c r="F5019">
        <v>5014</v>
      </c>
      <c r="G5019" s="102">
        <f t="shared" ca="1" si="82"/>
        <v>-2.4820308802983308E-3</v>
      </c>
    </row>
    <row r="5020" spans="6:7" x14ac:dyDescent="0.35">
      <c r="F5020">
        <v>5015</v>
      </c>
      <c r="G5020" s="102">
        <f t="shared" ca="1" si="82"/>
        <v>-5.7256058035981452E-2</v>
      </c>
    </row>
    <row r="5021" spans="6:7" x14ac:dyDescent="0.35">
      <c r="F5021">
        <v>5016</v>
      </c>
      <c r="G5021" s="102">
        <f t="shared" ca="1" si="82"/>
        <v>-7.2527043883140713E-2</v>
      </c>
    </row>
    <row r="5022" spans="6:7" x14ac:dyDescent="0.35">
      <c r="F5022">
        <v>5017</v>
      </c>
      <c r="G5022" s="102">
        <f t="shared" ca="1" si="82"/>
        <v>-0.11586959891240599</v>
      </c>
    </row>
    <row r="5023" spans="6:7" x14ac:dyDescent="0.35">
      <c r="F5023">
        <v>5018</v>
      </c>
      <c r="G5023" s="102">
        <f t="shared" ca="1" si="82"/>
        <v>-6.9823350099697229E-2</v>
      </c>
    </row>
    <row r="5024" spans="6:7" x14ac:dyDescent="0.35">
      <c r="F5024">
        <v>5019</v>
      </c>
      <c r="G5024" s="102">
        <f t="shared" ca="1" si="82"/>
        <v>1.8825511414063988E-2</v>
      </c>
    </row>
    <row r="5025" spans="6:7" x14ac:dyDescent="0.35">
      <c r="F5025">
        <v>5020</v>
      </c>
      <c r="G5025" s="102">
        <f t="shared" ca="1" si="82"/>
        <v>-7.8989503206260386E-2</v>
      </c>
    </row>
    <row r="5026" spans="6:7" x14ac:dyDescent="0.35">
      <c r="F5026">
        <v>5021</v>
      </c>
      <c r="G5026" s="102">
        <f t="shared" ca="1" si="82"/>
        <v>3.572626203068735E-2</v>
      </c>
    </row>
    <row r="5027" spans="6:7" x14ac:dyDescent="0.35">
      <c r="F5027">
        <v>5022</v>
      </c>
      <c r="G5027" s="102">
        <f t="shared" ca="1" si="82"/>
        <v>-2.6355647531849543E-2</v>
      </c>
    </row>
    <row r="5028" spans="6:7" x14ac:dyDescent="0.35">
      <c r="F5028">
        <v>5023</v>
      </c>
      <c r="G5028" s="102">
        <f t="shared" ca="1" si="82"/>
        <v>-3.7169945983280949E-4</v>
      </c>
    </row>
    <row r="5029" spans="6:7" x14ac:dyDescent="0.35">
      <c r="F5029">
        <v>5024</v>
      </c>
      <c r="G5029" s="102">
        <f t="shared" ca="1" si="82"/>
        <v>7.9099217835251659E-2</v>
      </c>
    </row>
    <row r="5030" spans="6:7" x14ac:dyDescent="0.35">
      <c r="F5030">
        <v>5025</v>
      </c>
      <c r="G5030" s="102">
        <f t="shared" ca="1" si="82"/>
        <v>1.5915701087842973E-2</v>
      </c>
    </row>
    <row r="5031" spans="6:7" x14ac:dyDescent="0.35">
      <c r="F5031">
        <v>5026</v>
      </c>
      <c r="G5031" s="102">
        <f t="shared" ca="1" si="82"/>
        <v>-5.7658661543769099E-2</v>
      </c>
    </row>
    <row r="5032" spans="6:7" x14ac:dyDescent="0.35">
      <c r="F5032">
        <v>5027</v>
      </c>
      <c r="G5032" s="102">
        <f t="shared" ca="1" si="82"/>
        <v>7.0441013890271673E-2</v>
      </c>
    </row>
    <row r="5033" spans="6:7" x14ac:dyDescent="0.35">
      <c r="F5033">
        <v>5028</v>
      </c>
      <c r="G5033" s="102">
        <f t="shared" ca="1" si="82"/>
        <v>0.10395530234495919</v>
      </c>
    </row>
    <row r="5034" spans="6:7" x14ac:dyDescent="0.35">
      <c r="F5034">
        <v>5029</v>
      </c>
      <c r="G5034" s="102">
        <f t="shared" ca="1" si="82"/>
        <v>-8.6651742714381072E-2</v>
      </c>
    </row>
    <row r="5035" spans="6:7" x14ac:dyDescent="0.35">
      <c r="F5035">
        <v>5030</v>
      </c>
      <c r="G5035" s="102">
        <f t="shared" ca="1" si="82"/>
        <v>-3.4425907325914468E-2</v>
      </c>
    </row>
    <row r="5036" spans="6:7" x14ac:dyDescent="0.35">
      <c r="F5036">
        <v>5031</v>
      </c>
      <c r="G5036" s="102">
        <f t="shared" ca="1" si="82"/>
        <v>-8.234334557824087E-2</v>
      </c>
    </row>
    <row r="5037" spans="6:7" x14ac:dyDescent="0.35">
      <c r="F5037">
        <v>5032</v>
      </c>
      <c r="G5037" s="102">
        <f t="shared" ca="1" si="82"/>
        <v>9.3395946439996016E-3</v>
      </c>
    </row>
    <row r="5038" spans="6:7" x14ac:dyDescent="0.35">
      <c r="F5038">
        <v>5033</v>
      </c>
      <c r="G5038" s="102">
        <f t="shared" ca="1" si="82"/>
        <v>1.9289852108565736E-2</v>
      </c>
    </row>
    <row r="5039" spans="6:7" x14ac:dyDescent="0.35">
      <c r="F5039">
        <v>5034</v>
      </c>
      <c r="G5039" s="102">
        <f t="shared" ca="1" si="82"/>
        <v>1.5580516213573006E-2</v>
      </c>
    </row>
    <row r="5040" spans="6:7" x14ac:dyDescent="0.35">
      <c r="F5040">
        <v>5035</v>
      </c>
      <c r="G5040" s="102">
        <f t="shared" ca="1" si="82"/>
        <v>-7.6546202897558147E-2</v>
      </c>
    </row>
    <row r="5041" spans="6:7" x14ac:dyDescent="0.35">
      <c r="F5041">
        <v>5036</v>
      </c>
      <c r="G5041" s="102">
        <f t="shared" ca="1" si="82"/>
        <v>-4.3650235633956105E-2</v>
      </c>
    </row>
    <row r="5042" spans="6:7" x14ac:dyDescent="0.35">
      <c r="F5042">
        <v>5037</v>
      </c>
      <c r="G5042" s="102">
        <f t="shared" ca="1" si="82"/>
        <v>-2.4704368784230057E-3</v>
      </c>
    </row>
    <row r="5043" spans="6:7" x14ac:dyDescent="0.35">
      <c r="F5043">
        <v>5038</v>
      </c>
      <c r="G5043" s="102">
        <f t="shared" ca="1" si="82"/>
        <v>6.934391668535328E-2</v>
      </c>
    </row>
    <row r="5044" spans="6:7" x14ac:dyDescent="0.35">
      <c r="F5044">
        <v>5039</v>
      </c>
      <c r="G5044" s="102">
        <f t="shared" ca="1" si="82"/>
        <v>-9.126510652614897E-2</v>
      </c>
    </row>
    <row r="5045" spans="6:7" x14ac:dyDescent="0.35">
      <c r="F5045">
        <v>5040</v>
      </c>
      <c r="G5045" s="102">
        <f t="shared" ca="1" si="82"/>
        <v>8.6009046194822789E-2</v>
      </c>
    </row>
    <row r="5046" spans="6:7" x14ac:dyDescent="0.35">
      <c r="F5046">
        <v>5041</v>
      </c>
      <c r="G5046" s="102">
        <f t="shared" ca="1" si="82"/>
        <v>-5.8818931321485926E-2</v>
      </c>
    </row>
    <row r="5047" spans="6:7" x14ac:dyDescent="0.35">
      <c r="F5047">
        <v>5042</v>
      </c>
      <c r="G5047" s="102">
        <f t="shared" ca="1" si="82"/>
        <v>0.10653723510639998</v>
      </c>
    </row>
    <row r="5048" spans="6:7" x14ac:dyDescent="0.35">
      <c r="F5048">
        <v>5043</v>
      </c>
      <c r="G5048" s="102">
        <f t="shared" ca="1" si="82"/>
        <v>-7.542185310487215E-2</v>
      </c>
    </row>
    <row r="5049" spans="6:7" x14ac:dyDescent="0.35">
      <c r="F5049">
        <v>5044</v>
      </c>
      <c r="G5049" s="102">
        <f t="shared" ca="1" si="82"/>
        <v>-7.2391999982635874E-2</v>
      </c>
    </row>
    <row r="5050" spans="6:7" x14ac:dyDescent="0.35">
      <c r="F5050">
        <v>5045</v>
      </c>
      <c r="G5050" s="102">
        <f t="shared" ca="1" si="82"/>
        <v>5.0110611797176768E-2</v>
      </c>
    </row>
    <row r="5051" spans="6:7" x14ac:dyDescent="0.35">
      <c r="F5051">
        <v>5046</v>
      </c>
      <c r="G5051" s="102">
        <f t="shared" ca="1" si="82"/>
        <v>2.303555812343416E-2</v>
      </c>
    </row>
    <row r="5052" spans="6:7" x14ac:dyDescent="0.35">
      <c r="F5052">
        <v>5047</v>
      </c>
      <c r="G5052" s="102">
        <f t="shared" ca="1" si="82"/>
        <v>-3.4266999092447807E-3</v>
      </c>
    </row>
    <row r="5053" spans="6:7" x14ac:dyDescent="0.35">
      <c r="F5053">
        <v>5048</v>
      </c>
      <c r="G5053" s="102">
        <f t="shared" ca="1" si="82"/>
        <v>2.8667049582863525E-2</v>
      </c>
    </row>
    <row r="5054" spans="6:7" x14ac:dyDescent="0.35">
      <c r="F5054">
        <v>5049</v>
      </c>
      <c r="G5054" s="102">
        <f t="shared" ca="1" si="82"/>
        <v>-1.5599934497722377E-2</v>
      </c>
    </row>
    <row r="5055" spans="6:7" x14ac:dyDescent="0.35">
      <c r="F5055">
        <v>5050</v>
      </c>
      <c r="G5055" s="102">
        <f t="shared" ca="1" si="82"/>
        <v>-9.2877224729681157E-2</v>
      </c>
    </row>
    <row r="5056" spans="6:7" x14ac:dyDescent="0.35">
      <c r="F5056">
        <v>5051</v>
      </c>
      <c r="G5056" s="102">
        <f t="shared" ca="1" si="82"/>
        <v>7.2598166781653581E-2</v>
      </c>
    </row>
    <row r="5057" spans="6:7" x14ac:dyDescent="0.35">
      <c r="F5057">
        <v>5052</v>
      </c>
      <c r="G5057" s="102">
        <f t="shared" ca="1" si="82"/>
        <v>-0.13443279714207709</v>
      </c>
    </row>
    <row r="5058" spans="6:7" x14ac:dyDescent="0.35">
      <c r="F5058">
        <v>5053</v>
      </c>
      <c r="G5058" s="102">
        <f t="shared" ca="1" si="82"/>
        <v>3.6856901925282591E-4</v>
      </c>
    </row>
    <row r="5059" spans="6:7" x14ac:dyDescent="0.35">
      <c r="F5059">
        <v>5054</v>
      </c>
      <c r="G5059" s="102">
        <f t="shared" ca="1" si="82"/>
        <v>-8.1148805839985169E-2</v>
      </c>
    </row>
    <row r="5060" spans="6:7" x14ac:dyDescent="0.35">
      <c r="F5060">
        <v>5055</v>
      </c>
      <c r="G5060" s="102">
        <f t="shared" ca="1" si="82"/>
        <v>1.5138538520527461E-2</v>
      </c>
    </row>
    <row r="5061" spans="6:7" x14ac:dyDescent="0.35">
      <c r="F5061">
        <v>5056</v>
      </c>
      <c r="G5061" s="102">
        <f t="shared" ca="1" si="82"/>
        <v>1.0984683912121897E-2</v>
      </c>
    </row>
    <row r="5062" spans="6:7" x14ac:dyDescent="0.35">
      <c r="F5062">
        <v>5057</v>
      </c>
      <c r="G5062" s="102">
        <f t="shared" ca="1" si="82"/>
        <v>0.12277398744863031</v>
      </c>
    </row>
    <row r="5063" spans="6:7" x14ac:dyDescent="0.35">
      <c r="F5063">
        <v>5058</v>
      </c>
      <c r="G5063" s="102">
        <f t="shared" ref="G5063:G5126" ca="1" si="83">_xlfn.NORM.INV(RAND(),M$9,M$10)</f>
        <v>-0.13734508420677458</v>
      </c>
    </row>
    <row r="5064" spans="6:7" x14ac:dyDescent="0.35">
      <c r="F5064">
        <v>5059</v>
      </c>
      <c r="G5064" s="102">
        <f t="shared" ca="1" si="83"/>
        <v>-5.1538308941612473E-2</v>
      </c>
    </row>
    <row r="5065" spans="6:7" x14ac:dyDescent="0.35">
      <c r="F5065">
        <v>5060</v>
      </c>
      <c r="G5065" s="102">
        <f t="shared" ca="1" si="83"/>
        <v>-6.8193960932937697E-2</v>
      </c>
    </row>
    <row r="5066" spans="6:7" x14ac:dyDescent="0.35">
      <c r="F5066">
        <v>5061</v>
      </c>
      <c r="G5066" s="102">
        <f t="shared" ca="1" si="83"/>
        <v>-1.5580813267014377E-2</v>
      </c>
    </row>
    <row r="5067" spans="6:7" x14ac:dyDescent="0.35">
      <c r="F5067">
        <v>5062</v>
      </c>
      <c r="G5067" s="102">
        <f t="shared" ca="1" si="83"/>
        <v>-7.1992300919075328E-3</v>
      </c>
    </row>
    <row r="5068" spans="6:7" x14ac:dyDescent="0.35">
      <c r="F5068">
        <v>5063</v>
      </c>
      <c r="G5068" s="102">
        <f t="shared" ca="1" si="83"/>
        <v>-2.5684225297789933E-2</v>
      </c>
    </row>
    <row r="5069" spans="6:7" x14ac:dyDescent="0.35">
      <c r="F5069">
        <v>5064</v>
      </c>
      <c r="G5069" s="102">
        <f t="shared" ca="1" si="83"/>
        <v>-6.8606552068750676E-3</v>
      </c>
    </row>
    <row r="5070" spans="6:7" x14ac:dyDescent="0.35">
      <c r="F5070">
        <v>5065</v>
      </c>
      <c r="G5070" s="102">
        <f t="shared" ca="1" si="83"/>
        <v>1.9946077827619115E-2</v>
      </c>
    </row>
    <row r="5071" spans="6:7" x14ac:dyDescent="0.35">
      <c r="F5071">
        <v>5066</v>
      </c>
      <c r="G5071" s="102">
        <f t="shared" ca="1" si="83"/>
        <v>1.9994729317747175E-2</v>
      </c>
    </row>
    <row r="5072" spans="6:7" x14ac:dyDescent="0.35">
      <c r="F5072">
        <v>5067</v>
      </c>
      <c r="G5072" s="102">
        <f t="shared" ca="1" si="83"/>
        <v>-2.7591624372922688E-2</v>
      </c>
    </row>
    <row r="5073" spans="6:7" x14ac:dyDescent="0.35">
      <c r="F5073">
        <v>5068</v>
      </c>
      <c r="G5073" s="102">
        <f t="shared" ca="1" si="83"/>
        <v>-4.4034815316042586E-2</v>
      </c>
    </row>
    <row r="5074" spans="6:7" x14ac:dyDescent="0.35">
      <c r="F5074">
        <v>5069</v>
      </c>
      <c r="G5074" s="102">
        <f t="shared" ca="1" si="83"/>
        <v>-5.7539391678272753E-2</v>
      </c>
    </row>
    <row r="5075" spans="6:7" x14ac:dyDescent="0.35">
      <c r="F5075">
        <v>5070</v>
      </c>
      <c r="G5075" s="102">
        <f t="shared" ca="1" si="83"/>
        <v>-1.85476028224381E-2</v>
      </c>
    </row>
    <row r="5076" spans="6:7" x14ac:dyDescent="0.35">
      <c r="F5076">
        <v>5071</v>
      </c>
      <c r="G5076" s="102">
        <f t="shared" ca="1" si="83"/>
        <v>-5.4716594091991019E-2</v>
      </c>
    </row>
    <row r="5077" spans="6:7" x14ac:dyDescent="0.35">
      <c r="F5077">
        <v>5072</v>
      </c>
      <c r="G5077" s="102">
        <f t="shared" ca="1" si="83"/>
        <v>-4.6004889892768581E-3</v>
      </c>
    </row>
    <row r="5078" spans="6:7" x14ac:dyDescent="0.35">
      <c r="F5078">
        <v>5073</v>
      </c>
      <c r="G5078" s="102">
        <f t="shared" ca="1" si="83"/>
        <v>-0.11361576993333992</v>
      </c>
    </row>
    <row r="5079" spans="6:7" x14ac:dyDescent="0.35">
      <c r="F5079">
        <v>5074</v>
      </c>
      <c r="G5079" s="102">
        <f t="shared" ca="1" si="83"/>
        <v>7.0938682720619785E-3</v>
      </c>
    </row>
    <row r="5080" spans="6:7" x14ac:dyDescent="0.35">
      <c r="F5080">
        <v>5075</v>
      </c>
      <c r="G5080" s="102">
        <f t="shared" ca="1" si="83"/>
        <v>-4.7649967788531561E-2</v>
      </c>
    </row>
    <row r="5081" spans="6:7" x14ac:dyDescent="0.35">
      <c r="F5081">
        <v>5076</v>
      </c>
      <c r="G5081" s="102">
        <f t="shared" ca="1" si="83"/>
        <v>-2.3315136860724978E-4</v>
      </c>
    </row>
    <row r="5082" spans="6:7" x14ac:dyDescent="0.35">
      <c r="F5082">
        <v>5077</v>
      </c>
      <c r="G5082" s="102">
        <f t="shared" ca="1" si="83"/>
        <v>5.4300201699956835E-2</v>
      </c>
    </row>
    <row r="5083" spans="6:7" x14ac:dyDescent="0.35">
      <c r="F5083">
        <v>5078</v>
      </c>
      <c r="G5083" s="102">
        <f t="shared" ca="1" si="83"/>
        <v>-3.8108765084260282E-2</v>
      </c>
    </row>
    <row r="5084" spans="6:7" x14ac:dyDescent="0.35">
      <c r="F5084">
        <v>5079</v>
      </c>
      <c r="G5084" s="102">
        <f t="shared" ca="1" si="83"/>
        <v>8.6542875983417519E-2</v>
      </c>
    </row>
    <row r="5085" spans="6:7" x14ac:dyDescent="0.35">
      <c r="F5085">
        <v>5080</v>
      </c>
      <c r="G5085" s="102">
        <f t="shared" ca="1" si="83"/>
        <v>3.8020438422434799E-2</v>
      </c>
    </row>
    <row r="5086" spans="6:7" x14ac:dyDescent="0.35">
      <c r="F5086">
        <v>5081</v>
      </c>
      <c r="G5086" s="102">
        <f t="shared" ca="1" si="83"/>
        <v>5.9769754330124426E-3</v>
      </c>
    </row>
    <row r="5087" spans="6:7" x14ac:dyDescent="0.35">
      <c r="F5087">
        <v>5082</v>
      </c>
      <c r="G5087" s="102">
        <f t="shared" ca="1" si="83"/>
        <v>5.6152291335331908E-2</v>
      </c>
    </row>
    <row r="5088" spans="6:7" x14ac:dyDescent="0.35">
      <c r="F5088">
        <v>5083</v>
      </c>
      <c r="G5088" s="102">
        <f t="shared" ca="1" si="83"/>
        <v>-7.1223677970530377E-2</v>
      </c>
    </row>
    <row r="5089" spans="6:7" x14ac:dyDescent="0.35">
      <c r="F5089">
        <v>5084</v>
      </c>
      <c r="G5089" s="102">
        <f t="shared" ca="1" si="83"/>
        <v>-9.6970716722550362E-4</v>
      </c>
    </row>
    <row r="5090" spans="6:7" x14ac:dyDescent="0.35">
      <c r="F5090">
        <v>5085</v>
      </c>
      <c r="G5090" s="102">
        <f t="shared" ca="1" si="83"/>
        <v>7.500786660141491E-2</v>
      </c>
    </row>
    <row r="5091" spans="6:7" x14ac:dyDescent="0.35">
      <c r="F5091">
        <v>5086</v>
      </c>
      <c r="G5091" s="102">
        <f t="shared" ca="1" si="83"/>
        <v>7.999380334412047E-2</v>
      </c>
    </row>
    <row r="5092" spans="6:7" x14ac:dyDescent="0.35">
      <c r="F5092">
        <v>5087</v>
      </c>
      <c r="G5092" s="102">
        <f t="shared" ca="1" si="83"/>
        <v>-8.2562893657135122E-2</v>
      </c>
    </row>
    <row r="5093" spans="6:7" x14ac:dyDescent="0.35">
      <c r="F5093">
        <v>5088</v>
      </c>
      <c r="G5093" s="102">
        <f t="shared" ca="1" si="83"/>
        <v>-5.2009219294807313E-2</v>
      </c>
    </row>
    <row r="5094" spans="6:7" x14ac:dyDescent="0.35">
      <c r="F5094">
        <v>5089</v>
      </c>
      <c r="G5094" s="102">
        <f t="shared" ca="1" si="83"/>
        <v>4.0407048473376818E-3</v>
      </c>
    </row>
    <row r="5095" spans="6:7" x14ac:dyDescent="0.35">
      <c r="F5095">
        <v>5090</v>
      </c>
      <c r="G5095" s="102">
        <f t="shared" ca="1" si="83"/>
        <v>-3.2900284017896388E-2</v>
      </c>
    </row>
    <row r="5096" spans="6:7" x14ac:dyDescent="0.35">
      <c r="F5096">
        <v>5091</v>
      </c>
      <c r="G5096" s="102">
        <f t="shared" ca="1" si="83"/>
        <v>-0.13914902615936223</v>
      </c>
    </row>
    <row r="5097" spans="6:7" x14ac:dyDescent="0.35">
      <c r="F5097">
        <v>5092</v>
      </c>
      <c r="G5097" s="102">
        <f t="shared" ca="1" si="83"/>
        <v>-7.5771903470734939E-2</v>
      </c>
    </row>
    <row r="5098" spans="6:7" x14ac:dyDescent="0.35">
      <c r="F5098">
        <v>5093</v>
      </c>
      <c r="G5098" s="102">
        <f t="shared" ca="1" si="83"/>
        <v>5.5266442682835509E-2</v>
      </c>
    </row>
    <row r="5099" spans="6:7" x14ac:dyDescent="0.35">
      <c r="F5099">
        <v>5094</v>
      </c>
      <c r="G5099" s="102">
        <f t="shared" ca="1" si="83"/>
        <v>5.5593127795133548E-2</v>
      </c>
    </row>
    <row r="5100" spans="6:7" x14ac:dyDescent="0.35">
      <c r="F5100">
        <v>5095</v>
      </c>
      <c r="G5100" s="102">
        <f t="shared" ca="1" si="83"/>
        <v>2.7592106321207611E-2</v>
      </c>
    </row>
    <row r="5101" spans="6:7" x14ac:dyDescent="0.35">
      <c r="F5101">
        <v>5096</v>
      </c>
      <c r="G5101" s="102">
        <f t="shared" ca="1" si="83"/>
        <v>-0.10559260031601085</v>
      </c>
    </row>
    <row r="5102" spans="6:7" x14ac:dyDescent="0.35">
      <c r="F5102">
        <v>5097</v>
      </c>
      <c r="G5102" s="102">
        <f t="shared" ca="1" si="83"/>
        <v>-4.842735430072893E-3</v>
      </c>
    </row>
    <row r="5103" spans="6:7" x14ac:dyDescent="0.35">
      <c r="F5103">
        <v>5098</v>
      </c>
      <c r="G5103" s="102">
        <f t="shared" ca="1" si="83"/>
        <v>-8.2877887280092086E-2</v>
      </c>
    </row>
    <row r="5104" spans="6:7" x14ac:dyDescent="0.35">
      <c r="F5104">
        <v>5099</v>
      </c>
      <c r="G5104" s="102">
        <f t="shared" ca="1" si="83"/>
        <v>8.3290411306891493E-3</v>
      </c>
    </row>
    <row r="5105" spans="6:7" x14ac:dyDescent="0.35">
      <c r="F5105">
        <v>5100</v>
      </c>
      <c r="G5105" s="102">
        <f t="shared" ca="1" si="83"/>
        <v>0.11394752136225737</v>
      </c>
    </row>
    <row r="5106" spans="6:7" x14ac:dyDescent="0.35">
      <c r="F5106">
        <v>5101</v>
      </c>
      <c r="G5106" s="102">
        <f t="shared" ca="1" si="83"/>
        <v>-7.0111423434312311E-3</v>
      </c>
    </row>
    <row r="5107" spans="6:7" x14ac:dyDescent="0.35">
      <c r="F5107">
        <v>5102</v>
      </c>
      <c r="G5107" s="102">
        <f t="shared" ca="1" si="83"/>
        <v>1.3419406657197208E-2</v>
      </c>
    </row>
    <row r="5108" spans="6:7" x14ac:dyDescent="0.35">
      <c r="F5108">
        <v>5103</v>
      </c>
      <c r="G5108" s="102">
        <f t="shared" ca="1" si="83"/>
        <v>-4.5604681247726542E-2</v>
      </c>
    </row>
    <row r="5109" spans="6:7" x14ac:dyDescent="0.35">
      <c r="F5109">
        <v>5104</v>
      </c>
      <c r="G5109" s="102">
        <f t="shared" ca="1" si="83"/>
        <v>-1.7486730474893675E-2</v>
      </c>
    </row>
    <row r="5110" spans="6:7" x14ac:dyDescent="0.35">
      <c r="F5110">
        <v>5105</v>
      </c>
      <c r="G5110" s="102">
        <f t="shared" ca="1" si="83"/>
        <v>-9.6942481639815573E-2</v>
      </c>
    </row>
    <row r="5111" spans="6:7" x14ac:dyDescent="0.35">
      <c r="F5111">
        <v>5106</v>
      </c>
      <c r="G5111" s="102">
        <f t="shared" ca="1" si="83"/>
        <v>-1.5119697578769629E-2</v>
      </c>
    </row>
    <row r="5112" spans="6:7" x14ac:dyDescent="0.35">
      <c r="F5112">
        <v>5107</v>
      </c>
      <c r="G5112" s="102">
        <f t="shared" ca="1" si="83"/>
        <v>-5.8373783197895462E-2</v>
      </c>
    </row>
    <row r="5113" spans="6:7" x14ac:dyDescent="0.35">
      <c r="F5113">
        <v>5108</v>
      </c>
      <c r="G5113" s="102">
        <f t="shared" ca="1" si="83"/>
        <v>-6.8538935945601245E-2</v>
      </c>
    </row>
    <row r="5114" spans="6:7" x14ac:dyDescent="0.35">
      <c r="F5114">
        <v>5109</v>
      </c>
      <c r="G5114" s="102">
        <f t="shared" ca="1" si="83"/>
        <v>-9.9033883294828498E-3</v>
      </c>
    </row>
    <row r="5115" spans="6:7" x14ac:dyDescent="0.35">
      <c r="F5115">
        <v>5110</v>
      </c>
      <c r="G5115" s="102">
        <f t="shared" ca="1" si="83"/>
        <v>-7.8967533828365133E-2</v>
      </c>
    </row>
    <row r="5116" spans="6:7" x14ac:dyDescent="0.35">
      <c r="F5116">
        <v>5111</v>
      </c>
      <c r="G5116" s="102">
        <f t="shared" ca="1" si="83"/>
        <v>5.1069476563066943E-2</v>
      </c>
    </row>
    <row r="5117" spans="6:7" x14ac:dyDescent="0.35">
      <c r="F5117">
        <v>5112</v>
      </c>
      <c r="G5117" s="102">
        <f t="shared" ca="1" si="83"/>
        <v>6.5835232079953458E-3</v>
      </c>
    </row>
    <row r="5118" spans="6:7" x14ac:dyDescent="0.35">
      <c r="F5118">
        <v>5113</v>
      </c>
      <c r="G5118" s="102">
        <f t="shared" ca="1" si="83"/>
        <v>9.3900837070657897E-2</v>
      </c>
    </row>
    <row r="5119" spans="6:7" x14ac:dyDescent="0.35">
      <c r="F5119">
        <v>5114</v>
      </c>
      <c r="G5119" s="102">
        <f t="shared" ca="1" si="83"/>
        <v>4.0600244972731306E-2</v>
      </c>
    </row>
    <row r="5120" spans="6:7" x14ac:dyDescent="0.35">
      <c r="F5120">
        <v>5115</v>
      </c>
      <c r="G5120" s="102">
        <f t="shared" ca="1" si="83"/>
        <v>-4.8985063831888304E-2</v>
      </c>
    </row>
    <row r="5121" spans="6:7" x14ac:dyDescent="0.35">
      <c r="F5121">
        <v>5116</v>
      </c>
      <c r="G5121" s="102">
        <f t="shared" ca="1" si="83"/>
        <v>-0.10997347409326839</v>
      </c>
    </row>
    <row r="5122" spans="6:7" x14ac:dyDescent="0.35">
      <c r="F5122">
        <v>5117</v>
      </c>
      <c r="G5122" s="102">
        <f t="shared" ca="1" si="83"/>
        <v>5.5215269468196326E-2</v>
      </c>
    </row>
    <row r="5123" spans="6:7" x14ac:dyDescent="0.35">
      <c r="F5123">
        <v>5118</v>
      </c>
      <c r="G5123" s="102">
        <f t="shared" ca="1" si="83"/>
        <v>-3.8384737950801606E-2</v>
      </c>
    </row>
    <row r="5124" spans="6:7" x14ac:dyDescent="0.35">
      <c r="F5124">
        <v>5119</v>
      </c>
      <c r="G5124" s="102">
        <f t="shared" ca="1" si="83"/>
        <v>0.14248865759145865</v>
      </c>
    </row>
    <row r="5125" spans="6:7" x14ac:dyDescent="0.35">
      <c r="F5125">
        <v>5120</v>
      </c>
      <c r="G5125" s="102">
        <f t="shared" ca="1" si="83"/>
        <v>9.3032484624652467E-3</v>
      </c>
    </row>
    <row r="5126" spans="6:7" x14ac:dyDescent="0.35">
      <c r="F5126">
        <v>5121</v>
      </c>
      <c r="G5126" s="102">
        <f t="shared" ca="1" si="83"/>
        <v>-0.15481639377917727</v>
      </c>
    </row>
    <row r="5127" spans="6:7" x14ac:dyDescent="0.35">
      <c r="F5127">
        <v>5122</v>
      </c>
      <c r="G5127" s="102">
        <f t="shared" ref="G5127:G5190" ca="1" si="84">_xlfn.NORM.INV(RAND(),M$9,M$10)</f>
        <v>2.6053669075292354E-2</v>
      </c>
    </row>
    <row r="5128" spans="6:7" x14ac:dyDescent="0.35">
      <c r="F5128">
        <v>5123</v>
      </c>
      <c r="G5128" s="102">
        <f t="shared" ca="1" si="84"/>
        <v>-4.6174331411865457E-2</v>
      </c>
    </row>
    <row r="5129" spans="6:7" x14ac:dyDescent="0.35">
      <c r="F5129">
        <v>5124</v>
      </c>
      <c r="G5129" s="102">
        <f t="shared" ca="1" si="84"/>
        <v>-4.5960142234351322E-3</v>
      </c>
    </row>
    <row r="5130" spans="6:7" x14ac:dyDescent="0.35">
      <c r="F5130">
        <v>5125</v>
      </c>
      <c r="G5130" s="102">
        <f t="shared" ca="1" si="84"/>
        <v>-2.3691629284073638E-2</v>
      </c>
    </row>
    <row r="5131" spans="6:7" x14ac:dyDescent="0.35">
      <c r="F5131">
        <v>5126</v>
      </c>
      <c r="G5131" s="102">
        <f t="shared" ca="1" si="84"/>
        <v>-6.9765848793092222E-2</v>
      </c>
    </row>
    <row r="5132" spans="6:7" x14ac:dyDescent="0.35">
      <c r="F5132">
        <v>5127</v>
      </c>
      <c r="G5132" s="102">
        <f t="shared" ca="1" si="84"/>
        <v>-4.7577388017693512E-2</v>
      </c>
    </row>
    <row r="5133" spans="6:7" x14ac:dyDescent="0.35">
      <c r="F5133">
        <v>5128</v>
      </c>
      <c r="G5133" s="102">
        <f t="shared" ca="1" si="84"/>
        <v>8.0035557590513104E-2</v>
      </c>
    </row>
    <row r="5134" spans="6:7" x14ac:dyDescent="0.35">
      <c r="F5134">
        <v>5129</v>
      </c>
      <c r="G5134" s="102">
        <f t="shared" ca="1" si="84"/>
        <v>4.7507587589501618E-2</v>
      </c>
    </row>
    <row r="5135" spans="6:7" x14ac:dyDescent="0.35">
      <c r="F5135">
        <v>5130</v>
      </c>
      <c r="G5135" s="102">
        <f t="shared" ca="1" si="84"/>
        <v>8.6497056201800728E-3</v>
      </c>
    </row>
    <row r="5136" spans="6:7" x14ac:dyDescent="0.35">
      <c r="F5136">
        <v>5131</v>
      </c>
      <c r="G5136" s="102">
        <f t="shared" ca="1" si="84"/>
        <v>-6.2249688871492417E-2</v>
      </c>
    </row>
    <row r="5137" spans="6:7" x14ac:dyDescent="0.35">
      <c r="F5137">
        <v>5132</v>
      </c>
      <c r="G5137" s="102">
        <f t="shared" ca="1" si="84"/>
        <v>-1.7928181007568565E-2</v>
      </c>
    </row>
    <row r="5138" spans="6:7" x14ac:dyDescent="0.35">
      <c r="F5138">
        <v>5133</v>
      </c>
      <c r="G5138" s="102">
        <f t="shared" ca="1" si="84"/>
        <v>-4.2542932282949308E-2</v>
      </c>
    </row>
    <row r="5139" spans="6:7" x14ac:dyDescent="0.35">
      <c r="F5139">
        <v>5134</v>
      </c>
      <c r="G5139" s="102">
        <f t="shared" ca="1" si="84"/>
        <v>5.7982173312383825E-2</v>
      </c>
    </row>
    <row r="5140" spans="6:7" x14ac:dyDescent="0.35">
      <c r="F5140">
        <v>5135</v>
      </c>
      <c r="G5140" s="102">
        <f t="shared" ca="1" si="84"/>
        <v>2.8752015515986096E-2</v>
      </c>
    </row>
    <row r="5141" spans="6:7" x14ac:dyDescent="0.35">
      <c r="F5141">
        <v>5136</v>
      </c>
      <c r="G5141" s="102">
        <f t="shared" ca="1" si="84"/>
        <v>-0.14400135758095156</v>
      </c>
    </row>
    <row r="5142" spans="6:7" x14ac:dyDescent="0.35">
      <c r="F5142">
        <v>5137</v>
      </c>
      <c r="G5142" s="102">
        <f t="shared" ca="1" si="84"/>
        <v>-4.3433179251528134E-2</v>
      </c>
    </row>
    <row r="5143" spans="6:7" x14ac:dyDescent="0.35">
      <c r="F5143">
        <v>5138</v>
      </c>
      <c r="G5143" s="102">
        <f t="shared" ca="1" si="84"/>
        <v>-2.260294572952095E-2</v>
      </c>
    </row>
    <row r="5144" spans="6:7" x14ac:dyDescent="0.35">
      <c r="F5144">
        <v>5139</v>
      </c>
      <c r="G5144" s="102">
        <f t="shared" ca="1" si="84"/>
        <v>0.13664693449976356</v>
      </c>
    </row>
    <row r="5145" spans="6:7" x14ac:dyDescent="0.35">
      <c r="F5145">
        <v>5140</v>
      </c>
      <c r="G5145" s="102">
        <f t="shared" ca="1" si="84"/>
        <v>6.9883770812098386E-2</v>
      </c>
    </row>
    <row r="5146" spans="6:7" x14ac:dyDescent="0.35">
      <c r="F5146">
        <v>5141</v>
      </c>
      <c r="G5146" s="102">
        <f t="shared" ca="1" si="84"/>
        <v>-1.6808389296122439E-2</v>
      </c>
    </row>
    <row r="5147" spans="6:7" x14ac:dyDescent="0.35">
      <c r="F5147">
        <v>5142</v>
      </c>
      <c r="G5147" s="102">
        <f t="shared" ca="1" si="84"/>
        <v>-1.8442248331992071E-2</v>
      </c>
    </row>
    <row r="5148" spans="6:7" x14ac:dyDescent="0.35">
      <c r="F5148">
        <v>5143</v>
      </c>
      <c r="G5148" s="102">
        <f t="shared" ca="1" si="84"/>
        <v>-9.9910063074997849E-2</v>
      </c>
    </row>
    <row r="5149" spans="6:7" x14ac:dyDescent="0.35">
      <c r="F5149">
        <v>5144</v>
      </c>
      <c r="G5149" s="102">
        <f t="shared" ca="1" si="84"/>
        <v>4.8238971716100296E-2</v>
      </c>
    </row>
    <row r="5150" spans="6:7" x14ac:dyDescent="0.35">
      <c r="F5150">
        <v>5145</v>
      </c>
      <c r="G5150" s="102">
        <f t="shared" ca="1" si="84"/>
        <v>-0.10209589824576769</v>
      </c>
    </row>
    <row r="5151" spans="6:7" x14ac:dyDescent="0.35">
      <c r="F5151">
        <v>5146</v>
      </c>
      <c r="G5151" s="102">
        <f t="shared" ca="1" si="84"/>
        <v>-0.11622595310581967</v>
      </c>
    </row>
    <row r="5152" spans="6:7" x14ac:dyDescent="0.35">
      <c r="F5152">
        <v>5147</v>
      </c>
      <c r="G5152" s="102">
        <f t="shared" ca="1" si="84"/>
        <v>5.7777000309156751E-2</v>
      </c>
    </row>
    <row r="5153" spans="6:7" x14ac:dyDescent="0.35">
      <c r="F5153">
        <v>5148</v>
      </c>
      <c r="G5153" s="102">
        <f t="shared" ca="1" si="84"/>
        <v>5.8240948904158554E-2</v>
      </c>
    </row>
    <row r="5154" spans="6:7" x14ac:dyDescent="0.35">
      <c r="F5154">
        <v>5149</v>
      </c>
      <c r="G5154" s="102">
        <f t="shared" ca="1" si="84"/>
        <v>-4.9864556887680225E-4</v>
      </c>
    </row>
    <row r="5155" spans="6:7" x14ac:dyDescent="0.35">
      <c r="F5155">
        <v>5150</v>
      </c>
      <c r="G5155" s="102">
        <f t="shared" ca="1" si="84"/>
        <v>2.0793538921828187E-2</v>
      </c>
    </row>
    <row r="5156" spans="6:7" x14ac:dyDescent="0.35">
      <c r="F5156">
        <v>5151</v>
      </c>
      <c r="G5156" s="102">
        <f t="shared" ca="1" si="84"/>
        <v>9.4167535034349228E-2</v>
      </c>
    </row>
    <row r="5157" spans="6:7" x14ac:dyDescent="0.35">
      <c r="F5157">
        <v>5152</v>
      </c>
      <c r="G5157" s="102">
        <f t="shared" ca="1" si="84"/>
        <v>-3.4808826410817256E-2</v>
      </c>
    </row>
    <row r="5158" spans="6:7" x14ac:dyDescent="0.35">
      <c r="F5158">
        <v>5153</v>
      </c>
      <c r="G5158" s="102">
        <f t="shared" ca="1" si="84"/>
        <v>0.1139074184424014</v>
      </c>
    </row>
    <row r="5159" spans="6:7" x14ac:dyDescent="0.35">
      <c r="F5159">
        <v>5154</v>
      </c>
      <c r="G5159" s="102">
        <f t="shared" ca="1" si="84"/>
        <v>-3.6855025454631637E-2</v>
      </c>
    </row>
    <row r="5160" spans="6:7" x14ac:dyDescent="0.35">
      <c r="F5160">
        <v>5155</v>
      </c>
      <c r="G5160" s="102">
        <f t="shared" ca="1" si="84"/>
        <v>-3.8852371835978533E-2</v>
      </c>
    </row>
    <row r="5161" spans="6:7" x14ac:dyDescent="0.35">
      <c r="F5161">
        <v>5156</v>
      </c>
      <c r="G5161" s="102">
        <f t="shared" ca="1" si="84"/>
        <v>1.5973696663353337E-4</v>
      </c>
    </row>
    <row r="5162" spans="6:7" x14ac:dyDescent="0.35">
      <c r="F5162">
        <v>5157</v>
      </c>
      <c r="G5162" s="102">
        <f t="shared" ca="1" si="84"/>
        <v>-0.11785968911091077</v>
      </c>
    </row>
    <row r="5163" spans="6:7" x14ac:dyDescent="0.35">
      <c r="F5163">
        <v>5158</v>
      </c>
      <c r="G5163" s="102">
        <f t="shared" ca="1" si="84"/>
        <v>-3.126267174073992E-2</v>
      </c>
    </row>
    <row r="5164" spans="6:7" x14ac:dyDescent="0.35">
      <c r="F5164">
        <v>5159</v>
      </c>
      <c r="G5164" s="102">
        <f t="shared" ca="1" si="84"/>
        <v>-0.11816412309212754</v>
      </c>
    </row>
    <row r="5165" spans="6:7" x14ac:dyDescent="0.35">
      <c r="F5165">
        <v>5160</v>
      </c>
      <c r="G5165" s="102">
        <f t="shared" ca="1" si="84"/>
        <v>-1.7574441503585329E-2</v>
      </c>
    </row>
    <row r="5166" spans="6:7" x14ac:dyDescent="0.35">
      <c r="F5166">
        <v>5161</v>
      </c>
      <c r="G5166" s="102">
        <f t="shared" ca="1" si="84"/>
        <v>0.15269888706017881</v>
      </c>
    </row>
    <row r="5167" spans="6:7" x14ac:dyDescent="0.35">
      <c r="F5167">
        <v>5162</v>
      </c>
      <c r="G5167" s="102">
        <f t="shared" ca="1" si="84"/>
        <v>-7.1073423721322526E-2</v>
      </c>
    </row>
    <row r="5168" spans="6:7" x14ac:dyDescent="0.35">
      <c r="F5168">
        <v>5163</v>
      </c>
      <c r="G5168" s="102">
        <f t="shared" ca="1" si="84"/>
        <v>2.228117128366763E-2</v>
      </c>
    </row>
    <row r="5169" spans="6:7" x14ac:dyDescent="0.35">
      <c r="F5169">
        <v>5164</v>
      </c>
      <c r="G5169" s="102">
        <f t="shared" ca="1" si="84"/>
        <v>2.0691902054661954E-2</v>
      </c>
    </row>
    <row r="5170" spans="6:7" x14ac:dyDescent="0.35">
      <c r="F5170">
        <v>5165</v>
      </c>
      <c r="G5170" s="102">
        <f t="shared" ca="1" si="84"/>
        <v>5.9982395355920717E-2</v>
      </c>
    </row>
    <row r="5171" spans="6:7" x14ac:dyDescent="0.35">
      <c r="F5171">
        <v>5166</v>
      </c>
      <c r="G5171" s="102">
        <f t="shared" ca="1" si="84"/>
        <v>-6.4211888852920618E-2</v>
      </c>
    </row>
    <row r="5172" spans="6:7" x14ac:dyDescent="0.35">
      <c r="F5172">
        <v>5167</v>
      </c>
      <c r="G5172" s="102">
        <f t="shared" ca="1" si="84"/>
        <v>3.615374967711095E-2</v>
      </c>
    </row>
    <row r="5173" spans="6:7" x14ac:dyDescent="0.35">
      <c r="F5173">
        <v>5168</v>
      </c>
      <c r="G5173" s="102">
        <f t="shared" ca="1" si="84"/>
        <v>-1.5182153712104475E-2</v>
      </c>
    </row>
    <row r="5174" spans="6:7" x14ac:dyDescent="0.35">
      <c r="F5174">
        <v>5169</v>
      </c>
      <c r="G5174" s="102">
        <f t="shared" ca="1" si="84"/>
        <v>-0.10316391467851868</v>
      </c>
    </row>
    <row r="5175" spans="6:7" x14ac:dyDescent="0.35">
      <c r="F5175">
        <v>5170</v>
      </c>
      <c r="G5175" s="102">
        <f t="shared" ca="1" si="84"/>
        <v>-2.5441975836466724E-3</v>
      </c>
    </row>
    <row r="5176" spans="6:7" x14ac:dyDescent="0.35">
      <c r="F5176">
        <v>5171</v>
      </c>
      <c r="G5176" s="102">
        <f t="shared" ca="1" si="84"/>
        <v>-9.0552491553688649E-2</v>
      </c>
    </row>
    <row r="5177" spans="6:7" x14ac:dyDescent="0.35">
      <c r="F5177">
        <v>5172</v>
      </c>
      <c r="G5177" s="102">
        <f t="shared" ca="1" si="84"/>
        <v>6.957031293240247E-3</v>
      </c>
    </row>
    <row r="5178" spans="6:7" x14ac:dyDescent="0.35">
      <c r="F5178">
        <v>5173</v>
      </c>
      <c r="G5178" s="102">
        <f t="shared" ca="1" si="84"/>
        <v>4.4006537237625348E-2</v>
      </c>
    </row>
    <row r="5179" spans="6:7" x14ac:dyDescent="0.35">
      <c r="F5179">
        <v>5174</v>
      </c>
      <c r="G5179" s="102">
        <f t="shared" ca="1" si="84"/>
        <v>1.522549628973148E-2</v>
      </c>
    </row>
    <row r="5180" spans="6:7" x14ac:dyDescent="0.35">
      <c r="F5180">
        <v>5175</v>
      </c>
      <c r="G5180" s="102">
        <f t="shared" ca="1" si="84"/>
        <v>1.1286561522372333E-2</v>
      </c>
    </row>
    <row r="5181" spans="6:7" x14ac:dyDescent="0.35">
      <c r="F5181">
        <v>5176</v>
      </c>
      <c r="G5181" s="102">
        <f t="shared" ca="1" si="84"/>
        <v>4.5883660084831288E-2</v>
      </c>
    </row>
    <row r="5182" spans="6:7" x14ac:dyDescent="0.35">
      <c r="F5182">
        <v>5177</v>
      </c>
      <c r="G5182" s="102">
        <f t="shared" ca="1" si="84"/>
        <v>5.5266342755973974E-2</v>
      </c>
    </row>
    <row r="5183" spans="6:7" x14ac:dyDescent="0.35">
      <c r="F5183">
        <v>5178</v>
      </c>
      <c r="G5183" s="102">
        <f t="shared" ca="1" si="84"/>
        <v>6.4094694017251638E-2</v>
      </c>
    </row>
    <row r="5184" spans="6:7" x14ac:dyDescent="0.35">
      <c r="F5184">
        <v>5179</v>
      </c>
      <c r="G5184" s="102">
        <f t="shared" ca="1" si="84"/>
        <v>-9.2644478508263725E-2</v>
      </c>
    </row>
    <row r="5185" spans="6:7" x14ac:dyDescent="0.35">
      <c r="F5185">
        <v>5180</v>
      </c>
      <c r="G5185" s="102">
        <f t="shared" ca="1" si="84"/>
        <v>-4.8984577152581879E-2</v>
      </c>
    </row>
    <row r="5186" spans="6:7" x14ac:dyDescent="0.35">
      <c r="F5186">
        <v>5181</v>
      </c>
      <c r="G5186" s="102">
        <f t="shared" ca="1" si="84"/>
        <v>5.325162913789816E-2</v>
      </c>
    </row>
    <row r="5187" spans="6:7" x14ac:dyDescent="0.35">
      <c r="F5187">
        <v>5182</v>
      </c>
      <c r="G5187" s="102">
        <f t="shared" ca="1" si="84"/>
        <v>-1.2261252911928136E-3</v>
      </c>
    </row>
    <row r="5188" spans="6:7" x14ac:dyDescent="0.35">
      <c r="F5188">
        <v>5183</v>
      </c>
      <c r="G5188" s="102">
        <f t="shared" ca="1" si="84"/>
        <v>2.8919219235391005E-2</v>
      </c>
    </row>
    <row r="5189" spans="6:7" x14ac:dyDescent="0.35">
      <c r="F5189">
        <v>5184</v>
      </c>
      <c r="G5189" s="102">
        <f t="shared" ca="1" si="84"/>
        <v>-4.0416366725203823E-2</v>
      </c>
    </row>
    <row r="5190" spans="6:7" x14ac:dyDescent="0.35">
      <c r="F5190">
        <v>5185</v>
      </c>
      <c r="G5190" s="102">
        <f t="shared" ca="1" si="84"/>
        <v>-9.6531130848173941E-2</v>
      </c>
    </row>
    <row r="5191" spans="6:7" x14ac:dyDescent="0.35">
      <c r="F5191">
        <v>5186</v>
      </c>
      <c r="G5191" s="102">
        <f t="shared" ref="G5191:G5254" ca="1" si="85">_xlfn.NORM.INV(RAND(),M$9,M$10)</f>
        <v>3.5368661858579606E-3</v>
      </c>
    </row>
    <row r="5192" spans="6:7" x14ac:dyDescent="0.35">
      <c r="F5192">
        <v>5187</v>
      </c>
      <c r="G5192" s="102">
        <f t="shared" ca="1" si="85"/>
        <v>1.4197314992550579E-2</v>
      </c>
    </row>
    <row r="5193" spans="6:7" x14ac:dyDescent="0.35">
      <c r="F5193">
        <v>5188</v>
      </c>
      <c r="G5193" s="102">
        <f t="shared" ca="1" si="85"/>
        <v>7.1260395949940686E-2</v>
      </c>
    </row>
    <row r="5194" spans="6:7" x14ac:dyDescent="0.35">
      <c r="F5194">
        <v>5189</v>
      </c>
      <c r="G5194" s="102">
        <f t="shared" ca="1" si="85"/>
        <v>-0.10084023812395267</v>
      </c>
    </row>
    <row r="5195" spans="6:7" x14ac:dyDescent="0.35">
      <c r="F5195">
        <v>5190</v>
      </c>
      <c r="G5195" s="102">
        <f t="shared" ca="1" si="85"/>
        <v>2.3782769604906818E-2</v>
      </c>
    </row>
    <row r="5196" spans="6:7" x14ac:dyDescent="0.35">
      <c r="F5196">
        <v>5191</v>
      </c>
      <c r="G5196" s="102">
        <f t="shared" ca="1" si="85"/>
        <v>3.1471850751307838E-3</v>
      </c>
    </row>
    <row r="5197" spans="6:7" x14ac:dyDescent="0.35">
      <c r="F5197">
        <v>5192</v>
      </c>
      <c r="G5197" s="102">
        <f t="shared" ca="1" si="85"/>
        <v>9.0822604755819866E-2</v>
      </c>
    </row>
    <row r="5198" spans="6:7" x14ac:dyDescent="0.35">
      <c r="F5198">
        <v>5193</v>
      </c>
      <c r="G5198" s="102">
        <f t="shared" ca="1" si="85"/>
        <v>-7.3474544301317196E-2</v>
      </c>
    </row>
    <row r="5199" spans="6:7" x14ac:dyDescent="0.35">
      <c r="F5199">
        <v>5194</v>
      </c>
      <c r="G5199" s="102">
        <f t="shared" ca="1" si="85"/>
        <v>7.9061134483183221E-2</v>
      </c>
    </row>
    <row r="5200" spans="6:7" x14ac:dyDescent="0.35">
      <c r="F5200">
        <v>5195</v>
      </c>
      <c r="G5200" s="102">
        <f t="shared" ca="1" si="85"/>
        <v>1.1672860051162422E-2</v>
      </c>
    </row>
    <row r="5201" spans="6:7" x14ac:dyDescent="0.35">
      <c r="F5201">
        <v>5196</v>
      </c>
      <c r="G5201" s="102">
        <f t="shared" ca="1" si="85"/>
        <v>0.1086497689643158</v>
      </c>
    </row>
    <row r="5202" spans="6:7" x14ac:dyDescent="0.35">
      <c r="F5202">
        <v>5197</v>
      </c>
      <c r="G5202" s="102">
        <f t="shared" ca="1" si="85"/>
        <v>-6.0056106450604912E-2</v>
      </c>
    </row>
    <row r="5203" spans="6:7" x14ac:dyDescent="0.35">
      <c r="F5203">
        <v>5198</v>
      </c>
      <c r="G5203" s="102">
        <f t="shared" ca="1" si="85"/>
        <v>-6.3144242688609825E-2</v>
      </c>
    </row>
    <row r="5204" spans="6:7" x14ac:dyDescent="0.35">
      <c r="F5204">
        <v>5199</v>
      </c>
      <c r="G5204" s="102">
        <f t="shared" ca="1" si="85"/>
        <v>1.4587970073884685E-2</v>
      </c>
    </row>
    <row r="5205" spans="6:7" x14ac:dyDescent="0.35">
      <c r="F5205">
        <v>5200</v>
      </c>
      <c r="G5205" s="102">
        <f t="shared" ca="1" si="85"/>
        <v>-2.0012303028042171E-2</v>
      </c>
    </row>
    <row r="5206" spans="6:7" x14ac:dyDescent="0.35">
      <c r="F5206">
        <v>5201</v>
      </c>
      <c r="G5206" s="102">
        <f t="shared" ca="1" si="85"/>
        <v>-6.6593978599423689E-2</v>
      </c>
    </row>
    <row r="5207" spans="6:7" x14ac:dyDescent="0.35">
      <c r="F5207">
        <v>5202</v>
      </c>
      <c r="G5207" s="102">
        <f t="shared" ca="1" si="85"/>
        <v>7.6713964971019483E-2</v>
      </c>
    </row>
    <row r="5208" spans="6:7" x14ac:dyDescent="0.35">
      <c r="F5208">
        <v>5203</v>
      </c>
      <c r="G5208" s="102">
        <f t="shared" ca="1" si="85"/>
        <v>4.3470018599238089E-2</v>
      </c>
    </row>
    <row r="5209" spans="6:7" x14ac:dyDescent="0.35">
      <c r="F5209">
        <v>5204</v>
      </c>
      <c r="G5209" s="102">
        <f t="shared" ca="1" si="85"/>
        <v>4.0971022484738953E-2</v>
      </c>
    </row>
    <row r="5210" spans="6:7" x14ac:dyDescent="0.35">
      <c r="F5210">
        <v>5205</v>
      </c>
      <c r="G5210" s="102">
        <f t="shared" ca="1" si="85"/>
        <v>-3.7103039534519933E-2</v>
      </c>
    </row>
    <row r="5211" spans="6:7" x14ac:dyDescent="0.35">
      <c r="F5211">
        <v>5206</v>
      </c>
      <c r="G5211" s="102">
        <f t="shared" ca="1" si="85"/>
        <v>5.5784707061927813E-2</v>
      </c>
    </row>
    <row r="5212" spans="6:7" x14ac:dyDescent="0.35">
      <c r="F5212">
        <v>5207</v>
      </c>
      <c r="G5212" s="102">
        <f t="shared" ca="1" si="85"/>
        <v>5.22512953438561E-2</v>
      </c>
    </row>
    <row r="5213" spans="6:7" x14ac:dyDescent="0.35">
      <c r="F5213">
        <v>5208</v>
      </c>
      <c r="G5213" s="102">
        <f t="shared" ca="1" si="85"/>
        <v>-1.3273757653588115E-2</v>
      </c>
    </row>
    <row r="5214" spans="6:7" x14ac:dyDescent="0.35">
      <c r="F5214">
        <v>5209</v>
      </c>
      <c r="G5214" s="102">
        <f t="shared" ca="1" si="85"/>
        <v>-5.3120684303131868E-2</v>
      </c>
    </row>
    <row r="5215" spans="6:7" x14ac:dyDescent="0.35">
      <c r="F5215">
        <v>5210</v>
      </c>
      <c r="G5215" s="102">
        <f t="shared" ca="1" si="85"/>
        <v>5.3053775750666748E-2</v>
      </c>
    </row>
    <row r="5216" spans="6:7" x14ac:dyDescent="0.35">
      <c r="F5216">
        <v>5211</v>
      </c>
      <c r="G5216" s="102">
        <f t="shared" ca="1" si="85"/>
        <v>-5.8659729728017546E-3</v>
      </c>
    </row>
    <row r="5217" spans="6:7" x14ac:dyDescent="0.35">
      <c r="F5217">
        <v>5212</v>
      </c>
      <c r="G5217" s="102">
        <f t="shared" ca="1" si="85"/>
        <v>8.7644148921229657E-3</v>
      </c>
    </row>
    <row r="5218" spans="6:7" x14ac:dyDescent="0.35">
      <c r="F5218">
        <v>5213</v>
      </c>
      <c r="G5218" s="102">
        <f t="shared" ca="1" si="85"/>
        <v>-2.103101572135745E-2</v>
      </c>
    </row>
    <row r="5219" spans="6:7" x14ac:dyDescent="0.35">
      <c r="F5219">
        <v>5214</v>
      </c>
      <c r="G5219" s="102">
        <f t="shared" ca="1" si="85"/>
        <v>-4.4188206832930579E-2</v>
      </c>
    </row>
    <row r="5220" spans="6:7" x14ac:dyDescent="0.35">
      <c r="F5220">
        <v>5215</v>
      </c>
      <c r="G5220" s="102">
        <f t="shared" ca="1" si="85"/>
        <v>-6.9264170849193729E-2</v>
      </c>
    </row>
    <row r="5221" spans="6:7" x14ac:dyDescent="0.35">
      <c r="F5221">
        <v>5216</v>
      </c>
      <c r="G5221" s="102">
        <f t="shared" ca="1" si="85"/>
        <v>3.8084445132790121E-2</v>
      </c>
    </row>
    <row r="5222" spans="6:7" x14ac:dyDescent="0.35">
      <c r="F5222">
        <v>5217</v>
      </c>
      <c r="G5222" s="102">
        <f t="shared" ca="1" si="85"/>
        <v>-1.5304031144465794E-2</v>
      </c>
    </row>
    <row r="5223" spans="6:7" x14ac:dyDescent="0.35">
      <c r="F5223">
        <v>5218</v>
      </c>
      <c r="G5223" s="102">
        <f t="shared" ca="1" si="85"/>
        <v>-8.8813589225338496E-2</v>
      </c>
    </row>
    <row r="5224" spans="6:7" x14ac:dyDescent="0.35">
      <c r="F5224">
        <v>5219</v>
      </c>
      <c r="G5224" s="102">
        <f t="shared" ca="1" si="85"/>
        <v>-8.6475601154151274E-3</v>
      </c>
    </row>
    <row r="5225" spans="6:7" x14ac:dyDescent="0.35">
      <c r="F5225">
        <v>5220</v>
      </c>
      <c r="G5225" s="102">
        <f t="shared" ca="1" si="85"/>
        <v>4.8736760525590422E-2</v>
      </c>
    </row>
    <row r="5226" spans="6:7" x14ac:dyDescent="0.35">
      <c r="F5226">
        <v>5221</v>
      </c>
      <c r="G5226" s="102">
        <f t="shared" ca="1" si="85"/>
        <v>3.9007301907608691E-2</v>
      </c>
    </row>
    <row r="5227" spans="6:7" x14ac:dyDescent="0.35">
      <c r="F5227">
        <v>5222</v>
      </c>
      <c r="G5227" s="102">
        <f t="shared" ca="1" si="85"/>
        <v>5.1980500940429306E-3</v>
      </c>
    </row>
    <row r="5228" spans="6:7" x14ac:dyDescent="0.35">
      <c r="F5228">
        <v>5223</v>
      </c>
      <c r="G5228" s="102">
        <f t="shared" ca="1" si="85"/>
        <v>5.9341272220229099E-2</v>
      </c>
    </row>
    <row r="5229" spans="6:7" x14ac:dyDescent="0.35">
      <c r="F5229">
        <v>5224</v>
      </c>
      <c r="G5229" s="102">
        <f t="shared" ca="1" si="85"/>
        <v>1.7997584734868288E-2</v>
      </c>
    </row>
    <row r="5230" spans="6:7" x14ac:dyDescent="0.35">
      <c r="F5230">
        <v>5225</v>
      </c>
      <c r="G5230" s="102">
        <f t="shared" ca="1" si="85"/>
        <v>0.12130619276099545</v>
      </c>
    </row>
    <row r="5231" spans="6:7" x14ac:dyDescent="0.35">
      <c r="F5231">
        <v>5226</v>
      </c>
      <c r="G5231" s="102">
        <f t="shared" ca="1" si="85"/>
        <v>6.3605613316126491E-2</v>
      </c>
    </row>
    <row r="5232" spans="6:7" x14ac:dyDescent="0.35">
      <c r="F5232">
        <v>5227</v>
      </c>
      <c r="G5232" s="102">
        <f t="shared" ca="1" si="85"/>
        <v>4.9759821280937117E-2</v>
      </c>
    </row>
    <row r="5233" spans="6:7" x14ac:dyDescent="0.35">
      <c r="F5233">
        <v>5228</v>
      </c>
      <c r="G5233" s="102">
        <f t="shared" ca="1" si="85"/>
        <v>-8.976038914486513E-2</v>
      </c>
    </row>
    <row r="5234" spans="6:7" x14ac:dyDescent="0.35">
      <c r="F5234">
        <v>5229</v>
      </c>
      <c r="G5234" s="102">
        <f t="shared" ca="1" si="85"/>
        <v>-5.9837395987759057E-2</v>
      </c>
    </row>
    <row r="5235" spans="6:7" x14ac:dyDescent="0.35">
      <c r="F5235">
        <v>5230</v>
      </c>
      <c r="G5235" s="102">
        <f t="shared" ca="1" si="85"/>
        <v>-2.5798502034798054E-2</v>
      </c>
    </row>
    <row r="5236" spans="6:7" x14ac:dyDescent="0.35">
      <c r="F5236">
        <v>5231</v>
      </c>
      <c r="G5236" s="102">
        <f t="shared" ca="1" si="85"/>
        <v>-8.0556607798609084E-2</v>
      </c>
    </row>
    <row r="5237" spans="6:7" x14ac:dyDescent="0.35">
      <c r="F5237">
        <v>5232</v>
      </c>
      <c r="G5237" s="102">
        <f t="shared" ca="1" si="85"/>
        <v>8.8141624144622358E-2</v>
      </c>
    </row>
    <row r="5238" spans="6:7" x14ac:dyDescent="0.35">
      <c r="F5238">
        <v>5233</v>
      </c>
      <c r="G5238" s="102">
        <f t="shared" ca="1" si="85"/>
        <v>0.14620012759699028</v>
      </c>
    </row>
    <row r="5239" spans="6:7" x14ac:dyDescent="0.35">
      <c r="F5239">
        <v>5234</v>
      </c>
      <c r="G5239" s="102">
        <f t="shared" ca="1" si="85"/>
        <v>-1.2739875680840611E-2</v>
      </c>
    </row>
    <row r="5240" spans="6:7" x14ac:dyDescent="0.35">
      <c r="F5240">
        <v>5235</v>
      </c>
      <c r="G5240" s="102">
        <f t="shared" ca="1" si="85"/>
        <v>-9.5708016900520249E-2</v>
      </c>
    </row>
    <row r="5241" spans="6:7" x14ac:dyDescent="0.35">
      <c r="F5241">
        <v>5236</v>
      </c>
      <c r="G5241" s="102">
        <f t="shared" ca="1" si="85"/>
        <v>3.2518485596238503E-2</v>
      </c>
    </row>
    <row r="5242" spans="6:7" x14ac:dyDescent="0.35">
      <c r="F5242">
        <v>5237</v>
      </c>
      <c r="G5242" s="102">
        <f t="shared" ca="1" si="85"/>
        <v>-1.2978497493694011E-2</v>
      </c>
    </row>
    <row r="5243" spans="6:7" x14ac:dyDescent="0.35">
      <c r="F5243">
        <v>5238</v>
      </c>
      <c r="G5243" s="102">
        <f t="shared" ca="1" si="85"/>
        <v>-1.3594340877280375E-2</v>
      </c>
    </row>
    <row r="5244" spans="6:7" x14ac:dyDescent="0.35">
      <c r="F5244">
        <v>5239</v>
      </c>
      <c r="G5244" s="102">
        <f t="shared" ca="1" si="85"/>
        <v>4.8880071956387397E-2</v>
      </c>
    </row>
    <row r="5245" spans="6:7" x14ac:dyDescent="0.35">
      <c r="F5245">
        <v>5240</v>
      </c>
      <c r="G5245" s="102">
        <f t="shared" ca="1" si="85"/>
        <v>1.6098501475912862E-2</v>
      </c>
    </row>
    <row r="5246" spans="6:7" x14ac:dyDescent="0.35">
      <c r="F5246">
        <v>5241</v>
      </c>
      <c r="G5246" s="102">
        <f t="shared" ca="1" si="85"/>
        <v>-3.7731101481441209E-2</v>
      </c>
    </row>
    <row r="5247" spans="6:7" x14ac:dyDescent="0.35">
      <c r="F5247">
        <v>5242</v>
      </c>
      <c r="G5247" s="102">
        <f t="shared" ca="1" si="85"/>
        <v>-3.050863607255587E-2</v>
      </c>
    </row>
    <row r="5248" spans="6:7" x14ac:dyDescent="0.35">
      <c r="F5248">
        <v>5243</v>
      </c>
      <c r="G5248" s="102">
        <f t="shared" ca="1" si="85"/>
        <v>-3.0142426050225907E-2</v>
      </c>
    </row>
    <row r="5249" spans="6:7" x14ac:dyDescent="0.35">
      <c r="F5249">
        <v>5244</v>
      </c>
      <c r="G5249" s="102">
        <f t="shared" ca="1" si="85"/>
        <v>-8.6450318265229337E-2</v>
      </c>
    </row>
    <row r="5250" spans="6:7" x14ac:dyDescent="0.35">
      <c r="F5250">
        <v>5245</v>
      </c>
      <c r="G5250" s="102">
        <f t="shared" ca="1" si="85"/>
        <v>-6.095671856575044E-3</v>
      </c>
    </row>
    <row r="5251" spans="6:7" x14ac:dyDescent="0.35">
      <c r="F5251">
        <v>5246</v>
      </c>
      <c r="G5251" s="102">
        <f t="shared" ca="1" si="85"/>
        <v>-2.0170286599911842E-2</v>
      </c>
    </row>
    <row r="5252" spans="6:7" x14ac:dyDescent="0.35">
      <c r="F5252">
        <v>5247</v>
      </c>
      <c r="G5252" s="102">
        <f t="shared" ca="1" si="85"/>
        <v>2.1490920150957941E-2</v>
      </c>
    </row>
    <row r="5253" spans="6:7" x14ac:dyDescent="0.35">
      <c r="F5253">
        <v>5248</v>
      </c>
      <c r="G5253" s="102">
        <f t="shared" ca="1" si="85"/>
        <v>-2.3458253527453171E-3</v>
      </c>
    </row>
    <row r="5254" spans="6:7" x14ac:dyDescent="0.35">
      <c r="F5254">
        <v>5249</v>
      </c>
      <c r="G5254" s="102">
        <f t="shared" ca="1" si="85"/>
        <v>6.3952520372352009E-2</v>
      </c>
    </row>
    <row r="5255" spans="6:7" x14ac:dyDescent="0.35">
      <c r="F5255">
        <v>5250</v>
      </c>
      <c r="G5255" s="102">
        <f t="shared" ref="G5255:G5318" ca="1" si="86">_xlfn.NORM.INV(RAND(),M$9,M$10)</f>
        <v>-8.3343116802777631E-2</v>
      </c>
    </row>
    <row r="5256" spans="6:7" x14ac:dyDescent="0.35">
      <c r="F5256">
        <v>5251</v>
      </c>
      <c r="G5256" s="102">
        <f t="shared" ca="1" si="86"/>
        <v>2.4906144486014661E-2</v>
      </c>
    </row>
    <row r="5257" spans="6:7" x14ac:dyDescent="0.35">
      <c r="F5257">
        <v>5252</v>
      </c>
      <c r="G5257" s="102">
        <f t="shared" ca="1" si="86"/>
        <v>2.2881521232060716E-2</v>
      </c>
    </row>
    <row r="5258" spans="6:7" x14ac:dyDescent="0.35">
      <c r="F5258">
        <v>5253</v>
      </c>
      <c r="G5258" s="102">
        <f t="shared" ca="1" si="86"/>
        <v>-1.3855229517673658E-2</v>
      </c>
    </row>
    <row r="5259" spans="6:7" x14ac:dyDescent="0.35">
      <c r="F5259">
        <v>5254</v>
      </c>
      <c r="G5259" s="102">
        <f t="shared" ca="1" si="86"/>
        <v>-0.10736468765035219</v>
      </c>
    </row>
    <row r="5260" spans="6:7" x14ac:dyDescent="0.35">
      <c r="F5260">
        <v>5255</v>
      </c>
      <c r="G5260" s="102">
        <f t="shared" ca="1" si="86"/>
        <v>0.10957225324688004</v>
      </c>
    </row>
    <row r="5261" spans="6:7" x14ac:dyDescent="0.35">
      <c r="F5261">
        <v>5256</v>
      </c>
      <c r="G5261" s="102">
        <f t="shared" ca="1" si="86"/>
        <v>1.0602024638816345E-2</v>
      </c>
    </row>
    <row r="5262" spans="6:7" x14ac:dyDescent="0.35">
      <c r="F5262">
        <v>5257</v>
      </c>
      <c r="G5262" s="102">
        <f t="shared" ca="1" si="86"/>
        <v>-3.8473897053807632E-2</v>
      </c>
    </row>
    <row r="5263" spans="6:7" x14ac:dyDescent="0.35">
      <c r="F5263">
        <v>5258</v>
      </c>
      <c r="G5263" s="102">
        <f t="shared" ca="1" si="86"/>
        <v>-1.8145931159817497E-2</v>
      </c>
    </row>
    <row r="5264" spans="6:7" x14ac:dyDescent="0.35">
      <c r="F5264">
        <v>5259</v>
      </c>
      <c r="G5264" s="102">
        <f t="shared" ca="1" si="86"/>
        <v>-2.7937590001567134E-2</v>
      </c>
    </row>
    <row r="5265" spans="6:7" x14ac:dyDescent="0.35">
      <c r="F5265">
        <v>5260</v>
      </c>
      <c r="G5265" s="102">
        <f t="shared" ca="1" si="86"/>
        <v>-1.5794720436102666E-2</v>
      </c>
    </row>
    <row r="5266" spans="6:7" x14ac:dyDescent="0.35">
      <c r="F5266">
        <v>5261</v>
      </c>
      <c r="G5266" s="102">
        <f t="shared" ca="1" si="86"/>
        <v>-2.2433939812991983E-2</v>
      </c>
    </row>
    <row r="5267" spans="6:7" x14ac:dyDescent="0.35">
      <c r="F5267">
        <v>5262</v>
      </c>
      <c r="G5267" s="102">
        <f t="shared" ca="1" si="86"/>
        <v>-9.3458760970325461E-2</v>
      </c>
    </row>
    <row r="5268" spans="6:7" x14ac:dyDescent="0.35">
      <c r="F5268">
        <v>5263</v>
      </c>
      <c r="G5268" s="102">
        <f t="shared" ca="1" si="86"/>
        <v>-8.123793680802377E-2</v>
      </c>
    </row>
    <row r="5269" spans="6:7" x14ac:dyDescent="0.35">
      <c r="F5269">
        <v>5264</v>
      </c>
      <c r="G5269" s="102">
        <f t="shared" ca="1" si="86"/>
        <v>4.374117335099853E-2</v>
      </c>
    </row>
    <row r="5270" spans="6:7" x14ac:dyDescent="0.35">
      <c r="F5270">
        <v>5265</v>
      </c>
      <c r="G5270" s="102">
        <f t="shared" ca="1" si="86"/>
        <v>-4.1213825786880751E-2</v>
      </c>
    </row>
    <row r="5271" spans="6:7" x14ac:dyDescent="0.35">
      <c r="F5271">
        <v>5266</v>
      </c>
      <c r="G5271" s="102">
        <f t="shared" ca="1" si="86"/>
        <v>-2.4923015780283539E-2</v>
      </c>
    </row>
    <row r="5272" spans="6:7" x14ac:dyDescent="0.35">
      <c r="F5272">
        <v>5267</v>
      </c>
      <c r="G5272" s="102">
        <f t="shared" ca="1" si="86"/>
        <v>2.8901344981712044E-2</v>
      </c>
    </row>
    <row r="5273" spans="6:7" x14ac:dyDescent="0.35">
      <c r="F5273">
        <v>5268</v>
      </c>
      <c r="G5273" s="102">
        <f t="shared" ca="1" si="86"/>
        <v>1.793931454063992E-2</v>
      </c>
    </row>
    <row r="5274" spans="6:7" x14ac:dyDescent="0.35">
      <c r="F5274">
        <v>5269</v>
      </c>
      <c r="G5274" s="102">
        <f t="shared" ca="1" si="86"/>
        <v>5.41371699622131E-2</v>
      </c>
    </row>
    <row r="5275" spans="6:7" x14ac:dyDescent="0.35">
      <c r="F5275">
        <v>5270</v>
      </c>
      <c r="G5275" s="102">
        <f t="shared" ca="1" si="86"/>
        <v>-4.9538168048053027E-2</v>
      </c>
    </row>
    <row r="5276" spans="6:7" x14ac:dyDescent="0.35">
      <c r="F5276">
        <v>5271</v>
      </c>
      <c r="G5276" s="102">
        <f t="shared" ca="1" si="86"/>
        <v>8.6875029216768346E-2</v>
      </c>
    </row>
    <row r="5277" spans="6:7" x14ac:dyDescent="0.35">
      <c r="F5277">
        <v>5272</v>
      </c>
      <c r="G5277" s="102">
        <f t="shared" ca="1" si="86"/>
        <v>-4.8936802588023451E-2</v>
      </c>
    </row>
    <row r="5278" spans="6:7" x14ac:dyDescent="0.35">
      <c r="F5278">
        <v>5273</v>
      </c>
      <c r="G5278" s="102">
        <f t="shared" ca="1" si="86"/>
        <v>-1.3303631808661995E-2</v>
      </c>
    </row>
    <row r="5279" spans="6:7" x14ac:dyDescent="0.35">
      <c r="F5279">
        <v>5274</v>
      </c>
      <c r="G5279" s="102">
        <f t="shared" ca="1" si="86"/>
        <v>-8.8379243240280389E-2</v>
      </c>
    </row>
    <row r="5280" spans="6:7" x14ac:dyDescent="0.35">
      <c r="F5280">
        <v>5275</v>
      </c>
      <c r="G5280" s="102">
        <f t="shared" ca="1" si="86"/>
        <v>-6.1809425950703689E-3</v>
      </c>
    </row>
    <row r="5281" spans="6:7" x14ac:dyDescent="0.35">
      <c r="F5281">
        <v>5276</v>
      </c>
      <c r="G5281" s="102">
        <f t="shared" ca="1" si="86"/>
        <v>8.668838179647588E-2</v>
      </c>
    </row>
    <row r="5282" spans="6:7" x14ac:dyDescent="0.35">
      <c r="F5282">
        <v>5277</v>
      </c>
      <c r="G5282" s="102">
        <f t="shared" ca="1" si="86"/>
        <v>-1.5853126507546958E-2</v>
      </c>
    </row>
    <row r="5283" spans="6:7" x14ac:dyDescent="0.35">
      <c r="F5283">
        <v>5278</v>
      </c>
      <c r="G5283" s="102">
        <f t="shared" ca="1" si="86"/>
        <v>4.4490826524623259E-2</v>
      </c>
    </row>
    <row r="5284" spans="6:7" x14ac:dyDescent="0.35">
      <c r="F5284">
        <v>5279</v>
      </c>
      <c r="G5284" s="102">
        <f t="shared" ca="1" si="86"/>
        <v>8.000298755115591E-2</v>
      </c>
    </row>
    <row r="5285" spans="6:7" x14ac:dyDescent="0.35">
      <c r="F5285">
        <v>5280</v>
      </c>
      <c r="G5285" s="102">
        <f t="shared" ca="1" si="86"/>
        <v>-5.7339860523275971E-2</v>
      </c>
    </row>
    <row r="5286" spans="6:7" x14ac:dyDescent="0.35">
      <c r="F5286">
        <v>5281</v>
      </c>
      <c r="G5286" s="102">
        <f t="shared" ca="1" si="86"/>
        <v>0.10229339866718359</v>
      </c>
    </row>
    <row r="5287" spans="6:7" x14ac:dyDescent="0.35">
      <c r="F5287">
        <v>5282</v>
      </c>
      <c r="G5287" s="102">
        <f t="shared" ca="1" si="86"/>
        <v>9.0559052544722414E-3</v>
      </c>
    </row>
    <row r="5288" spans="6:7" x14ac:dyDescent="0.35">
      <c r="F5288">
        <v>5283</v>
      </c>
      <c r="G5288" s="102">
        <f t="shared" ca="1" si="86"/>
        <v>7.1809805093060331E-3</v>
      </c>
    </row>
    <row r="5289" spans="6:7" x14ac:dyDescent="0.35">
      <c r="F5289">
        <v>5284</v>
      </c>
      <c r="G5289" s="102">
        <f t="shared" ca="1" si="86"/>
        <v>-5.378447019515889E-2</v>
      </c>
    </row>
    <row r="5290" spans="6:7" x14ac:dyDescent="0.35">
      <c r="F5290">
        <v>5285</v>
      </c>
      <c r="G5290" s="102">
        <f t="shared" ca="1" si="86"/>
        <v>3.2580782549389717E-2</v>
      </c>
    </row>
    <row r="5291" spans="6:7" x14ac:dyDescent="0.35">
      <c r="F5291">
        <v>5286</v>
      </c>
      <c r="G5291" s="102">
        <f t="shared" ca="1" si="86"/>
        <v>-0.17178908745305765</v>
      </c>
    </row>
    <row r="5292" spans="6:7" x14ac:dyDescent="0.35">
      <c r="F5292">
        <v>5287</v>
      </c>
      <c r="G5292" s="102">
        <f t="shared" ca="1" si="86"/>
        <v>-2.7414036660490502E-2</v>
      </c>
    </row>
    <row r="5293" spans="6:7" x14ac:dyDescent="0.35">
      <c r="F5293">
        <v>5288</v>
      </c>
      <c r="G5293" s="102">
        <f t="shared" ca="1" si="86"/>
        <v>-0.16149193437601858</v>
      </c>
    </row>
    <row r="5294" spans="6:7" x14ac:dyDescent="0.35">
      <c r="F5294">
        <v>5289</v>
      </c>
      <c r="G5294" s="102">
        <f t="shared" ca="1" si="86"/>
        <v>2.4733143025807192E-2</v>
      </c>
    </row>
    <row r="5295" spans="6:7" x14ac:dyDescent="0.35">
      <c r="F5295">
        <v>5290</v>
      </c>
      <c r="G5295" s="102">
        <f t="shared" ca="1" si="86"/>
        <v>-4.9017002750899458E-3</v>
      </c>
    </row>
    <row r="5296" spans="6:7" x14ac:dyDescent="0.35">
      <c r="F5296">
        <v>5291</v>
      </c>
      <c r="G5296" s="102">
        <f t="shared" ca="1" si="86"/>
        <v>-4.815183615055002E-2</v>
      </c>
    </row>
    <row r="5297" spans="6:7" x14ac:dyDescent="0.35">
      <c r="F5297">
        <v>5292</v>
      </c>
      <c r="G5297" s="102">
        <f t="shared" ca="1" si="86"/>
        <v>-5.4942839431957866E-2</v>
      </c>
    </row>
    <row r="5298" spans="6:7" x14ac:dyDescent="0.35">
      <c r="F5298">
        <v>5293</v>
      </c>
      <c r="G5298" s="102">
        <f t="shared" ca="1" si="86"/>
        <v>-6.5919523738411007E-2</v>
      </c>
    </row>
    <row r="5299" spans="6:7" x14ac:dyDescent="0.35">
      <c r="F5299">
        <v>5294</v>
      </c>
      <c r="G5299" s="102">
        <f t="shared" ca="1" si="86"/>
        <v>-7.6615707966621411E-3</v>
      </c>
    </row>
    <row r="5300" spans="6:7" x14ac:dyDescent="0.35">
      <c r="F5300">
        <v>5295</v>
      </c>
      <c r="G5300" s="102">
        <f t="shared" ca="1" si="86"/>
        <v>-6.3740916457987878E-2</v>
      </c>
    </row>
    <row r="5301" spans="6:7" x14ac:dyDescent="0.35">
      <c r="F5301">
        <v>5296</v>
      </c>
      <c r="G5301" s="102">
        <f t="shared" ca="1" si="86"/>
        <v>-3.540401811314918E-2</v>
      </c>
    </row>
    <row r="5302" spans="6:7" x14ac:dyDescent="0.35">
      <c r="F5302">
        <v>5297</v>
      </c>
      <c r="G5302" s="102">
        <f t="shared" ca="1" si="86"/>
        <v>-2.3668829056822136E-2</v>
      </c>
    </row>
    <row r="5303" spans="6:7" x14ac:dyDescent="0.35">
      <c r="F5303">
        <v>5298</v>
      </c>
      <c r="G5303" s="102">
        <f t="shared" ca="1" si="86"/>
        <v>-1.7944897531122349E-2</v>
      </c>
    </row>
    <row r="5304" spans="6:7" x14ac:dyDescent="0.35">
      <c r="F5304">
        <v>5299</v>
      </c>
      <c r="G5304" s="102">
        <f t="shared" ca="1" si="86"/>
        <v>-4.1417038415214824E-2</v>
      </c>
    </row>
    <row r="5305" spans="6:7" x14ac:dyDescent="0.35">
      <c r="F5305">
        <v>5300</v>
      </c>
      <c r="G5305" s="102">
        <f t="shared" ca="1" si="86"/>
        <v>5.5511694680182813E-2</v>
      </c>
    </row>
    <row r="5306" spans="6:7" x14ac:dyDescent="0.35">
      <c r="F5306">
        <v>5301</v>
      </c>
      <c r="G5306" s="102">
        <f t="shared" ca="1" si="86"/>
        <v>-2.4734198553998728E-2</v>
      </c>
    </row>
    <row r="5307" spans="6:7" x14ac:dyDescent="0.35">
      <c r="F5307">
        <v>5302</v>
      </c>
      <c r="G5307" s="102">
        <f t="shared" ca="1" si="86"/>
        <v>-0.12834844985294386</v>
      </c>
    </row>
    <row r="5308" spans="6:7" x14ac:dyDescent="0.35">
      <c r="F5308">
        <v>5303</v>
      </c>
      <c r="G5308" s="102">
        <f t="shared" ca="1" si="86"/>
        <v>5.9130117897186266E-2</v>
      </c>
    </row>
    <row r="5309" spans="6:7" x14ac:dyDescent="0.35">
      <c r="F5309">
        <v>5304</v>
      </c>
      <c r="G5309" s="102">
        <f t="shared" ca="1" si="86"/>
        <v>-5.6975269108411442E-2</v>
      </c>
    </row>
    <row r="5310" spans="6:7" x14ac:dyDescent="0.35">
      <c r="F5310">
        <v>5305</v>
      </c>
      <c r="G5310" s="102">
        <f t="shared" ca="1" si="86"/>
        <v>-4.0968594130938851E-3</v>
      </c>
    </row>
    <row r="5311" spans="6:7" x14ac:dyDescent="0.35">
      <c r="F5311">
        <v>5306</v>
      </c>
      <c r="G5311" s="102">
        <f t="shared" ca="1" si="86"/>
        <v>2.1108132723693399E-2</v>
      </c>
    </row>
    <row r="5312" spans="6:7" x14ac:dyDescent="0.35">
      <c r="F5312">
        <v>5307</v>
      </c>
      <c r="G5312" s="102">
        <f t="shared" ca="1" si="86"/>
        <v>-2.0638652070413419E-2</v>
      </c>
    </row>
    <row r="5313" spans="6:7" x14ac:dyDescent="0.35">
      <c r="F5313">
        <v>5308</v>
      </c>
      <c r="G5313" s="102">
        <f t="shared" ca="1" si="86"/>
        <v>0.1353985621704123</v>
      </c>
    </row>
    <row r="5314" spans="6:7" x14ac:dyDescent="0.35">
      <c r="F5314">
        <v>5309</v>
      </c>
      <c r="G5314" s="102">
        <f t="shared" ca="1" si="86"/>
        <v>-4.7945194096837909E-2</v>
      </c>
    </row>
    <row r="5315" spans="6:7" x14ac:dyDescent="0.35">
      <c r="F5315">
        <v>5310</v>
      </c>
      <c r="G5315" s="102">
        <f t="shared" ca="1" si="86"/>
        <v>-5.6234456891903983E-2</v>
      </c>
    </row>
    <row r="5316" spans="6:7" x14ac:dyDescent="0.35">
      <c r="F5316">
        <v>5311</v>
      </c>
      <c r="G5316" s="102">
        <f t="shared" ca="1" si="86"/>
        <v>-0.18251104389858341</v>
      </c>
    </row>
    <row r="5317" spans="6:7" x14ac:dyDescent="0.35">
      <c r="F5317">
        <v>5312</v>
      </c>
      <c r="G5317" s="102">
        <f t="shared" ca="1" si="86"/>
        <v>-1.579585813095355E-2</v>
      </c>
    </row>
    <row r="5318" spans="6:7" x14ac:dyDescent="0.35">
      <c r="F5318">
        <v>5313</v>
      </c>
      <c r="G5318" s="102">
        <f t="shared" ca="1" si="86"/>
        <v>-5.6251009534751553E-2</v>
      </c>
    </row>
    <row r="5319" spans="6:7" x14ac:dyDescent="0.35">
      <c r="F5319">
        <v>5314</v>
      </c>
      <c r="G5319" s="102">
        <f t="shared" ref="G5319:G5382" ca="1" si="87">_xlfn.NORM.INV(RAND(),M$9,M$10)</f>
        <v>8.819557243037851E-2</v>
      </c>
    </row>
    <row r="5320" spans="6:7" x14ac:dyDescent="0.35">
      <c r="F5320">
        <v>5315</v>
      </c>
      <c r="G5320" s="102">
        <f t="shared" ca="1" si="87"/>
        <v>-2.1046550199949301E-2</v>
      </c>
    </row>
    <row r="5321" spans="6:7" x14ac:dyDescent="0.35">
      <c r="F5321">
        <v>5316</v>
      </c>
      <c r="G5321" s="102">
        <f t="shared" ca="1" si="87"/>
        <v>6.6484292149382895E-2</v>
      </c>
    </row>
    <row r="5322" spans="6:7" x14ac:dyDescent="0.35">
      <c r="F5322">
        <v>5317</v>
      </c>
      <c r="G5322" s="102">
        <f t="shared" ca="1" si="87"/>
        <v>2.173453601277248E-2</v>
      </c>
    </row>
    <row r="5323" spans="6:7" x14ac:dyDescent="0.35">
      <c r="F5323">
        <v>5318</v>
      </c>
      <c r="G5323" s="102">
        <f t="shared" ca="1" si="87"/>
        <v>6.535325407606242E-3</v>
      </c>
    </row>
    <row r="5324" spans="6:7" x14ac:dyDescent="0.35">
      <c r="F5324">
        <v>5319</v>
      </c>
      <c r="G5324" s="102">
        <f t="shared" ca="1" si="87"/>
        <v>0.10093311377433212</v>
      </c>
    </row>
    <row r="5325" spans="6:7" x14ac:dyDescent="0.35">
      <c r="F5325">
        <v>5320</v>
      </c>
      <c r="G5325" s="102">
        <f t="shared" ca="1" si="87"/>
        <v>6.4845459899048496E-2</v>
      </c>
    </row>
    <row r="5326" spans="6:7" x14ac:dyDescent="0.35">
      <c r="F5326">
        <v>5321</v>
      </c>
      <c r="G5326" s="102">
        <f t="shared" ca="1" si="87"/>
        <v>-1.614292331790404E-3</v>
      </c>
    </row>
    <row r="5327" spans="6:7" x14ac:dyDescent="0.35">
      <c r="F5327">
        <v>5322</v>
      </c>
      <c r="G5327" s="102">
        <f t="shared" ca="1" si="87"/>
        <v>0.11961790623820175</v>
      </c>
    </row>
    <row r="5328" spans="6:7" x14ac:dyDescent="0.35">
      <c r="F5328">
        <v>5323</v>
      </c>
      <c r="G5328" s="102">
        <f t="shared" ca="1" si="87"/>
        <v>2.9067553761482418E-2</v>
      </c>
    </row>
    <row r="5329" spans="6:7" x14ac:dyDescent="0.35">
      <c r="F5329">
        <v>5324</v>
      </c>
      <c r="G5329" s="102">
        <f t="shared" ca="1" si="87"/>
        <v>-1.1799433200557329E-2</v>
      </c>
    </row>
    <row r="5330" spans="6:7" x14ac:dyDescent="0.35">
      <c r="F5330">
        <v>5325</v>
      </c>
      <c r="G5330" s="102">
        <f t="shared" ca="1" si="87"/>
        <v>-3.3719890810589764E-2</v>
      </c>
    </row>
    <row r="5331" spans="6:7" x14ac:dyDescent="0.35">
      <c r="F5331">
        <v>5326</v>
      </c>
      <c r="G5331" s="102">
        <f t="shared" ca="1" si="87"/>
        <v>6.256808896432775E-2</v>
      </c>
    </row>
    <row r="5332" spans="6:7" x14ac:dyDescent="0.35">
      <c r="F5332">
        <v>5327</v>
      </c>
      <c r="G5332" s="102">
        <f t="shared" ca="1" si="87"/>
        <v>-3.7684352348354294E-2</v>
      </c>
    </row>
    <row r="5333" spans="6:7" x14ac:dyDescent="0.35">
      <c r="F5333">
        <v>5328</v>
      </c>
      <c r="G5333" s="102">
        <f t="shared" ca="1" si="87"/>
        <v>4.6629393382956547E-2</v>
      </c>
    </row>
    <row r="5334" spans="6:7" x14ac:dyDescent="0.35">
      <c r="F5334">
        <v>5329</v>
      </c>
      <c r="G5334" s="102">
        <f t="shared" ca="1" si="87"/>
        <v>3.112681295739193E-2</v>
      </c>
    </row>
    <row r="5335" spans="6:7" x14ac:dyDescent="0.35">
      <c r="F5335">
        <v>5330</v>
      </c>
      <c r="G5335" s="102">
        <f t="shared" ca="1" si="87"/>
        <v>6.1736451088157659E-2</v>
      </c>
    </row>
    <row r="5336" spans="6:7" x14ac:dyDescent="0.35">
      <c r="F5336">
        <v>5331</v>
      </c>
      <c r="G5336" s="102">
        <f t="shared" ca="1" si="87"/>
        <v>-8.4371035664688843E-2</v>
      </c>
    </row>
    <row r="5337" spans="6:7" x14ac:dyDescent="0.35">
      <c r="F5337">
        <v>5332</v>
      </c>
      <c r="G5337" s="102">
        <f t="shared" ca="1" si="87"/>
        <v>-2.9376552094330492E-2</v>
      </c>
    </row>
    <row r="5338" spans="6:7" x14ac:dyDescent="0.35">
      <c r="F5338">
        <v>5333</v>
      </c>
      <c r="G5338" s="102">
        <f t="shared" ca="1" si="87"/>
        <v>-4.0957736049829954E-2</v>
      </c>
    </row>
    <row r="5339" spans="6:7" x14ac:dyDescent="0.35">
      <c r="F5339">
        <v>5334</v>
      </c>
      <c r="G5339" s="102">
        <f t="shared" ca="1" si="87"/>
        <v>-9.2363132554169822E-3</v>
      </c>
    </row>
    <row r="5340" spans="6:7" x14ac:dyDescent="0.35">
      <c r="F5340">
        <v>5335</v>
      </c>
      <c r="G5340" s="102">
        <f t="shared" ca="1" si="87"/>
        <v>-4.6768775906549875E-2</v>
      </c>
    </row>
    <row r="5341" spans="6:7" x14ac:dyDescent="0.35">
      <c r="F5341">
        <v>5336</v>
      </c>
      <c r="G5341" s="102">
        <f t="shared" ca="1" si="87"/>
        <v>3.3221803136376293E-2</v>
      </c>
    </row>
    <row r="5342" spans="6:7" x14ac:dyDescent="0.35">
      <c r="F5342">
        <v>5337</v>
      </c>
      <c r="G5342" s="102">
        <f t="shared" ca="1" si="87"/>
        <v>-0.10159467615714636</v>
      </c>
    </row>
    <row r="5343" spans="6:7" x14ac:dyDescent="0.35">
      <c r="F5343">
        <v>5338</v>
      </c>
      <c r="G5343" s="102">
        <f t="shared" ca="1" si="87"/>
        <v>-8.1416615474100458E-3</v>
      </c>
    </row>
    <row r="5344" spans="6:7" x14ac:dyDescent="0.35">
      <c r="F5344">
        <v>5339</v>
      </c>
      <c r="G5344" s="102">
        <f t="shared" ca="1" si="87"/>
        <v>8.0028050160602271E-2</v>
      </c>
    </row>
    <row r="5345" spans="6:7" x14ac:dyDescent="0.35">
      <c r="F5345">
        <v>5340</v>
      </c>
      <c r="G5345" s="102">
        <f t="shared" ca="1" si="87"/>
        <v>-3.1165462395948369E-2</v>
      </c>
    </row>
    <row r="5346" spans="6:7" x14ac:dyDescent="0.35">
      <c r="F5346">
        <v>5341</v>
      </c>
      <c r="G5346" s="102">
        <f t="shared" ca="1" si="87"/>
        <v>5.012436256153148E-2</v>
      </c>
    </row>
    <row r="5347" spans="6:7" x14ac:dyDescent="0.35">
      <c r="F5347">
        <v>5342</v>
      </c>
      <c r="G5347" s="102">
        <f t="shared" ca="1" si="87"/>
        <v>-3.5798973535189224E-2</v>
      </c>
    </row>
    <row r="5348" spans="6:7" x14ac:dyDescent="0.35">
      <c r="F5348">
        <v>5343</v>
      </c>
      <c r="G5348" s="102">
        <f t="shared" ca="1" si="87"/>
        <v>1.8347917973820998E-2</v>
      </c>
    </row>
    <row r="5349" spans="6:7" x14ac:dyDescent="0.35">
      <c r="F5349">
        <v>5344</v>
      </c>
      <c r="G5349" s="102">
        <f t="shared" ca="1" si="87"/>
        <v>0.11039994881233743</v>
      </c>
    </row>
    <row r="5350" spans="6:7" x14ac:dyDescent="0.35">
      <c r="F5350">
        <v>5345</v>
      </c>
      <c r="G5350" s="102">
        <f t="shared" ca="1" si="87"/>
        <v>7.4392343238631128E-2</v>
      </c>
    </row>
    <row r="5351" spans="6:7" x14ac:dyDescent="0.35">
      <c r="F5351">
        <v>5346</v>
      </c>
      <c r="G5351" s="102">
        <f t="shared" ca="1" si="87"/>
        <v>4.309882473669116E-2</v>
      </c>
    </row>
    <row r="5352" spans="6:7" x14ac:dyDescent="0.35">
      <c r="F5352">
        <v>5347</v>
      </c>
      <c r="G5352" s="102">
        <f t="shared" ca="1" si="87"/>
        <v>2.6864315267184715E-2</v>
      </c>
    </row>
    <row r="5353" spans="6:7" x14ac:dyDescent="0.35">
      <c r="F5353">
        <v>5348</v>
      </c>
      <c r="G5353" s="102">
        <f t="shared" ca="1" si="87"/>
        <v>8.4007288837337352E-3</v>
      </c>
    </row>
    <row r="5354" spans="6:7" x14ac:dyDescent="0.35">
      <c r="F5354">
        <v>5349</v>
      </c>
      <c r="G5354" s="102">
        <f t="shared" ca="1" si="87"/>
        <v>-8.6604011393490235E-2</v>
      </c>
    </row>
    <row r="5355" spans="6:7" x14ac:dyDescent="0.35">
      <c r="F5355">
        <v>5350</v>
      </c>
      <c r="G5355" s="102">
        <f t="shared" ca="1" si="87"/>
        <v>-5.4542429851137914E-2</v>
      </c>
    </row>
    <row r="5356" spans="6:7" x14ac:dyDescent="0.35">
      <c r="F5356">
        <v>5351</v>
      </c>
      <c r="G5356" s="102">
        <f t="shared" ca="1" si="87"/>
        <v>2.6218779858714538E-2</v>
      </c>
    </row>
    <row r="5357" spans="6:7" x14ac:dyDescent="0.35">
      <c r="F5357">
        <v>5352</v>
      </c>
      <c r="G5357" s="102">
        <f t="shared" ca="1" si="87"/>
        <v>-5.1355470008920157E-2</v>
      </c>
    </row>
    <row r="5358" spans="6:7" x14ac:dyDescent="0.35">
      <c r="F5358">
        <v>5353</v>
      </c>
      <c r="G5358" s="102">
        <f t="shared" ca="1" si="87"/>
        <v>1.9908586464183756E-2</v>
      </c>
    </row>
    <row r="5359" spans="6:7" x14ac:dyDescent="0.35">
      <c r="F5359">
        <v>5354</v>
      </c>
      <c r="G5359" s="102">
        <f t="shared" ca="1" si="87"/>
        <v>-1.2764814003594012E-2</v>
      </c>
    </row>
    <row r="5360" spans="6:7" x14ac:dyDescent="0.35">
      <c r="F5360">
        <v>5355</v>
      </c>
      <c r="G5360" s="102">
        <f t="shared" ca="1" si="87"/>
        <v>5.4739068326345175E-2</v>
      </c>
    </row>
    <row r="5361" spans="6:7" x14ac:dyDescent="0.35">
      <c r="F5361">
        <v>5356</v>
      </c>
      <c r="G5361" s="102">
        <f t="shared" ca="1" si="87"/>
        <v>9.8686045488800018E-3</v>
      </c>
    </row>
    <row r="5362" spans="6:7" x14ac:dyDescent="0.35">
      <c r="F5362">
        <v>5357</v>
      </c>
      <c r="G5362" s="102">
        <f t="shared" ca="1" si="87"/>
        <v>9.1135839006545816E-2</v>
      </c>
    </row>
    <row r="5363" spans="6:7" x14ac:dyDescent="0.35">
      <c r="F5363">
        <v>5358</v>
      </c>
      <c r="G5363" s="102">
        <f t="shared" ca="1" si="87"/>
        <v>5.0660128066933777E-2</v>
      </c>
    </row>
    <row r="5364" spans="6:7" x14ac:dyDescent="0.35">
      <c r="F5364">
        <v>5359</v>
      </c>
      <c r="G5364" s="102">
        <f t="shared" ca="1" si="87"/>
        <v>9.3888384935470845E-2</v>
      </c>
    </row>
    <row r="5365" spans="6:7" x14ac:dyDescent="0.35">
      <c r="F5365">
        <v>5360</v>
      </c>
      <c r="G5365" s="102">
        <f t="shared" ca="1" si="87"/>
        <v>1.8450182198063405E-2</v>
      </c>
    </row>
    <row r="5366" spans="6:7" x14ac:dyDescent="0.35">
      <c r="F5366">
        <v>5361</v>
      </c>
      <c r="G5366" s="102">
        <f t="shared" ca="1" si="87"/>
        <v>-7.6673687859956888E-2</v>
      </c>
    </row>
    <row r="5367" spans="6:7" x14ac:dyDescent="0.35">
      <c r="F5367">
        <v>5362</v>
      </c>
      <c r="G5367" s="102">
        <f t="shared" ca="1" si="87"/>
        <v>-0.10561373309924549</v>
      </c>
    </row>
    <row r="5368" spans="6:7" x14ac:dyDescent="0.35">
      <c r="F5368">
        <v>5363</v>
      </c>
      <c r="G5368" s="102">
        <f t="shared" ca="1" si="87"/>
        <v>2.6526624406507913E-2</v>
      </c>
    </row>
    <row r="5369" spans="6:7" x14ac:dyDescent="0.35">
      <c r="F5369">
        <v>5364</v>
      </c>
      <c r="G5369" s="102">
        <f t="shared" ca="1" si="87"/>
        <v>-1.5870486568582122E-2</v>
      </c>
    </row>
    <row r="5370" spans="6:7" x14ac:dyDescent="0.35">
      <c r="F5370">
        <v>5365</v>
      </c>
      <c r="G5370" s="102">
        <f t="shared" ca="1" si="87"/>
        <v>0.11608428545964589</v>
      </c>
    </row>
    <row r="5371" spans="6:7" x14ac:dyDescent="0.35">
      <c r="F5371">
        <v>5366</v>
      </c>
      <c r="G5371" s="102">
        <f t="shared" ca="1" si="87"/>
        <v>-1.5134095123027489E-2</v>
      </c>
    </row>
    <row r="5372" spans="6:7" x14ac:dyDescent="0.35">
      <c r="F5372">
        <v>5367</v>
      </c>
      <c r="G5372" s="102">
        <f t="shared" ca="1" si="87"/>
        <v>6.5431513633601945E-2</v>
      </c>
    </row>
    <row r="5373" spans="6:7" x14ac:dyDescent="0.35">
      <c r="F5373">
        <v>5368</v>
      </c>
      <c r="G5373" s="102">
        <f t="shared" ca="1" si="87"/>
        <v>0.12672519830621903</v>
      </c>
    </row>
    <row r="5374" spans="6:7" x14ac:dyDescent="0.35">
      <c r="F5374">
        <v>5369</v>
      </c>
      <c r="G5374" s="102">
        <f t="shared" ca="1" si="87"/>
        <v>-0.12612141520236639</v>
      </c>
    </row>
    <row r="5375" spans="6:7" x14ac:dyDescent="0.35">
      <c r="F5375">
        <v>5370</v>
      </c>
      <c r="G5375" s="102">
        <f t="shared" ca="1" si="87"/>
        <v>-4.9704505311056078E-3</v>
      </c>
    </row>
    <row r="5376" spans="6:7" x14ac:dyDescent="0.35">
      <c r="F5376">
        <v>5371</v>
      </c>
      <c r="G5376" s="102">
        <f t="shared" ca="1" si="87"/>
        <v>0.10823506326068906</v>
      </c>
    </row>
    <row r="5377" spans="6:7" x14ac:dyDescent="0.35">
      <c r="F5377">
        <v>5372</v>
      </c>
      <c r="G5377" s="102">
        <f t="shared" ca="1" si="87"/>
        <v>-9.4888815523659575E-2</v>
      </c>
    </row>
    <row r="5378" spans="6:7" x14ac:dyDescent="0.35">
      <c r="F5378">
        <v>5373</v>
      </c>
      <c r="G5378" s="102">
        <f t="shared" ca="1" si="87"/>
        <v>5.2552819753088509E-2</v>
      </c>
    </row>
    <row r="5379" spans="6:7" x14ac:dyDescent="0.35">
      <c r="F5379">
        <v>5374</v>
      </c>
      <c r="G5379" s="102">
        <f t="shared" ca="1" si="87"/>
        <v>6.6135995872610084E-2</v>
      </c>
    </row>
    <row r="5380" spans="6:7" x14ac:dyDescent="0.35">
      <c r="F5380">
        <v>5375</v>
      </c>
      <c r="G5380" s="102">
        <f t="shared" ca="1" si="87"/>
        <v>7.7932747554474963E-2</v>
      </c>
    </row>
    <row r="5381" spans="6:7" x14ac:dyDescent="0.35">
      <c r="F5381">
        <v>5376</v>
      </c>
      <c r="G5381" s="102">
        <f t="shared" ca="1" si="87"/>
        <v>2.8362249525639729E-2</v>
      </c>
    </row>
    <row r="5382" spans="6:7" x14ac:dyDescent="0.35">
      <c r="F5382">
        <v>5377</v>
      </c>
      <c r="G5382" s="102">
        <f t="shared" ca="1" si="87"/>
        <v>1.6346602288439094E-2</v>
      </c>
    </row>
    <row r="5383" spans="6:7" x14ac:dyDescent="0.35">
      <c r="F5383">
        <v>5378</v>
      </c>
      <c r="G5383" s="102">
        <f t="shared" ref="G5383:G5446" ca="1" si="88">_xlfn.NORM.INV(RAND(),M$9,M$10)</f>
        <v>2.1615056634253435E-3</v>
      </c>
    </row>
    <row r="5384" spans="6:7" x14ac:dyDescent="0.35">
      <c r="F5384">
        <v>5379</v>
      </c>
      <c r="G5384" s="102">
        <f t="shared" ca="1" si="88"/>
        <v>3.7174817812734198E-2</v>
      </c>
    </row>
    <row r="5385" spans="6:7" x14ac:dyDescent="0.35">
      <c r="F5385">
        <v>5380</v>
      </c>
      <c r="G5385" s="102">
        <f t="shared" ca="1" si="88"/>
        <v>-2.8306477900557829E-3</v>
      </c>
    </row>
    <row r="5386" spans="6:7" x14ac:dyDescent="0.35">
      <c r="F5386">
        <v>5381</v>
      </c>
      <c r="G5386" s="102">
        <f t="shared" ca="1" si="88"/>
        <v>2.0363355544359779E-2</v>
      </c>
    </row>
    <row r="5387" spans="6:7" x14ac:dyDescent="0.35">
      <c r="F5387">
        <v>5382</v>
      </c>
      <c r="G5387" s="102">
        <f t="shared" ca="1" si="88"/>
        <v>9.5810837656055293E-3</v>
      </c>
    </row>
    <row r="5388" spans="6:7" x14ac:dyDescent="0.35">
      <c r="F5388">
        <v>5383</v>
      </c>
      <c r="G5388" s="102">
        <f t="shared" ca="1" si="88"/>
        <v>6.838738186165963E-2</v>
      </c>
    </row>
    <row r="5389" spans="6:7" x14ac:dyDescent="0.35">
      <c r="F5389">
        <v>5384</v>
      </c>
      <c r="G5389" s="102">
        <f t="shared" ca="1" si="88"/>
        <v>-8.2543194697909467E-2</v>
      </c>
    </row>
    <row r="5390" spans="6:7" x14ac:dyDescent="0.35">
      <c r="F5390">
        <v>5385</v>
      </c>
      <c r="G5390" s="102">
        <f t="shared" ca="1" si="88"/>
        <v>4.9775562284043118E-2</v>
      </c>
    </row>
    <row r="5391" spans="6:7" x14ac:dyDescent="0.35">
      <c r="F5391">
        <v>5386</v>
      </c>
      <c r="G5391" s="102">
        <f t="shared" ca="1" si="88"/>
        <v>4.7468424968413178E-2</v>
      </c>
    </row>
    <row r="5392" spans="6:7" x14ac:dyDescent="0.35">
      <c r="F5392">
        <v>5387</v>
      </c>
      <c r="G5392" s="102">
        <f t="shared" ca="1" si="88"/>
        <v>2.3027986298856187E-2</v>
      </c>
    </row>
    <row r="5393" spans="6:7" x14ac:dyDescent="0.35">
      <c r="F5393">
        <v>5388</v>
      </c>
      <c r="G5393" s="102">
        <f t="shared" ca="1" si="88"/>
        <v>-1.1749046309015885E-2</v>
      </c>
    </row>
    <row r="5394" spans="6:7" x14ac:dyDescent="0.35">
      <c r="F5394">
        <v>5389</v>
      </c>
      <c r="G5394" s="102">
        <f t="shared" ca="1" si="88"/>
        <v>-5.3136265826231516E-2</v>
      </c>
    </row>
    <row r="5395" spans="6:7" x14ac:dyDescent="0.35">
      <c r="F5395">
        <v>5390</v>
      </c>
      <c r="G5395" s="102">
        <f t="shared" ca="1" si="88"/>
        <v>-6.1758222576300828E-2</v>
      </c>
    </row>
    <row r="5396" spans="6:7" x14ac:dyDescent="0.35">
      <c r="F5396">
        <v>5391</v>
      </c>
      <c r="G5396" s="102">
        <f t="shared" ca="1" si="88"/>
        <v>-8.4837151143593081E-2</v>
      </c>
    </row>
    <row r="5397" spans="6:7" x14ac:dyDescent="0.35">
      <c r="F5397">
        <v>5392</v>
      </c>
      <c r="G5397" s="102">
        <f t="shared" ca="1" si="88"/>
        <v>-4.5975995888279109E-2</v>
      </c>
    </row>
    <row r="5398" spans="6:7" x14ac:dyDescent="0.35">
      <c r="F5398">
        <v>5393</v>
      </c>
      <c r="G5398" s="102">
        <f t="shared" ca="1" si="88"/>
        <v>1.2617404180351496E-2</v>
      </c>
    </row>
    <row r="5399" spans="6:7" x14ac:dyDescent="0.35">
      <c r="F5399">
        <v>5394</v>
      </c>
      <c r="G5399" s="102">
        <f t="shared" ca="1" si="88"/>
        <v>1.4704155226688293E-2</v>
      </c>
    </row>
    <row r="5400" spans="6:7" x14ac:dyDescent="0.35">
      <c r="F5400">
        <v>5395</v>
      </c>
      <c r="G5400" s="102">
        <f t="shared" ca="1" si="88"/>
        <v>7.8991068624163524E-2</v>
      </c>
    </row>
    <row r="5401" spans="6:7" x14ac:dyDescent="0.35">
      <c r="F5401">
        <v>5396</v>
      </c>
      <c r="G5401" s="102">
        <f t="shared" ca="1" si="88"/>
        <v>-2.0909133572431078E-2</v>
      </c>
    </row>
    <row r="5402" spans="6:7" x14ac:dyDescent="0.35">
      <c r="F5402">
        <v>5397</v>
      </c>
      <c r="G5402" s="102">
        <f t="shared" ca="1" si="88"/>
        <v>-4.316008618718449E-2</v>
      </c>
    </row>
    <row r="5403" spans="6:7" x14ac:dyDescent="0.35">
      <c r="F5403">
        <v>5398</v>
      </c>
      <c r="G5403" s="102">
        <f t="shared" ca="1" si="88"/>
        <v>-1.0330968773136086E-2</v>
      </c>
    </row>
    <row r="5404" spans="6:7" x14ac:dyDescent="0.35">
      <c r="F5404">
        <v>5399</v>
      </c>
      <c r="G5404" s="102">
        <f t="shared" ca="1" si="88"/>
        <v>3.8251882244949117E-2</v>
      </c>
    </row>
    <row r="5405" spans="6:7" x14ac:dyDescent="0.35">
      <c r="F5405">
        <v>5400</v>
      </c>
      <c r="G5405" s="102">
        <f t="shared" ca="1" si="88"/>
        <v>2.4864130041008948E-2</v>
      </c>
    </row>
    <row r="5406" spans="6:7" x14ac:dyDescent="0.35">
      <c r="F5406">
        <v>5401</v>
      </c>
      <c r="G5406" s="102">
        <f t="shared" ca="1" si="88"/>
        <v>2.7528285572090926E-2</v>
      </c>
    </row>
    <row r="5407" spans="6:7" x14ac:dyDescent="0.35">
      <c r="F5407">
        <v>5402</v>
      </c>
      <c r="G5407" s="102">
        <f t="shared" ca="1" si="88"/>
        <v>7.6491212877799232E-3</v>
      </c>
    </row>
    <row r="5408" spans="6:7" x14ac:dyDescent="0.35">
      <c r="F5408">
        <v>5403</v>
      </c>
      <c r="G5408" s="102">
        <f t="shared" ca="1" si="88"/>
        <v>4.6128971144654612E-2</v>
      </c>
    </row>
    <row r="5409" spans="6:7" x14ac:dyDescent="0.35">
      <c r="F5409">
        <v>5404</v>
      </c>
      <c r="G5409" s="102">
        <f t="shared" ca="1" si="88"/>
        <v>9.3504811979990606E-3</v>
      </c>
    </row>
    <row r="5410" spans="6:7" x14ac:dyDescent="0.35">
      <c r="F5410">
        <v>5405</v>
      </c>
      <c r="G5410" s="102">
        <f t="shared" ca="1" si="88"/>
        <v>6.4825240801301171E-2</v>
      </c>
    </row>
    <row r="5411" spans="6:7" x14ac:dyDescent="0.35">
      <c r="F5411">
        <v>5406</v>
      </c>
      <c r="G5411" s="102">
        <f t="shared" ca="1" si="88"/>
        <v>1.6531146036647761E-2</v>
      </c>
    </row>
    <row r="5412" spans="6:7" x14ac:dyDescent="0.35">
      <c r="F5412">
        <v>5407</v>
      </c>
      <c r="G5412" s="102">
        <f t="shared" ca="1" si="88"/>
        <v>-5.3072775163124544E-2</v>
      </c>
    </row>
    <row r="5413" spans="6:7" x14ac:dyDescent="0.35">
      <c r="F5413">
        <v>5408</v>
      </c>
      <c r="G5413" s="102">
        <f t="shared" ca="1" si="88"/>
        <v>-6.6558374219520572E-2</v>
      </c>
    </row>
    <row r="5414" spans="6:7" x14ac:dyDescent="0.35">
      <c r="F5414">
        <v>5409</v>
      </c>
      <c r="G5414" s="102">
        <f t="shared" ca="1" si="88"/>
        <v>-1.8697845845383275E-2</v>
      </c>
    </row>
    <row r="5415" spans="6:7" x14ac:dyDescent="0.35">
      <c r="F5415">
        <v>5410</v>
      </c>
      <c r="G5415" s="102">
        <f t="shared" ca="1" si="88"/>
        <v>0.15136834759674633</v>
      </c>
    </row>
    <row r="5416" spans="6:7" x14ac:dyDescent="0.35">
      <c r="F5416">
        <v>5411</v>
      </c>
      <c r="G5416" s="102">
        <f t="shared" ca="1" si="88"/>
        <v>-0.10375171551101957</v>
      </c>
    </row>
    <row r="5417" spans="6:7" x14ac:dyDescent="0.35">
      <c r="F5417">
        <v>5412</v>
      </c>
      <c r="G5417" s="102">
        <f t="shared" ca="1" si="88"/>
        <v>-1.1651971974101692E-2</v>
      </c>
    </row>
    <row r="5418" spans="6:7" x14ac:dyDescent="0.35">
      <c r="F5418">
        <v>5413</v>
      </c>
      <c r="G5418" s="102">
        <f t="shared" ca="1" si="88"/>
        <v>9.0430330614271193E-2</v>
      </c>
    </row>
    <row r="5419" spans="6:7" x14ac:dyDescent="0.35">
      <c r="F5419">
        <v>5414</v>
      </c>
      <c r="G5419" s="102">
        <f t="shared" ca="1" si="88"/>
        <v>-4.8903528187544204E-2</v>
      </c>
    </row>
    <row r="5420" spans="6:7" x14ac:dyDescent="0.35">
      <c r="F5420">
        <v>5415</v>
      </c>
      <c r="G5420" s="102">
        <f t="shared" ca="1" si="88"/>
        <v>-5.39590133397049E-3</v>
      </c>
    </row>
    <row r="5421" spans="6:7" x14ac:dyDescent="0.35">
      <c r="F5421">
        <v>5416</v>
      </c>
      <c r="G5421" s="102">
        <f t="shared" ca="1" si="88"/>
        <v>2.7933701191097653E-2</v>
      </c>
    </row>
    <row r="5422" spans="6:7" x14ac:dyDescent="0.35">
      <c r="F5422">
        <v>5417</v>
      </c>
      <c r="G5422" s="102">
        <f t="shared" ca="1" si="88"/>
        <v>4.5528851249045349E-2</v>
      </c>
    </row>
    <row r="5423" spans="6:7" x14ac:dyDescent="0.35">
      <c r="F5423">
        <v>5418</v>
      </c>
      <c r="G5423" s="102">
        <f t="shared" ca="1" si="88"/>
        <v>-0.12195436982158826</v>
      </c>
    </row>
    <row r="5424" spans="6:7" x14ac:dyDescent="0.35">
      <c r="F5424">
        <v>5419</v>
      </c>
      <c r="G5424" s="102">
        <f t="shared" ca="1" si="88"/>
        <v>-0.13401732393534757</v>
      </c>
    </row>
    <row r="5425" spans="6:7" x14ac:dyDescent="0.35">
      <c r="F5425">
        <v>5420</v>
      </c>
      <c r="G5425" s="102">
        <f t="shared" ca="1" si="88"/>
        <v>1.071289123422231E-2</v>
      </c>
    </row>
    <row r="5426" spans="6:7" x14ac:dyDescent="0.35">
      <c r="F5426">
        <v>5421</v>
      </c>
      <c r="G5426" s="102">
        <f t="shared" ca="1" si="88"/>
        <v>4.7321731671750619E-2</v>
      </c>
    </row>
    <row r="5427" spans="6:7" x14ac:dyDescent="0.35">
      <c r="F5427">
        <v>5422</v>
      </c>
      <c r="G5427" s="102">
        <f t="shared" ca="1" si="88"/>
        <v>-4.8912029610210211E-2</v>
      </c>
    </row>
    <row r="5428" spans="6:7" x14ac:dyDescent="0.35">
      <c r="F5428">
        <v>5423</v>
      </c>
      <c r="G5428" s="102">
        <f t="shared" ca="1" si="88"/>
        <v>-0.12096210916719302</v>
      </c>
    </row>
    <row r="5429" spans="6:7" x14ac:dyDescent="0.35">
      <c r="F5429">
        <v>5424</v>
      </c>
      <c r="G5429" s="102">
        <f t="shared" ca="1" si="88"/>
        <v>-7.5793475085718862E-2</v>
      </c>
    </row>
    <row r="5430" spans="6:7" x14ac:dyDescent="0.35">
      <c r="F5430">
        <v>5425</v>
      </c>
      <c r="G5430" s="102">
        <f t="shared" ca="1" si="88"/>
        <v>6.1354958286346961E-2</v>
      </c>
    </row>
    <row r="5431" spans="6:7" x14ac:dyDescent="0.35">
      <c r="F5431">
        <v>5426</v>
      </c>
      <c r="G5431" s="102">
        <f t="shared" ca="1" si="88"/>
        <v>-2.832022535168735E-2</v>
      </c>
    </row>
    <row r="5432" spans="6:7" x14ac:dyDescent="0.35">
      <c r="F5432">
        <v>5427</v>
      </c>
      <c r="G5432" s="102">
        <f t="shared" ca="1" si="88"/>
        <v>1.0027146468452788E-2</v>
      </c>
    </row>
    <row r="5433" spans="6:7" x14ac:dyDescent="0.35">
      <c r="F5433">
        <v>5428</v>
      </c>
      <c r="G5433" s="102">
        <f t="shared" ca="1" si="88"/>
        <v>-8.3182244040130138E-2</v>
      </c>
    </row>
    <row r="5434" spans="6:7" x14ac:dyDescent="0.35">
      <c r="F5434">
        <v>5429</v>
      </c>
      <c r="G5434" s="102">
        <f t="shared" ca="1" si="88"/>
        <v>7.6888331200926398E-3</v>
      </c>
    </row>
    <row r="5435" spans="6:7" x14ac:dyDescent="0.35">
      <c r="F5435">
        <v>5430</v>
      </c>
      <c r="G5435" s="102">
        <f t="shared" ca="1" si="88"/>
        <v>-8.0675418971822413E-2</v>
      </c>
    </row>
    <row r="5436" spans="6:7" x14ac:dyDescent="0.35">
      <c r="F5436">
        <v>5431</v>
      </c>
      <c r="G5436" s="102">
        <f t="shared" ca="1" si="88"/>
        <v>8.7477780822821621E-2</v>
      </c>
    </row>
    <row r="5437" spans="6:7" x14ac:dyDescent="0.35">
      <c r="F5437">
        <v>5432</v>
      </c>
      <c r="G5437" s="102">
        <f t="shared" ca="1" si="88"/>
        <v>-2.7902696990413211E-2</v>
      </c>
    </row>
    <row r="5438" spans="6:7" x14ac:dyDescent="0.35">
      <c r="F5438">
        <v>5433</v>
      </c>
      <c r="G5438" s="102">
        <f t="shared" ca="1" si="88"/>
        <v>-2.6105085834529831E-2</v>
      </c>
    </row>
    <row r="5439" spans="6:7" x14ac:dyDescent="0.35">
      <c r="F5439">
        <v>5434</v>
      </c>
      <c r="G5439" s="102">
        <f t="shared" ca="1" si="88"/>
        <v>4.9810399362552799E-2</v>
      </c>
    </row>
    <row r="5440" spans="6:7" x14ac:dyDescent="0.35">
      <c r="F5440">
        <v>5435</v>
      </c>
      <c r="G5440" s="102">
        <f t="shared" ca="1" si="88"/>
        <v>-5.0981360072109738E-2</v>
      </c>
    </row>
    <row r="5441" spans="6:7" x14ac:dyDescent="0.35">
      <c r="F5441">
        <v>5436</v>
      </c>
      <c r="G5441" s="102">
        <f t="shared" ca="1" si="88"/>
        <v>-8.4816040871270315E-3</v>
      </c>
    </row>
    <row r="5442" spans="6:7" x14ac:dyDescent="0.35">
      <c r="F5442">
        <v>5437</v>
      </c>
      <c r="G5442" s="102">
        <f t="shared" ca="1" si="88"/>
        <v>-5.4231531613153139E-2</v>
      </c>
    </row>
    <row r="5443" spans="6:7" x14ac:dyDescent="0.35">
      <c r="F5443">
        <v>5438</v>
      </c>
      <c r="G5443" s="102">
        <f t="shared" ca="1" si="88"/>
        <v>-6.6363159071518241E-2</v>
      </c>
    </row>
    <row r="5444" spans="6:7" x14ac:dyDescent="0.35">
      <c r="F5444">
        <v>5439</v>
      </c>
      <c r="G5444" s="102">
        <f t="shared" ca="1" si="88"/>
        <v>-4.1400362812270039E-2</v>
      </c>
    </row>
    <row r="5445" spans="6:7" x14ac:dyDescent="0.35">
      <c r="F5445">
        <v>5440</v>
      </c>
      <c r="G5445" s="102">
        <f t="shared" ca="1" si="88"/>
        <v>-6.0977978362787054E-3</v>
      </c>
    </row>
    <row r="5446" spans="6:7" x14ac:dyDescent="0.35">
      <c r="F5446">
        <v>5441</v>
      </c>
      <c r="G5446" s="102">
        <f t="shared" ca="1" si="88"/>
        <v>5.6145124272705821E-2</v>
      </c>
    </row>
    <row r="5447" spans="6:7" x14ac:dyDescent="0.35">
      <c r="F5447">
        <v>5442</v>
      </c>
      <c r="G5447" s="102">
        <f t="shared" ref="G5447:G5510" ca="1" si="89">_xlfn.NORM.INV(RAND(),M$9,M$10)</f>
        <v>-3.7185100134868088E-2</v>
      </c>
    </row>
    <row r="5448" spans="6:7" x14ac:dyDescent="0.35">
      <c r="F5448">
        <v>5443</v>
      </c>
      <c r="G5448" s="102">
        <f t="shared" ca="1" si="89"/>
        <v>2.5082832909476688E-5</v>
      </c>
    </row>
    <row r="5449" spans="6:7" x14ac:dyDescent="0.35">
      <c r="F5449">
        <v>5444</v>
      </c>
      <c r="G5449" s="102">
        <f t="shared" ca="1" si="89"/>
        <v>-0.13502521648143762</v>
      </c>
    </row>
    <row r="5450" spans="6:7" x14ac:dyDescent="0.35">
      <c r="F5450">
        <v>5445</v>
      </c>
      <c r="G5450" s="102">
        <f t="shared" ca="1" si="89"/>
        <v>3.2472837643292927E-3</v>
      </c>
    </row>
    <row r="5451" spans="6:7" x14ac:dyDescent="0.35">
      <c r="F5451">
        <v>5446</v>
      </c>
      <c r="G5451" s="102">
        <f t="shared" ca="1" si="89"/>
        <v>-1.3941580410036103E-2</v>
      </c>
    </row>
    <row r="5452" spans="6:7" x14ac:dyDescent="0.35">
      <c r="F5452">
        <v>5447</v>
      </c>
      <c r="G5452" s="102">
        <f t="shared" ca="1" si="89"/>
        <v>6.0232125785348908E-2</v>
      </c>
    </row>
    <row r="5453" spans="6:7" x14ac:dyDescent="0.35">
      <c r="F5453">
        <v>5448</v>
      </c>
      <c r="G5453" s="102">
        <f t="shared" ca="1" si="89"/>
        <v>-4.2409302174699445E-2</v>
      </c>
    </row>
    <row r="5454" spans="6:7" x14ac:dyDescent="0.35">
      <c r="F5454">
        <v>5449</v>
      </c>
      <c r="G5454" s="102">
        <f t="shared" ca="1" si="89"/>
        <v>4.7919704488980572E-2</v>
      </c>
    </row>
    <row r="5455" spans="6:7" x14ac:dyDescent="0.35">
      <c r="F5455">
        <v>5450</v>
      </c>
      <c r="G5455" s="102">
        <f t="shared" ca="1" si="89"/>
        <v>-3.3095026213348422E-2</v>
      </c>
    </row>
    <row r="5456" spans="6:7" x14ac:dyDescent="0.35">
      <c r="F5456">
        <v>5451</v>
      </c>
      <c r="G5456" s="102">
        <f t="shared" ca="1" si="89"/>
        <v>-3.1362281457912769E-2</v>
      </c>
    </row>
    <row r="5457" spans="6:7" x14ac:dyDescent="0.35">
      <c r="F5457">
        <v>5452</v>
      </c>
      <c r="G5457" s="102">
        <f t="shared" ca="1" si="89"/>
        <v>7.5199377294032671E-2</v>
      </c>
    </row>
    <row r="5458" spans="6:7" x14ac:dyDescent="0.35">
      <c r="F5458">
        <v>5453</v>
      </c>
      <c r="G5458" s="102">
        <f t="shared" ca="1" si="89"/>
        <v>-5.8000124857632326E-2</v>
      </c>
    </row>
    <row r="5459" spans="6:7" x14ac:dyDescent="0.35">
      <c r="F5459">
        <v>5454</v>
      </c>
      <c r="G5459" s="102">
        <f t="shared" ca="1" si="89"/>
        <v>1.2553300073748972E-2</v>
      </c>
    </row>
    <row r="5460" spans="6:7" x14ac:dyDescent="0.35">
      <c r="F5460">
        <v>5455</v>
      </c>
      <c r="G5460" s="102">
        <f t="shared" ca="1" si="89"/>
        <v>-4.4369910991252204E-2</v>
      </c>
    </row>
    <row r="5461" spans="6:7" x14ac:dyDescent="0.35">
      <c r="F5461">
        <v>5456</v>
      </c>
      <c r="G5461" s="102">
        <f t="shared" ca="1" si="89"/>
        <v>1.2258513860337331E-2</v>
      </c>
    </row>
    <row r="5462" spans="6:7" x14ac:dyDescent="0.35">
      <c r="F5462">
        <v>5457</v>
      </c>
      <c r="G5462" s="102">
        <f t="shared" ca="1" si="89"/>
        <v>-6.8200015885401515E-3</v>
      </c>
    </row>
    <row r="5463" spans="6:7" x14ac:dyDescent="0.35">
      <c r="F5463">
        <v>5458</v>
      </c>
      <c r="G5463" s="102">
        <f t="shared" ca="1" si="89"/>
        <v>-2.6499986766706254E-2</v>
      </c>
    </row>
    <row r="5464" spans="6:7" x14ac:dyDescent="0.35">
      <c r="F5464">
        <v>5459</v>
      </c>
      <c r="G5464" s="102">
        <f t="shared" ca="1" si="89"/>
        <v>6.6966223155033033E-3</v>
      </c>
    </row>
    <row r="5465" spans="6:7" x14ac:dyDescent="0.35">
      <c r="F5465">
        <v>5460</v>
      </c>
      <c r="G5465" s="102">
        <f t="shared" ca="1" si="89"/>
        <v>-7.8785471680328269E-3</v>
      </c>
    </row>
    <row r="5466" spans="6:7" x14ac:dyDescent="0.35">
      <c r="F5466">
        <v>5461</v>
      </c>
      <c r="G5466" s="102">
        <f t="shared" ca="1" si="89"/>
        <v>-1.7353851097833169E-2</v>
      </c>
    </row>
    <row r="5467" spans="6:7" x14ac:dyDescent="0.35">
      <c r="F5467">
        <v>5462</v>
      </c>
      <c r="G5467" s="102">
        <f t="shared" ca="1" si="89"/>
        <v>3.1244056100573615E-2</v>
      </c>
    </row>
    <row r="5468" spans="6:7" x14ac:dyDescent="0.35">
      <c r="F5468">
        <v>5463</v>
      </c>
      <c r="G5468" s="102">
        <f t="shared" ca="1" si="89"/>
        <v>-5.4246712624355833E-2</v>
      </c>
    </row>
    <row r="5469" spans="6:7" x14ac:dyDescent="0.35">
      <c r="F5469">
        <v>5464</v>
      </c>
      <c r="G5469" s="102">
        <f t="shared" ca="1" si="89"/>
        <v>6.0036940749600587E-2</v>
      </c>
    </row>
    <row r="5470" spans="6:7" x14ac:dyDescent="0.35">
      <c r="F5470">
        <v>5465</v>
      </c>
      <c r="G5470" s="102">
        <f t="shared" ca="1" si="89"/>
        <v>3.3957800966822795E-3</v>
      </c>
    </row>
    <row r="5471" spans="6:7" x14ac:dyDescent="0.35">
      <c r="F5471">
        <v>5466</v>
      </c>
      <c r="G5471" s="102">
        <f t="shared" ca="1" si="89"/>
        <v>1.5590845563827196E-2</v>
      </c>
    </row>
    <row r="5472" spans="6:7" x14ac:dyDescent="0.35">
      <c r="F5472">
        <v>5467</v>
      </c>
      <c r="G5472" s="102">
        <f t="shared" ca="1" si="89"/>
        <v>4.9343698486555884E-2</v>
      </c>
    </row>
    <row r="5473" spans="6:7" x14ac:dyDescent="0.35">
      <c r="F5473">
        <v>5468</v>
      </c>
      <c r="G5473" s="102">
        <f t="shared" ca="1" si="89"/>
        <v>-4.9977729564902831E-2</v>
      </c>
    </row>
    <row r="5474" spans="6:7" x14ac:dyDescent="0.35">
      <c r="F5474">
        <v>5469</v>
      </c>
      <c r="G5474" s="102">
        <f t="shared" ca="1" si="89"/>
        <v>-9.9759730815971767E-2</v>
      </c>
    </row>
    <row r="5475" spans="6:7" x14ac:dyDescent="0.35">
      <c r="F5475">
        <v>5470</v>
      </c>
      <c r="G5475" s="102">
        <f t="shared" ca="1" si="89"/>
        <v>-4.4110570392769111E-2</v>
      </c>
    </row>
    <row r="5476" spans="6:7" x14ac:dyDescent="0.35">
      <c r="F5476">
        <v>5471</v>
      </c>
      <c r="G5476" s="102">
        <f t="shared" ca="1" si="89"/>
        <v>-7.836230955435125E-2</v>
      </c>
    </row>
    <row r="5477" spans="6:7" x14ac:dyDescent="0.35">
      <c r="F5477">
        <v>5472</v>
      </c>
      <c r="G5477" s="102">
        <f t="shared" ca="1" si="89"/>
        <v>3.7455041766843999E-2</v>
      </c>
    </row>
    <row r="5478" spans="6:7" x14ac:dyDescent="0.35">
      <c r="F5478">
        <v>5473</v>
      </c>
      <c r="G5478" s="102">
        <f t="shared" ca="1" si="89"/>
        <v>-9.4763312178355763E-2</v>
      </c>
    </row>
    <row r="5479" spans="6:7" x14ac:dyDescent="0.35">
      <c r="F5479">
        <v>5474</v>
      </c>
      <c r="G5479" s="102">
        <f t="shared" ca="1" si="89"/>
        <v>-3.1955956448570619E-2</v>
      </c>
    </row>
    <row r="5480" spans="6:7" x14ac:dyDescent="0.35">
      <c r="F5480">
        <v>5475</v>
      </c>
      <c r="G5480" s="102">
        <f t="shared" ca="1" si="89"/>
        <v>-9.0218749775144574E-3</v>
      </c>
    </row>
    <row r="5481" spans="6:7" x14ac:dyDescent="0.35">
      <c r="F5481">
        <v>5476</v>
      </c>
      <c r="G5481" s="102">
        <f t="shared" ca="1" si="89"/>
        <v>1.9237721958026283E-2</v>
      </c>
    </row>
    <row r="5482" spans="6:7" x14ac:dyDescent="0.35">
      <c r="F5482">
        <v>5477</v>
      </c>
      <c r="G5482" s="102">
        <f t="shared" ca="1" si="89"/>
        <v>8.2349185828643687E-2</v>
      </c>
    </row>
    <row r="5483" spans="6:7" x14ac:dyDescent="0.35">
      <c r="F5483">
        <v>5478</v>
      </c>
      <c r="G5483" s="102">
        <f t="shared" ca="1" si="89"/>
        <v>-7.8075058332012476E-2</v>
      </c>
    </row>
    <row r="5484" spans="6:7" x14ac:dyDescent="0.35">
      <c r="F5484">
        <v>5479</v>
      </c>
      <c r="G5484" s="102">
        <f t="shared" ca="1" si="89"/>
        <v>-1.4913357205672557E-2</v>
      </c>
    </row>
    <row r="5485" spans="6:7" x14ac:dyDescent="0.35">
      <c r="F5485">
        <v>5480</v>
      </c>
      <c r="G5485" s="102">
        <f t="shared" ca="1" si="89"/>
        <v>0.1472689216157268</v>
      </c>
    </row>
    <row r="5486" spans="6:7" x14ac:dyDescent="0.35">
      <c r="F5486">
        <v>5481</v>
      </c>
      <c r="G5486" s="102">
        <f t="shared" ca="1" si="89"/>
        <v>-2.0087471607187577E-3</v>
      </c>
    </row>
    <row r="5487" spans="6:7" x14ac:dyDescent="0.35">
      <c r="F5487">
        <v>5482</v>
      </c>
      <c r="G5487" s="102">
        <f t="shared" ca="1" si="89"/>
        <v>-6.590467175868241E-3</v>
      </c>
    </row>
    <row r="5488" spans="6:7" x14ac:dyDescent="0.35">
      <c r="F5488">
        <v>5483</v>
      </c>
      <c r="G5488" s="102">
        <f t="shared" ca="1" si="89"/>
        <v>-6.943113540207628E-2</v>
      </c>
    </row>
    <row r="5489" spans="6:7" x14ac:dyDescent="0.35">
      <c r="F5489">
        <v>5484</v>
      </c>
      <c r="G5489" s="102">
        <f t="shared" ca="1" si="89"/>
        <v>-3.528993195784931E-2</v>
      </c>
    </row>
    <row r="5490" spans="6:7" x14ac:dyDescent="0.35">
      <c r="F5490">
        <v>5485</v>
      </c>
      <c r="G5490" s="102">
        <f t="shared" ca="1" si="89"/>
        <v>-4.1183490909354276E-2</v>
      </c>
    </row>
    <row r="5491" spans="6:7" x14ac:dyDescent="0.35">
      <c r="F5491">
        <v>5486</v>
      </c>
      <c r="G5491" s="102">
        <f t="shared" ca="1" si="89"/>
        <v>-6.0191001226944471E-2</v>
      </c>
    </row>
    <row r="5492" spans="6:7" x14ac:dyDescent="0.35">
      <c r="F5492">
        <v>5487</v>
      </c>
      <c r="G5492" s="102">
        <f t="shared" ca="1" si="89"/>
        <v>-2.6708023624669688E-2</v>
      </c>
    </row>
    <row r="5493" spans="6:7" x14ac:dyDescent="0.35">
      <c r="F5493">
        <v>5488</v>
      </c>
      <c r="G5493" s="102">
        <f t="shared" ca="1" si="89"/>
        <v>-5.8142185554842157E-2</v>
      </c>
    </row>
    <row r="5494" spans="6:7" x14ac:dyDescent="0.35">
      <c r="F5494">
        <v>5489</v>
      </c>
      <c r="G5494" s="102">
        <f t="shared" ca="1" si="89"/>
        <v>-7.8367350964077834E-2</v>
      </c>
    </row>
    <row r="5495" spans="6:7" x14ac:dyDescent="0.35">
      <c r="F5495">
        <v>5490</v>
      </c>
      <c r="G5495" s="102">
        <f t="shared" ca="1" si="89"/>
        <v>-4.3268702734308884E-2</v>
      </c>
    </row>
    <row r="5496" spans="6:7" x14ac:dyDescent="0.35">
      <c r="F5496">
        <v>5491</v>
      </c>
      <c r="G5496" s="102">
        <f t="shared" ca="1" si="89"/>
        <v>3.2945898743240165E-2</v>
      </c>
    </row>
    <row r="5497" spans="6:7" x14ac:dyDescent="0.35">
      <c r="F5497">
        <v>5492</v>
      </c>
      <c r="G5497" s="102">
        <f t="shared" ca="1" si="89"/>
        <v>-7.1538013314229543E-2</v>
      </c>
    </row>
    <row r="5498" spans="6:7" x14ac:dyDescent="0.35">
      <c r="F5498">
        <v>5493</v>
      </c>
      <c r="G5498" s="102">
        <f t="shared" ca="1" si="89"/>
        <v>-0.10112063134041334</v>
      </c>
    </row>
    <row r="5499" spans="6:7" x14ac:dyDescent="0.35">
      <c r="F5499">
        <v>5494</v>
      </c>
      <c r="G5499" s="102">
        <f t="shared" ca="1" si="89"/>
        <v>5.6936320904374033E-2</v>
      </c>
    </row>
    <row r="5500" spans="6:7" x14ac:dyDescent="0.35">
      <c r="F5500">
        <v>5495</v>
      </c>
      <c r="G5500" s="102">
        <f t="shared" ca="1" si="89"/>
        <v>2.6808702663687931E-2</v>
      </c>
    </row>
    <row r="5501" spans="6:7" x14ac:dyDescent="0.35">
      <c r="F5501">
        <v>5496</v>
      </c>
      <c r="G5501" s="102">
        <f t="shared" ca="1" si="89"/>
        <v>4.8386191830313119E-2</v>
      </c>
    </row>
    <row r="5502" spans="6:7" x14ac:dyDescent="0.35">
      <c r="F5502">
        <v>5497</v>
      </c>
      <c r="G5502" s="102">
        <f t="shared" ca="1" si="89"/>
        <v>-9.5152505335885026E-2</v>
      </c>
    </row>
    <row r="5503" spans="6:7" x14ac:dyDescent="0.35">
      <c r="F5503">
        <v>5498</v>
      </c>
      <c r="G5503" s="102">
        <f t="shared" ca="1" si="89"/>
        <v>9.7924379708199359E-3</v>
      </c>
    </row>
    <row r="5504" spans="6:7" x14ac:dyDescent="0.35">
      <c r="F5504">
        <v>5499</v>
      </c>
      <c r="G5504" s="102">
        <f t="shared" ca="1" si="89"/>
        <v>2.6862163065156142E-2</v>
      </c>
    </row>
    <row r="5505" spans="6:7" x14ac:dyDescent="0.35">
      <c r="F5505">
        <v>5500</v>
      </c>
      <c r="G5505" s="102">
        <f t="shared" ca="1" si="89"/>
        <v>-0.11255470190476605</v>
      </c>
    </row>
    <row r="5506" spans="6:7" x14ac:dyDescent="0.35">
      <c r="F5506">
        <v>5501</v>
      </c>
      <c r="G5506" s="102">
        <f t="shared" ca="1" si="89"/>
        <v>-2.7071459571141467E-2</v>
      </c>
    </row>
    <row r="5507" spans="6:7" x14ac:dyDescent="0.35">
      <c r="F5507">
        <v>5502</v>
      </c>
      <c r="G5507" s="102">
        <f t="shared" ca="1" si="89"/>
        <v>-7.0679387348428185E-2</v>
      </c>
    </row>
    <row r="5508" spans="6:7" x14ac:dyDescent="0.35">
      <c r="F5508">
        <v>5503</v>
      </c>
      <c r="G5508" s="102">
        <f t="shared" ca="1" si="89"/>
        <v>5.8176641836673575E-3</v>
      </c>
    </row>
    <row r="5509" spans="6:7" x14ac:dyDescent="0.35">
      <c r="F5509">
        <v>5504</v>
      </c>
      <c r="G5509" s="102">
        <f t="shared" ca="1" si="89"/>
        <v>4.636237014844044E-2</v>
      </c>
    </row>
    <row r="5510" spans="6:7" x14ac:dyDescent="0.35">
      <c r="F5510">
        <v>5505</v>
      </c>
      <c r="G5510" s="102">
        <f t="shared" ca="1" si="89"/>
        <v>4.9763100693820769E-2</v>
      </c>
    </row>
    <row r="5511" spans="6:7" x14ac:dyDescent="0.35">
      <c r="F5511">
        <v>5506</v>
      </c>
      <c r="G5511" s="102">
        <f t="shared" ref="G5511:G5574" ca="1" si="90">_xlfn.NORM.INV(RAND(),M$9,M$10)</f>
        <v>2.794944332488827E-2</v>
      </c>
    </row>
    <row r="5512" spans="6:7" x14ac:dyDescent="0.35">
      <c r="F5512">
        <v>5507</v>
      </c>
      <c r="G5512" s="102">
        <f t="shared" ca="1" si="90"/>
        <v>-5.2480981694545403E-2</v>
      </c>
    </row>
    <row r="5513" spans="6:7" x14ac:dyDescent="0.35">
      <c r="F5513">
        <v>5508</v>
      </c>
      <c r="G5513" s="102">
        <f t="shared" ca="1" si="90"/>
        <v>-7.7640497463356092E-2</v>
      </c>
    </row>
    <row r="5514" spans="6:7" x14ac:dyDescent="0.35">
      <c r="F5514">
        <v>5509</v>
      </c>
      <c r="G5514" s="102">
        <f t="shared" ca="1" si="90"/>
        <v>-2.4130477576287956E-2</v>
      </c>
    </row>
    <row r="5515" spans="6:7" x14ac:dyDescent="0.35">
      <c r="F5515">
        <v>5510</v>
      </c>
      <c r="G5515" s="102">
        <f t="shared" ca="1" si="90"/>
        <v>-5.7181292066301473E-2</v>
      </c>
    </row>
    <row r="5516" spans="6:7" x14ac:dyDescent="0.35">
      <c r="F5516">
        <v>5511</v>
      </c>
      <c r="G5516" s="102">
        <f t="shared" ca="1" si="90"/>
        <v>2.768462859016944E-2</v>
      </c>
    </row>
    <row r="5517" spans="6:7" x14ac:dyDescent="0.35">
      <c r="F5517">
        <v>5512</v>
      </c>
      <c r="G5517" s="102">
        <f t="shared" ca="1" si="90"/>
        <v>-6.0811170888928373E-2</v>
      </c>
    </row>
    <row r="5518" spans="6:7" x14ac:dyDescent="0.35">
      <c r="F5518">
        <v>5513</v>
      </c>
      <c r="G5518" s="102">
        <f t="shared" ca="1" si="90"/>
        <v>5.4163581232872498E-3</v>
      </c>
    </row>
    <row r="5519" spans="6:7" x14ac:dyDescent="0.35">
      <c r="F5519">
        <v>5514</v>
      </c>
      <c r="G5519" s="102">
        <f t="shared" ca="1" si="90"/>
        <v>-1.4368221702821961E-2</v>
      </c>
    </row>
    <row r="5520" spans="6:7" x14ac:dyDescent="0.35">
      <c r="F5520">
        <v>5515</v>
      </c>
      <c r="G5520" s="102">
        <f t="shared" ca="1" si="90"/>
        <v>0.12470773662681632</v>
      </c>
    </row>
    <row r="5521" spans="6:7" x14ac:dyDescent="0.35">
      <c r="F5521">
        <v>5516</v>
      </c>
      <c r="G5521" s="102">
        <f t="shared" ca="1" si="90"/>
        <v>-5.8357464521648014E-2</v>
      </c>
    </row>
    <row r="5522" spans="6:7" x14ac:dyDescent="0.35">
      <c r="F5522">
        <v>5517</v>
      </c>
      <c r="G5522" s="102">
        <f t="shared" ca="1" si="90"/>
        <v>5.3119882089924839E-2</v>
      </c>
    </row>
    <row r="5523" spans="6:7" x14ac:dyDescent="0.35">
      <c r="F5523">
        <v>5518</v>
      </c>
      <c r="G5523" s="102">
        <f t="shared" ca="1" si="90"/>
        <v>-3.9363943140005409E-2</v>
      </c>
    </row>
    <row r="5524" spans="6:7" x14ac:dyDescent="0.35">
      <c r="F5524">
        <v>5519</v>
      </c>
      <c r="G5524" s="102">
        <f t="shared" ca="1" si="90"/>
        <v>-2.34543298779341E-2</v>
      </c>
    </row>
    <row r="5525" spans="6:7" x14ac:dyDescent="0.35">
      <c r="F5525">
        <v>5520</v>
      </c>
      <c r="G5525" s="102">
        <f t="shared" ca="1" si="90"/>
        <v>-2.2040685983264155E-2</v>
      </c>
    </row>
    <row r="5526" spans="6:7" x14ac:dyDescent="0.35">
      <c r="F5526">
        <v>5521</v>
      </c>
      <c r="G5526" s="102">
        <f t="shared" ca="1" si="90"/>
        <v>-2.453729982779514E-2</v>
      </c>
    </row>
    <row r="5527" spans="6:7" x14ac:dyDescent="0.35">
      <c r="F5527">
        <v>5522</v>
      </c>
      <c r="G5527" s="102">
        <f t="shared" ca="1" si="90"/>
        <v>4.6378635515092158E-3</v>
      </c>
    </row>
    <row r="5528" spans="6:7" x14ac:dyDescent="0.35">
      <c r="F5528">
        <v>5523</v>
      </c>
      <c r="G5528" s="102">
        <f t="shared" ca="1" si="90"/>
        <v>-2.2371543654724109E-2</v>
      </c>
    </row>
    <row r="5529" spans="6:7" x14ac:dyDescent="0.35">
      <c r="F5529">
        <v>5524</v>
      </c>
      <c r="G5529" s="102">
        <f t="shared" ca="1" si="90"/>
        <v>3.5022509288510306E-2</v>
      </c>
    </row>
    <row r="5530" spans="6:7" x14ac:dyDescent="0.35">
      <c r="F5530">
        <v>5525</v>
      </c>
      <c r="G5530" s="102">
        <f t="shared" ca="1" si="90"/>
        <v>9.6668549186970126E-2</v>
      </c>
    </row>
    <row r="5531" spans="6:7" x14ac:dyDescent="0.35">
      <c r="F5531">
        <v>5526</v>
      </c>
      <c r="G5531" s="102">
        <f t="shared" ca="1" si="90"/>
        <v>-7.6242116371109642E-2</v>
      </c>
    </row>
    <row r="5532" spans="6:7" x14ac:dyDescent="0.35">
      <c r="F5532">
        <v>5527</v>
      </c>
      <c r="G5532" s="102">
        <f t="shared" ca="1" si="90"/>
        <v>5.1336243228783107E-2</v>
      </c>
    </row>
    <row r="5533" spans="6:7" x14ac:dyDescent="0.35">
      <c r="F5533">
        <v>5528</v>
      </c>
      <c r="G5533" s="102">
        <f t="shared" ca="1" si="90"/>
        <v>-8.3471509608037925E-2</v>
      </c>
    </row>
    <row r="5534" spans="6:7" x14ac:dyDescent="0.35">
      <c r="F5534">
        <v>5529</v>
      </c>
      <c r="G5534" s="102">
        <f t="shared" ca="1" si="90"/>
        <v>6.3624892021207954E-2</v>
      </c>
    </row>
    <row r="5535" spans="6:7" x14ac:dyDescent="0.35">
      <c r="F5535">
        <v>5530</v>
      </c>
      <c r="G5535" s="102">
        <f t="shared" ca="1" si="90"/>
        <v>7.3233075615713905E-2</v>
      </c>
    </row>
    <row r="5536" spans="6:7" x14ac:dyDescent="0.35">
      <c r="F5536">
        <v>5531</v>
      </c>
      <c r="G5536" s="102">
        <f t="shared" ca="1" si="90"/>
        <v>6.3930576073064627E-3</v>
      </c>
    </row>
    <row r="5537" spans="6:7" x14ac:dyDescent="0.35">
      <c r="F5537">
        <v>5532</v>
      </c>
      <c r="G5537" s="102">
        <f t="shared" ca="1" si="90"/>
        <v>2.3243267240833636E-2</v>
      </c>
    </row>
    <row r="5538" spans="6:7" x14ac:dyDescent="0.35">
      <c r="F5538">
        <v>5533</v>
      </c>
      <c r="G5538" s="102">
        <f t="shared" ca="1" si="90"/>
        <v>-5.8216871840403479E-3</v>
      </c>
    </row>
    <row r="5539" spans="6:7" x14ac:dyDescent="0.35">
      <c r="F5539">
        <v>5534</v>
      </c>
      <c r="G5539" s="102">
        <f t="shared" ca="1" si="90"/>
        <v>1.3559494247349091E-2</v>
      </c>
    </row>
    <row r="5540" spans="6:7" x14ac:dyDescent="0.35">
      <c r="F5540">
        <v>5535</v>
      </c>
      <c r="G5540" s="102">
        <f t="shared" ca="1" si="90"/>
        <v>1.4555079396845121E-2</v>
      </c>
    </row>
    <row r="5541" spans="6:7" x14ac:dyDescent="0.35">
      <c r="F5541">
        <v>5536</v>
      </c>
      <c r="G5541" s="102">
        <f t="shared" ca="1" si="90"/>
        <v>1.2124584122034385E-3</v>
      </c>
    </row>
    <row r="5542" spans="6:7" x14ac:dyDescent="0.35">
      <c r="F5542">
        <v>5537</v>
      </c>
      <c r="G5542" s="102">
        <f t="shared" ca="1" si="90"/>
        <v>-4.944948874765715E-3</v>
      </c>
    </row>
    <row r="5543" spans="6:7" x14ac:dyDescent="0.35">
      <c r="F5543">
        <v>5538</v>
      </c>
      <c r="G5543" s="102">
        <f t="shared" ca="1" si="90"/>
        <v>-6.7477600491736511E-2</v>
      </c>
    </row>
    <row r="5544" spans="6:7" x14ac:dyDescent="0.35">
      <c r="F5544">
        <v>5539</v>
      </c>
      <c r="G5544" s="102">
        <f t="shared" ca="1" si="90"/>
        <v>1.3502546050945738E-4</v>
      </c>
    </row>
    <row r="5545" spans="6:7" x14ac:dyDescent="0.35">
      <c r="F5545">
        <v>5540</v>
      </c>
      <c r="G5545" s="102">
        <f t="shared" ca="1" si="90"/>
        <v>-9.0548246614041483E-2</v>
      </c>
    </row>
    <row r="5546" spans="6:7" x14ac:dyDescent="0.35">
      <c r="F5546">
        <v>5541</v>
      </c>
      <c r="G5546" s="102">
        <f t="shared" ca="1" si="90"/>
        <v>-7.2478034495075436E-2</v>
      </c>
    </row>
    <row r="5547" spans="6:7" x14ac:dyDescent="0.35">
      <c r="F5547">
        <v>5542</v>
      </c>
      <c r="G5547" s="102">
        <f t="shared" ca="1" si="90"/>
        <v>2.428073065810904E-2</v>
      </c>
    </row>
    <row r="5548" spans="6:7" x14ac:dyDescent="0.35">
      <c r="F5548">
        <v>5543</v>
      </c>
      <c r="G5548" s="102">
        <f t="shared" ca="1" si="90"/>
        <v>-3.6434728936359517E-2</v>
      </c>
    </row>
    <row r="5549" spans="6:7" x14ac:dyDescent="0.35">
      <c r="F5549">
        <v>5544</v>
      </c>
      <c r="G5549" s="102">
        <f t="shared" ca="1" si="90"/>
        <v>-4.2072521182889802E-2</v>
      </c>
    </row>
    <row r="5550" spans="6:7" x14ac:dyDescent="0.35">
      <c r="F5550">
        <v>5545</v>
      </c>
      <c r="G5550" s="102">
        <f t="shared" ca="1" si="90"/>
        <v>6.1533042914809474E-2</v>
      </c>
    </row>
    <row r="5551" spans="6:7" x14ac:dyDescent="0.35">
      <c r="F5551">
        <v>5546</v>
      </c>
      <c r="G5551" s="102">
        <f t="shared" ca="1" si="90"/>
        <v>-1.8570354295435361E-2</v>
      </c>
    </row>
    <row r="5552" spans="6:7" x14ac:dyDescent="0.35">
      <c r="F5552">
        <v>5547</v>
      </c>
      <c r="G5552" s="102">
        <f t="shared" ca="1" si="90"/>
        <v>2.3063547190783847E-2</v>
      </c>
    </row>
    <row r="5553" spans="6:7" x14ac:dyDescent="0.35">
      <c r="F5553">
        <v>5548</v>
      </c>
      <c r="G5553" s="102">
        <f t="shared" ca="1" si="90"/>
        <v>9.6601377965861521E-3</v>
      </c>
    </row>
    <row r="5554" spans="6:7" x14ac:dyDescent="0.35">
      <c r="F5554">
        <v>5549</v>
      </c>
      <c r="G5554" s="102">
        <f t="shared" ca="1" si="90"/>
        <v>2.7999986941765854E-2</v>
      </c>
    </row>
    <row r="5555" spans="6:7" x14ac:dyDescent="0.35">
      <c r="F5555">
        <v>5550</v>
      </c>
      <c r="G5555" s="102">
        <f t="shared" ca="1" si="90"/>
        <v>-9.3024379845012981E-2</v>
      </c>
    </row>
    <row r="5556" spans="6:7" x14ac:dyDescent="0.35">
      <c r="F5556">
        <v>5551</v>
      </c>
      <c r="G5556" s="102">
        <f t="shared" ca="1" si="90"/>
        <v>-0.1232666859799635</v>
      </c>
    </row>
    <row r="5557" spans="6:7" x14ac:dyDescent="0.35">
      <c r="F5557">
        <v>5552</v>
      </c>
      <c r="G5557" s="102">
        <f t="shared" ca="1" si="90"/>
        <v>-0.16460427677578598</v>
      </c>
    </row>
    <row r="5558" spans="6:7" x14ac:dyDescent="0.35">
      <c r="F5558">
        <v>5553</v>
      </c>
      <c r="G5558" s="102">
        <f t="shared" ca="1" si="90"/>
        <v>5.5743794022237114E-2</v>
      </c>
    </row>
    <row r="5559" spans="6:7" x14ac:dyDescent="0.35">
      <c r="F5559">
        <v>5554</v>
      </c>
      <c r="G5559" s="102">
        <f t="shared" ca="1" si="90"/>
        <v>-6.6499097514844979E-2</v>
      </c>
    </row>
    <row r="5560" spans="6:7" x14ac:dyDescent="0.35">
      <c r="F5560">
        <v>5555</v>
      </c>
      <c r="G5560" s="102">
        <f t="shared" ca="1" si="90"/>
        <v>2.0874205603500038E-2</v>
      </c>
    </row>
    <row r="5561" spans="6:7" x14ac:dyDescent="0.35">
      <c r="F5561">
        <v>5556</v>
      </c>
      <c r="G5561" s="102">
        <f t="shared" ca="1" si="90"/>
        <v>-0.1142490232474178</v>
      </c>
    </row>
    <row r="5562" spans="6:7" x14ac:dyDescent="0.35">
      <c r="F5562">
        <v>5557</v>
      </c>
      <c r="G5562" s="102">
        <f t="shared" ca="1" si="90"/>
        <v>-5.5036853295879776E-2</v>
      </c>
    </row>
    <row r="5563" spans="6:7" x14ac:dyDescent="0.35">
      <c r="F5563">
        <v>5558</v>
      </c>
      <c r="G5563" s="102">
        <f t="shared" ca="1" si="90"/>
        <v>6.0412934163670093E-2</v>
      </c>
    </row>
    <row r="5564" spans="6:7" x14ac:dyDescent="0.35">
      <c r="F5564">
        <v>5559</v>
      </c>
      <c r="G5564" s="102">
        <f t="shared" ca="1" si="90"/>
        <v>5.7438049400156607E-3</v>
      </c>
    </row>
    <row r="5565" spans="6:7" x14ac:dyDescent="0.35">
      <c r="F5565">
        <v>5560</v>
      </c>
      <c r="G5565" s="102">
        <f t="shared" ca="1" si="90"/>
        <v>6.4290958474155835E-2</v>
      </c>
    </row>
    <row r="5566" spans="6:7" x14ac:dyDescent="0.35">
      <c r="F5566">
        <v>5561</v>
      </c>
      <c r="G5566" s="102">
        <f t="shared" ca="1" si="90"/>
        <v>-6.5092122110969E-2</v>
      </c>
    </row>
    <row r="5567" spans="6:7" x14ac:dyDescent="0.35">
      <c r="F5567">
        <v>5562</v>
      </c>
      <c r="G5567" s="102">
        <f t="shared" ca="1" si="90"/>
        <v>7.4275070725481188E-2</v>
      </c>
    </row>
    <row r="5568" spans="6:7" x14ac:dyDescent="0.35">
      <c r="F5568">
        <v>5563</v>
      </c>
      <c r="G5568" s="102">
        <f t="shared" ca="1" si="90"/>
        <v>-7.3628267755520546E-2</v>
      </c>
    </row>
    <row r="5569" spans="6:7" x14ac:dyDescent="0.35">
      <c r="F5569">
        <v>5564</v>
      </c>
      <c r="G5569" s="102">
        <f t="shared" ca="1" si="90"/>
        <v>-5.318640041483487E-2</v>
      </c>
    </row>
    <row r="5570" spans="6:7" x14ac:dyDescent="0.35">
      <c r="F5570">
        <v>5565</v>
      </c>
      <c r="G5570" s="102">
        <f t="shared" ca="1" si="90"/>
        <v>5.2632378750726461E-2</v>
      </c>
    </row>
    <row r="5571" spans="6:7" x14ac:dyDescent="0.35">
      <c r="F5571">
        <v>5566</v>
      </c>
      <c r="G5571" s="102">
        <f t="shared" ca="1" si="90"/>
        <v>3.8671303379166785E-2</v>
      </c>
    </row>
    <row r="5572" spans="6:7" x14ac:dyDescent="0.35">
      <c r="F5572">
        <v>5567</v>
      </c>
      <c r="G5572" s="102">
        <f t="shared" ca="1" si="90"/>
        <v>-3.1072180613582509E-2</v>
      </c>
    </row>
    <row r="5573" spans="6:7" x14ac:dyDescent="0.35">
      <c r="F5573">
        <v>5568</v>
      </c>
      <c r="G5573" s="102">
        <f t="shared" ca="1" si="90"/>
        <v>-1.6250959943333958E-2</v>
      </c>
    </row>
    <row r="5574" spans="6:7" x14ac:dyDescent="0.35">
      <c r="F5574">
        <v>5569</v>
      </c>
      <c r="G5574" s="102">
        <f t="shared" ca="1" si="90"/>
        <v>-2.9800188015831888E-3</v>
      </c>
    </row>
    <row r="5575" spans="6:7" x14ac:dyDescent="0.35">
      <c r="F5575">
        <v>5570</v>
      </c>
      <c r="G5575" s="102">
        <f t="shared" ref="G5575:G5638" ca="1" si="91">_xlfn.NORM.INV(RAND(),M$9,M$10)</f>
        <v>-5.1658062358259059E-3</v>
      </c>
    </row>
    <row r="5576" spans="6:7" x14ac:dyDescent="0.35">
      <c r="F5576">
        <v>5571</v>
      </c>
      <c r="G5576" s="102">
        <f t="shared" ca="1" si="91"/>
        <v>-4.4020352575361429E-3</v>
      </c>
    </row>
    <row r="5577" spans="6:7" x14ac:dyDescent="0.35">
      <c r="F5577">
        <v>5572</v>
      </c>
      <c r="G5577" s="102">
        <f t="shared" ca="1" si="91"/>
        <v>5.8171976114004577E-3</v>
      </c>
    </row>
    <row r="5578" spans="6:7" x14ac:dyDescent="0.35">
      <c r="F5578">
        <v>5573</v>
      </c>
      <c r="G5578" s="102">
        <f t="shared" ca="1" si="91"/>
        <v>-5.7842695430831259E-2</v>
      </c>
    </row>
    <row r="5579" spans="6:7" x14ac:dyDescent="0.35">
      <c r="F5579">
        <v>5574</v>
      </c>
      <c r="G5579" s="102">
        <f t="shared" ca="1" si="91"/>
        <v>-4.6319285267613114E-2</v>
      </c>
    </row>
    <row r="5580" spans="6:7" x14ac:dyDescent="0.35">
      <c r="F5580">
        <v>5575</v>
      </c>
      <c r="G5580" s="102">
        <f t="shared" ca="1" si="91"/>
        <v>-1.8990166912433278E-2</v>
      </c>
    </row>
    <row r="5581" spans="6:7" x14ac:dyDescent="0.35">
      <c r="F5581">
        <v>5576</v>
      </c>
      <c r="G5581" s="102">
        <f t="shared" ca="1" si="91"/>
        <v>-1.0618184072695856E-2</v>
      </c>
    </row>
    <row r="5582" spans="6:7" x14ac:dyDescent="0.35">
      <c r="F5582">
        <v>5577</v>
      </c>
      <c r="G5582" s="102">
        <f t="shared" ca="1" si="91"/>
        <v>-6.4062703085376066E-2</v>
      </c>
    </row>
    <row r="5583" spans="6:7" x14ac:dyDescent="0.35">
      <c r="F5583">
        <v>5578</v>
      </c>
      <c r="G5583" s="102">
        <f t="shared" ca="1" si="91"/>
        <v>-2.9364559844007911E-4</v>
      </c>
    </row>
    <row r="5584" spans="6:7" x14ac:dyDescent="0.35">
      <c r="F5584">
        <v>5579</v>
      </c>
      <c r="G5584" s="102">
        <f t="shared" ca="1" si="91"/>
        <v>-2.3787952808592219E-2</v>
      </c>
    </row>
    <row r="5585" spans="6:7" x14ac:dyDescent="0.35">
      <c r="F5585">
        <v>5580</v>
      </c>
      <c r="G5585" s="102">
        <f t="shared" ca="1" si="91"/>
        <v>-8.3935447435450061E-3</v>
      </c>
    </row>
    <row r="5586" spans="6:7" x14ac:dyDescent="0.35">
      <c r="F5586">
        <v>5581</v>
      </c>
      <c r="G5586" s="102">
        <f t="shared" ca="1" si="91"/>
        <v>-6.7086243539651841E-2</v>
      </c>
    </row>
    <row r="5587" spans="6:7" x14ac:dyDescent="0.35">
      <c r="F5587">
        <v>5582</v>
      </c>
      <c r="G5587" s="102">
        <f t="shared" ca="1" si="91"/>
        <v>-2.5459158050242525E-2</v>
      </c>
    </row>
    <row r="5588" spans="6:7" x14ac:dyDescent="0.35">
      <c r="F5588">
        <v>5583</v>
      </c>
      <c r="G5588" s="102">
        <f t="shared" ca="1" si="91"/>
        <v>-7.4423631851280383E-2</v>
      </c>
    </row>
    <row r="5589" spans="6:7" x14ac:dyDescent="0.35">
      <c r="F5589">
        <v>5584</v>
      </c>
      <c r="G5589" s="102">
        <f t="shared" ca="1" si="91"/>
        <v>3.8043370602492479E-2</v>
      </c>
    </row>
    <row r="5590" spans="6:7" x14ac:dyDescent="0.35">
      <c r="F5590">
        <v>5585</v>
      </c>
      <c r="G5590" s="102">
        <f t="shared" ca="1" si="91"/>
        <v>-8.0601108347883157E-2</v>
      </c>
    </row>
    <row r="5591" spans="6:7" x14ac:dyDescent="0.35">
      <c r="F5591">
        <v>5586</v>
      </c>
      <c r="G5591" s="102">
        <f t="shared" ca="1" si="91"/>
        <v>-4.7871548200591627E-2</v>
      </c>
    </row>
    <row r="5592" spans="6:7" x14ac:dyDescent="0.35">
      <c r="F5592">
        <v>5587</v>
      </c>
      <c r="G5592" s="102">
        <f t="shared" ca="1" si="91"/>
        <v>-2.017648268309508E-2</v>
      </c>
    </row>
    <row r="5593" spans="6:7" x14ac:dyDescent="0.35">
      <c r="F5593">
        <v>5588</v>
      </c>
      <c r="G5593" s="102">
        <f t="shared" ca="1" si="91"/>
        <v>0.10361538102548125</v>
      </c>
    </row>
    <row r="5594" spans="6:7" x14ac:dyDescent="0.35">
      <c r="F5594">
        <v>5589</v>
      </c>
      <c r="G5594" s="102">
        <f t="shared" ca="1" si="91"/>
        <v>2.5019663351355657E-2</v>
      </c>
    </row>
    <row r="5595" spans="6:7" x14ac:dyDescent="0.35">
      <c r="F5595">
        <v>5590</v>
      </c>
      <c r="G5595" s="102">
        <f t="shared" ca="1" si="91"/>
        <v>-7.2536096516697707E-2</v>
      </c>
    </row>
    <row r="5596" spans="6:7" x14ac:dyDescent="0.35">
      <c r="F5596">
        <v>5591</v>
      </c>
      <c r="G5596" s="102">
        <f t="shared" ca="1" si="91"/>
        <v>1.6430434958866588E-2</v>
      </c>
    </row>
    <row r="5597" spans="6:7" x14ac:dyDescent="0.35">
      <c r="F5597">
        <v>5592</v>
      </c>
      <c r="G5597" s="102">
        <f t="shared" ca="1" si="91"/>
        <v>1.7422621543278286E-2</v>
      </c>
    </row>
    <row r="5598" spans="6:7" x14ac:dyDescent="0.35">
      <c r="F5598">
        <v>5593</v>
      </c>
      <c r="G5598" s="102">
        <f t="shared" ca="1" si="91"/>
        <v>1.9894861024146948E-2</v>
      </c>
    </row>
    <row r="5599" spans="6:7" x14ac:dyDescent="0.35">
      <c r="F5599">
        <v>5594</v>
      </c>
      <c r="G5599" s="102">
        <f t="shared" ca="1" si="91"/>
        <v>0.15935326069857167</v>
      </c>
    </row>
    <row r="5600" spans="6:7" x14ac:dyDescent="0.35">
      <c r="F5600">
        <v>5595</v>
      </c>
      <c r="G5600" s="102">
        <f t="shared" ca="1" si="91"/>
        <v>3.1579080740574028E-2</v>
      </c>
    </row>
    <row r="5601" spans="6:7" x14ac:dyDescent="0.35">
      <c r="F5601">
        <v>5596</v>
      </c>
      <c r="G5601" s="102">
        <f t="shared" ca="1" si="91"/>
        <v>-1.9706506700624019E-2</v>
      </c>
    </row>
    <row r="5602" spans="6:7" x14ac:dyDescent="0.35">
      <c r="F5602">
        <v>5597</v>
      </c>
      <c r="G5602" s="102">
        <f t="shared" ca="1" si="91"/>
        <v>-3.2289122212225907E-2</v>
      </c>
    </row>
    <row r="5603" spans="6:7" x14ac:dyDescent="0.35">
      <c r="F5603">
        <v>5598</v>
      </c>
      <c r="G5603" s="102">
        <f t="shared" ca="1" si="91"/>
        <v>-8.3598541536452284E-2</v>
      </c>
    </row>
    <row r="5604" spans="6:7" x14ac:dyDescent="0.35">
      <c r="F5604">
        <v>5599</v>
      </c>
      <c r="G5604" s="102">
        <f t="shared" ca="1" si="91"/>
        <v>-9.8644960151739167E-2</v>
      </c>
    </row>
    <row r="5605" spans="6:7" x14ac:dyDescent="0.35">
      <c r="F5605">
        <v>5600</v>
      </c>
      <c r="G5605" s="102">
        <f t="shared" ca="1" si="91"/>
        <v>-0.11362792083348276</v>
      </c>
    </row>
    <row r="5606" spans="6:7" x14ac:dyDescent="0.35">
      <c r="F5606">
        <v>5601</v>
      </c>
      <c r="G5606" s="102">
        <f t="shared" ca="1" si="91"/>
        <v>5.8210903484704812E-2</v>
      </c>
    </row>
    <row r="5607" spans="6:7" x14ac:dyDescent="0.35">
      <c r="F5607">
        <v>5602</v>
      </c>
      <c r="G5607" s="102">
        <f t="shared" ca="1" si="91"/>
        <v>3.4551146643444913E-2</v>
      </c>
    </row>
    <row r="5608" spans="6:7" x14ac:dyDescent="0.35">
      <c r="F5608">
        <v>5603</v>
      </c>
      <c r="G5608" s="102">
        <f t="shared" ca="1" si="91"/>
        <v>-6.8963680111289005E-2</v>
      </c>
    </row>
    <row r="5609" spans="6:7" x14ac:dyDescent="0.35">
      <c r="F5609">
        <v>5604</v>
      </c>
      <c r="G5609" s="102">
        <f t="shared" ca="1" si="91"/>
        <v>2.9295701364157472E-2</v>
      </c>
    </row>
    <row r="5610" spans="6:7" x14ac:dyDescent="0.35">
      <c r="F5610">
        <v>5605</v>
      </c>
      <c r="G5610" s="102">
        <f t="shared" ca="1" si="91"/>
        <v>1.1660445063984934E-2</v>
      </c>
    </row>
    <row r="5611" spans="6:7" x14ac:dyDescent="0.35">
      <c r="F5611">
        <v>5606</v>
      </c>
      <c r="G5611" s="102">
        <f t="shared" ca="1" si="91"/>
        <v>-1.4243219401069745E-2</v>
      </c>
    </row>
    <row r="5612" spans="6:7" x14ac:dyDescent="0.35">
      <c r="F5612">
        <v>5607</v>
      </c>
      <c r="G5612" s="102">
        <f t="shared" ca="1" si="91"/>
        <v>-2.0815307336648423E-2</v>
      </c>
    </row>
    <row r="5613" spans="6:7" x14ac:dyDescent="0.35">
      <c r="F5613">
        <v>5608</v>
      </c>
      <c r="G5613" s="102">
        <f t="shared" ca="1" si="91"/>
        <v>-1.4010838161070474E-4</v>
      </c>
    </row>
    <row r="5614" spans="6:7" x14ac:dyDescent="0.35">
      <c r="F5614">
        <v>5609</v>
      </c>
      <c r="G5614" s="102">
        <f t="shared" ca="1" si="91"/>
        <v>-0.15503627490177493</v>
      </c>
    </row>
    <row r="5615" spans="6:7" x14ac:dyDescent="0.35">
      <c r="F5615">
        <v>5610</v>
      </c>
      <c r="G5615" s="102">
        <f t="shared" ca="1" si="91"/>
        <v>5.0819287921405089E-3</v>
      </c>
    </row>
    <row r="5616" spans="6:7" x14ac:dyDescent="0.35">
      <c r="F5616">
        <v>5611</v>
      </c>
      <c r="G5616" s="102">
        <f t="shared" ca="1" si="91"/>
        <v>-1.189890338903341E-3</v>
      </c>
    </row>
    <row r="5617" spans="6:7" x14ac:dyDescent="0.35">
      <c r="F5617">
        <v>5612</v>
      </c>
      <c r="G5617" s="102">
        <f t="shared" ca="1" si="91"/>
        <v>-3.2609173075398894E-2</v>
      </c>
    </row>
    <row r="5618" spans="6:7" x14ac:dyDescent="0.35">
      <c r="F5618">
        <v>5613</v>
      </c>
      <c r="G5618" s="102">
        <f t="shared" ca="1" si="91"/>
        <v>-5.7628287783406701E-2</v>
      </c>
    </row>
    <row r="5619" spans="6:7" x14ac:dyDescent="0.35">
      <c r="F5619">
        <v>5614</v>
      </c>
      <c r="G5619" s="102">
        <f t="shared" ca="1" si="91"/>
        <v>2.385140109511932E-2</v>
      </c>
    </row>
    <row r="5620" spans="6:7" x14ac:dyDescent="0.35">
      <c r="F5620">
        <v>5615</v>
      </c>
      <c r="G5620" s="102">
        <f t="shared" ca="1" si="91"/>
        <v>2.1031051469322234E-3</v>
      </c>
    </row>
    <row r="5621" spans="6:7" x14ac:dyDescent="0.35">
      <c r="F5621">
        <v>5616</v>
      </c>
      <c r="G5621" s="102">
        <f t="shared" ca="1" si="91"/>
        <v>8.6600766318705405E-2</v>
      </c>
    </row>
    <row r="5622" spans="6:7" x14ac:dyDescent="0.35">
      <c r="F5622">
        <v>5617</v>
      </c>
      <c r="G5622" s="102">
        <f t="shared" ca="1" si="91"/>
        <v>-0.11964675687724725</v>
      </c>
    </row>
    <row r="5623" spans="6:7" x14ac:dyDescent="0.35">
      <c r="F5623">
        <v>5618</v>
      </c>
      <c r="G5623" s="102">
        <f t="shared" ca="1" si="91"/>
        <v>0.17664815877219692</v>
      </c>
    </row>
    <row r="5624" spans="6:7" x14ac:dyDescent="0.35">
      <c r="F5624">
        <v>5619</v>
      </c>
      <c r="G5624" s="102">
        <f t="shared" ca="1" si="91"/>
        <v>-0.14822350211082147</v>
      </c>
    </row>
    <row r="5625" spans="6:7" x14ac:dyDescent="0.35">
      <c r="F5625">
        <v>5620</v>
      </c>
      <c r="G5625" s="102">
        <f t="shared" ca="1" si="91"/>
        <v>-8.832269381612344E-2</v>
      </c>
    </row>
    <row r="5626" spans="6:7" x14ac:dyDescent="0.35">
      <c r="F5626">
        <v>5621</v>
      </c>
      <c r="G5626" s="102">
        <f t="shared" ca="1" si="91"/>
        <v>2.6060152455678307E-2</v>
      </c>
    </row>
    <row r="5627" spans="6:7" x14ac:dyDescent="0.35">
      <c r="F5627">
        <v>5622</v>
      </c>
      <c r="G5627" s="102">
        <f t="shared" ca="1" si="91"/>
        <v>6.7104543670424718E-2</v>
      </c>
    </row>
    <row r="5628" spans="6:7" x14ac:dyDescent="0.35">
      <c r="F5628">
        <v>5623</v>
      </c>
      <c r="G5628" s="102">
        <f t="shared" ca="1" si="91"/>
        <v>-5.3897931011895925E-2</v>
      </c>
    </row>
    <row r="5629" spans="6:7" x14ac:dyDescent="0.35">
      <c r="F5629">
        <v>5624</v>
      </c>
      <c r="G5629" s="102">
        <f t="shared" ca="1" si="91"/>
        <v>1.1260500868787628E-2</v>
      </c>
    </row>
    <row r="5630" spans="6:7" x14ac:dyDescent="0.35">
      <c r="F5630">
        <v>5625</v>
      </c>
      <c r="G5630" s="102">
        <f t="shared" ca="1" si="91"/>
        <v>-1.4920783694060554E-2</v>
      </c>
    </row>
    <row r="5631" spans="6:7" x14ac:dyDescent="0.35">
      <c r="F5631">
        <v>5626</v>
      </c>
      <c r="G5631" s="102">
        <f t="shared" ca="1" si="91"/>
        <v>-2.986784589404479E-2</v>
      </c>
    </row>
    <row r="5632" spans="6:7" x14ac:dyDescent="0.35">
      <c r="F5632">
        <v>5627</v>
      </c>
      <c r="G5632" s="102">
        <f t="shared" ca="1" si="91"/>
        <v>-4.0907256311760093E-2</v>
      </c>
    </row>
    <row r="5633" spans="6:7" x14ac:dyDescent="0.35">
      <c r="F5633">
        <v>5628</v>
      </c>
      <c r="G5633" s="102">
        <f t="shared" ca="1" si="91"/>
        <v>-7.8497668369844953E-2</v>
      </c>
    </row>
    <row r="5634" spans="6:7" x14ac:dyDescent="0.35">
      <c r="F5634">
        <v>5629</v>
      </c>
      <c r="G5634" s="102">
        <f t="shared" ca="1" si="91"/>
        <v>-0.16498674408917141</v>
      </c>
    </row>
    <row r="5635" spans="6:7" x14ac:dyDescent="0.35">
      <c r="F5635">
        <v>5630</v>
      </c>
      <c r="G5635" s="102">
        <f t="shared" ca="1" si="91"/>
        <v>6.7086806478638517E-2</v>
      </c>
    </row>
    <row r="5636" spans="6:7" x14ac:dyDescent="0.35">
      <c r="F5636">
        <v>5631</v>
      </c>
      <c r="G5636" s="102">
        <f t="shared" ca="1" si="91"/>
        <v>-0.14001336703529557</v>
      </c>
    </row>
    <row r="5637" spans="6:7" x14ac:dyDescent="0.35">
      <c r="F5637">
        <v>5632</v>
      </c>
      <c r="G5637" s="102">
        <f t="shared" ca="1" si="91"/>
        <v>-3.6592330505527459E-2</v>
      </c>
    </row>
    <row r="5638" spans="6:7" x14ac:dyDescent="0.35">
      <c r="F5638">
        <v>5633</v>
      </c>
      <c r="G5638" s="102">
        <f t="shared" ca="1" si="91"/>
        <v>3.744629064185602E-2</v>
      </c>
    </row>
    <row r="5639" spans="6:7" x14ac:dyDescent="0.35">
      <c r="F5639">
        <v>5634</v>
      </c>
      <c r="G5639" s="102">
        <f t="shared" ref="G5639:G5702" ca="1" si="92">_xlfn.NORM.INV(RAND(),M$9,M$10)</f>
        <v>6.1276597501892544E-2</v>
      </c>
    </row>
    <row r="5640" spans="6:7" x14ac:dyDescent="0.35">
      <c r="F5640">
        <v>5635</v>
      </c>
      <c r="G5640" s="102">
        <f t="shared" ca="1" si="92"/>
        <v>-4.3058279014762266E-2</v>
      </c>
    </row>
    <row r="5641" spans="6:7" x14ac:dyDescent="0.35">
      <c r="F5641">
        <v>5636</v>
      </c>
      <c r="G5641" s="102">
        <f t="shared" ca="1" si="92"/>
        <v>2.7906484021702493E-2</v>
      </c>
    </row>
    <row r="5642" spans="6:7" x14ac:dyDescent="0.35">
      <c r="F5642">
        <v>5637</v>
      </c>
      <c r="G5642" s="102">
        <f t="shared" ca="1" si="92"/>
        <v>-3.7633069455291768E-2</v>
      </c>
    </row>
    <row r="5643" spans="6:7" x14ac:dyDescent="0.35">
      <c r="F5643">
        <v>5638</v>
      </c>
      <c r="G5643" s="102">
        <f t="shared" ca="1" si="92"/>
        <v>-9.1550470909359805E-3</v>
      </c>
    </row>
    <row r="5644" spans="6:7" x14ac:dyDescent="0.35">
      <c r="F5644">
        <v>5639</v>
      </c>
      <c r="G5644" s="102">
        <f t="shared" ca="1" si="92"/>
        <v>-3.3216525710114631E-2</v>
      </c>
    </row>
    <row r="5645" spans="6:7" x14ac:dyDescent="0.35">
      <c r="F5645">
        <v>5640</v>
      </c>
      <c r="G5645" s="102">
        <f t="shared" ca="1" si="92"/>
        <v>2.564468267944868E-2</v>
      </c>
    </row>
    <row r="5646" spans="6:7" x14ac:dyDescent="0.35">
      <c r="F5646">
        <v>5641</v>
      </c>
      <c r="G5646" s="102">
        <f t="shared" ca="1" si="92"/>
        <v>-0.10303036017646272</v>
      </c>
    </row>
    <row r="5647" spans="6:7" x14ac:dyDescent="0.35">
      <c r="F5647">
        <v>5642</v>
      </c>
      <c r="G5647" s="102">
        <f t="shared" ca="1" si="92"/>
        <v>-1.9779252526085402E-3</v>
      </c>
    </row>
    <row r="5648" spans="6:7" x14ac:dyDescent="0.35">
      <c r="F5648">
        <v>5643</v>
      </c>
      <c r="G5648" s="102">
        <f t="shared" ca="1" si="92"/>
        <v>-4.1470944227409615E-2</v>
      </c>
    </row>
    <row r="5649" spans="6:7" x14ac:dyDescent="0.35">
      <c r="F5649">
        <v>5644</v>
      </c>
      <c r="G5649" s="102">
        <f t="shared" ca="1" si="92"/>
        <v>-4.9206399042006022E-2</v>
      </c>
    </row>
    <row r="5650" spans="6:7" x14ac:dyDescent="0.35">
      <c r="F5650">
        <v>5645</v>
      </c>
      <c r="G5650" s="102">
        <f t="shared" ca="1" si="92"/>
        <v>2.1151786227004355E-2</v>
      </c>
    </row>
    <row r="5651" spans="6:7" x14ac:dyDescent="0.35">
      <c r="F5651">
        <v>5646</v>
      </c>
      <c r="G5651" s="102">
        <f t="shared" ca="1" si="92"/>
        <v>-9.418951527207375E-3</v>
      </c>
    </row>
    <row r="5652" spans="6:7" x14ac:dyDescent="0.35">
      <c r="F5652">
        <v>5647</v>
      </c>
      <c r="G5652" s="102">
        <f t="shared" ca="1" si="92"/>
        <v>-3.3923677031409E-2</v>
      </c>
    </row>
    <row r="5653" spans="6:7" x14ac:dyDescent="0.35">
      <c r="F5653">
        <v>5648</v>
      </c>
      <c r="G5653" s="102">
        <f t="shared" ca="1" si="92"/>
        <v>-2.1702281051599707E-2</v>
      </c>
    </row>
    <row r="5654" spans="6:7" x14ac:dyDescent="0.35">
      <c r="F5654">
        <v>5649</v>
      </c>
      <c r="G5654" s="102">
        <f t="shared" ca="1" si="92"/>
        <v>5.3355804195524381E-2</v>
      </c>
    </row>
    <row r="5655" spans="6:7" x14ac:dyDescent="0.35">
      <c r="F5655">
        <v>5650</v>
      </c>
      <c r="G5655" s="102">
        <f t="shared" ca="1" si="92"/>
        <v>1.9870324185700634E-2</v>
      </c>
    </row>
    <row r="5656" spans="6:7" x14ac:dyDescent="0.35">
      <c r="F5656">
        <v>5651</v>
      </c>
      <c r="G5656" s="102">
        <f t="shared" ca="1" si="92"/>
        <v>-3.8601930220423103E-2</v>
      </c>
    </row>
    <row r="5657" spans="6:7" x14ac:dyDescent="0.35">
      <c r="F5657">
        <v>5652</v>
      </c>
      <c r="G5657" s="102">
        <f t="shared" ca="1" si="92"/>
        <v>-5.4467954799033103E-2</v>
      </c>
    </row>
    <row r="5658" spans="6:7" x14ac:dyDescent="0.35">
      <c r="F5658">
        <v>5653</v>
      </c>
      <c r="G5658" s="102">
        <f t="shared" ca="1" si="92"/>
        <v>5.4610979356995881E-2</v>
      </c>
    </row>
    <row r="5659" spans="6:7" x14ac:dyDescent="0.35">
      <c r="F5659">
        <v>5654</v>
      </c>
      <c r="G5659" s="102">
        <f t="shared" ca="1" si="92"/>
        <v>0.13002541174307608</v>
      </c>
    </row>
    <row r="5660" spans="6:7" x14ac:dyDescent="0.35">
      <c r="F5660">
        <v>5655</v>
      </c>
      <c r="G5660" s="102">
        <f t="shared" ca="1" si="92"/>
        <v>3.5640253893585105E-2</v>
      </c>
    </row>
    <row r="5661" spans="6:7" x14ac:dyDescent="0.35">
      <c r="F5661">
        <v>5656</v>
      </c>
      <c r="G5661" s="102">
        <f t="shared" ca="1" si="92"/>
        <v>-2.2163796986753876E-2</v>
      </c>
    </row>
    <row r="5662" spans="6:7" x14ac:dyDescent="0.35">
      <c r="F5662">
        <v>5657</v>
      </c>
      <c r="G5662" s="102">
        <f t="shared" ca="1" si="92"/>
        <v>-1.194294014597639E-2</v>
      </c>
    </row>
    <row r="5663" spans="6:7" x14ac:dyDescent="0.35">
      <c r="F5663">
        <v>5658</v>
      </c>
      <c r="G5663" s="102">
        <f t="shared" ca="1" si="92"/>
        <v>-7.0994434608596987E-2</v>
      </c>
    </row>
    <row r="5664" spans="6:7" x14ac:dyDescent="0.35">
      <c r="F5664">
        <v>5659</v>
      </c>
      <c r="G5664" s="102">
        <f t="shared" ca="1" si="92"/>
        <v>-0.11065957516252098</v>
      </c>
    </row>
    <row r="5665" spans="6:7" x14ac:dyDescent="0.35">
      <c r="F5665">
        <v>5660</v>
      </c>
      <c r="G5665" s="102">
        <f t="shared" ca="1" si="92"/>
        <v>-8.2561018607791983E-2</v>
      </c>
    </row>
    <row r="5666" spans="6:7" x14ac:dyDescent="0.35">
      <c r="F5666">
        <v>5661</v>
      </c>
      <c r="G5666" s="102">
        <f t="shared" ca="1" si="92"/>
        <v>-3.9859287479844407E-2</v>
      </c>
    </row>
    <row r="5667" spans="6:7" x14ac:dyDescent="0.35">
      <c r="F5667">
        <v>5662</v>
      </c>
      <c r="G5667" s="102">
        <f t="shared" ca="1" si="92"/>
        <v>-2.2363849300083744E-2</v>
      </c>
    </row>
    <row r="5668" spans="6:7" x14ac:dyDescent="0.35">
      <c r="F5668">
        <v>5663</v>
      </c>
      <c r="G5668" s="102">
        <f t="shared" ca="1" si="92"/>
        <v>-1.3148913737231552E-2</v>
      </c>
    </row>
    <row r="5669" spans="6:7" x14ac:dyDescent="0.35">
      <c r="F5669">
        <v>5664</v>
      </c>
      <c r="G5669" s="102">
        <f t="shared" ca="1" si="92"/>
        <v>-1.6862522220214882E-2</v>
      </c>
    </row>
    <row r="5670" spans="6:7" x14ac:dyDescent="0.35">
      <c r="F5670">
        <v>5665</v>
      </c>
      <c r="G5670" s="102">
        <f t="shared" ca="1" si="92"/>
        <v>-7.2195378465956334E-2</v>
      </c>
    </row>
    <row r="5671" spans="6:7" x14ac:dyDescent="0.35">
      <c r="F5671">
        <v>5666</v>
      </c>
      <c r="G5671" s="102">
        <f t="shared" ca="1" si="92"/>
        <v>-1.1159114580279364E-2</v>
      </c>
    </row>
    <row r="5672" spans="6:7" x14ac:dyDescent="0.35">
      <c r="F5672">
        <v>5667</v>
      </c>
      <c r="G5672" s="102">
        <f t="shared" ca="1" si="92"/>
        <v>-6.6790293920696006E-2</v>
      </c>
    </row>
    <row r="5673" spans="6:7" x14ac:dyDescent="0.35">
      <c r="F5673">
        <v>5668</v>
      </c>
      <c r="G5673" s="102">
        <f t="shared" ca="1" si="92"/>
        <v>8.5516194341800064E-2</v>
      </c>
    </row>
    <row r="5674" spans="6:7" x14ac:dyDescent="0.35">
      <c r="F5674">
        <v>5669</v>
      </c>
      <c r="G5674" s="102">
        <f t="shared" ca="1" si="92"/>
        <v>2.667531479690834E-2</v>
      </c>
    </row>
    <row r="5675" spans="6:7" x14ac:dyDescent="0.35">
      <c r="F5675">
        <v>5670</v>
      </c>
      <c r="G5675" s="102">
        <f t="shared" ca="1" si="92"/>
        <v>-5.3970723064131101E-2</v>
      </c>
    </row>
    <row r="5676" spans="6:7" x14ac:dyDescent="0.35">
      <c r="F5676">
        <v>5671</v>
      </c>
      <c r="G5676" s="102">
        <f t="shared" ca="1" si="92"/>
        <v>-3.5855842625232441E-2</v>
      </c>
    </row>
    <row r="5677" spans="6:7" x14ac:dyDescent="0.35">
      <c r="F5677">
        <v>5672</v>
      </c>
      <c r="G5677" s="102">
        <f t="shared" ca="1" si="92"/>
        <v>-8.9143406897534125E-2</v>
      </c>
    </row>
    <row r="5678" spans="6:7" x14ac:dyDescent="0.35">
      <c r="F5678">
        <v>5673</v>
      </c>
      <c r="G5678" s="102">
        <f t="shared" ca="1" si="92"/>
        <v>1.9024830037177507E-2</v>
      </c>
    </row>
    <row r="5679" spans="6:7" x14ac:dyDescent="0.35">
      <c r="F5679">
        <v>5674</v>
      </c>
      <c r="G5679" s="102">
        <f t="shared" ca="1" si="92"/>
        <v>-5.7189543632404749E-2</v>
      </c>
    </row>
    <row r="5680" spans="6:7" x14ac:dyDescent="0.35">
      <c r="F5680">
        <v>5675</v>
      </c>
      <c r="G5680" s="102">
        <f t="shared" ca="1" si="92"/>
        <v>3.9558277808724243E-2</v>
      </c>
    </row>
    <row r="5681" spans="6:7" x14ac:dyDescent="0.35">
      <c r="F5681">
        <v>5676</v>
      </c>
      <c r="G5681" s="102">
        <f t="shared" ca="1" si="92"/>
        <v>2.4317101370087302E-2</v>
      </c>
    </row>
    <row r="5682" spans="6:7" x14ac:dyDescent="0.35">
      <c r="F5682">
        <v>5677</v>
      </c>
      <c r="G5682" s="102">
        <f t="shared" ca="1" si="92"/>
        <v>6.6638967108167024E-2</v>
      </c>
    </row>
    <row r="5683" spans="6:7" x14ac:dyDescent="0.35">
      <c r="F5683">
        <v>5678</v>
      </c>
      <c r="G5683" s="102">
        <f t="shared" ca="1" si="92"/>
        <v>8.0232149741175651E-2</v>
      </c>
    </row>
    <row r="5684" spans="6:7" x14ac:dyDescent="0.35">
      <c r="F5684">
        <v>5679</v>
      </c>
      <c r="G5684" s="102">
        <f t="shared" ca="1" si="92"/>
        <v>-4.2353410399979516E-2</v>
      </c>
    </row>
    <row r="5685" spans="6:7" x14ac:dyDescent="0.35">
      <c r="F5685">
        <v>5680</v>
      </c>
      <c r="G5685" s="102">
        <f t="shared" ca="1" si="92"/>
        <v>-6.5865940348807609E-3</v>
      </c>
    </row>
    <row r="5686" spans="6:7" x14ac:dyDescent="0.35">
      <c r="F5686">
        <v>5681</v>
      </c>
      <c r="G5686" s="102">
        <f t="shared" ca="1" si="92"/>
        <v>-2.5642909463873778E-2</v>
      </c>
    </row>
    <row r="5687" spans="6:7" x14ac:dyDescent="0.35">
      <c r="F5687">
        <v>5682</v>
      </c>
      <c r="G5687" s="102">
        <f t="shared" ca="1" si="92"/>
        <v>-6.7510804718074954E-2</v>
      </c>
    </row>
    <row r="5688" spans="6:7" x14ac:dyDescent="0.35">
      <c r="F5688">
        <v>5683</v>
      </c>
      <c r="G5688" s="102">
        <f t="shared" ca="1" si="92"/>
        <v>6.8371713455171693E-2</v>
      </c>
    </row>
    <row r="5689" spans="6:7" x14ac:dyDescent="0.35">
      <c r="F5689">
        <v>5684</v>
      </c>
      <c r="G5689" s="102">
        <f t="shared" ca="1" si="92"/>
        <v>6.4534016925036269E-2</v>
      </c>
    </row>
    <row r="5690" spans="6:7" x14ac:dyDescent="0.35">
      <c r="F5690">
        <v>5685</v>
      </c>
      <c r="G5690" s="102">
        <f t="shared" ca="1" si="92"/>
        <v>-8.9569223498638093E-2</v>
      </c>
    </row>
    <row r="5691" spans="6:7" x14ac:dyDescent="0.35">
      <c r="F5691">
        <v>5686</v>
      </c>
      <c r="G5691" s="102">
        <f t="shared" ca="1" si="92"/>
        <v>7.9279598039600774E-2</v>
      </c>
    </row>
    <row r="5692" spans="6:7" x14ac:dyDescent="0.35">
      <c r="F5692">
        <v>5687</v>
      </c>
      <c r="G5692" s="102">
        <f t="shared" ca="1" si="92"/>
        <v>0.10934495286790218</v>
      </c>
    </row>
    <row r="5693" spans="6:7" x14ac:dyDescent="0.35">
      <c r="F5693">
        <v>5688</v>
      </c>
      <c r="G5693" s="102">
        <f t="shared" ca="1" si="92"/>
        <v>-5.1630228972868092E-2</v>
      </c>
    </row>
    <row r="5694" spans="6:7" x14ac:dyDescent="0.35">
      <c r="F5694">
        <v>5689</v>
      </c>
      <c r="G5694" s="102">
        <f t="shared" ca="1" si="92"/>
        <v>-1.8585420336720712E-2</v>
      </c>
    </row>
    <row r="5695" spans="6:7" x14ac:dyDescent="0.35">
      <c r="F5695">
        <v>5690</v>
      </c>
      <c r="G5695" s="102">
        <f t="shared" ca="1" si="92"/>
        <v>7.4653320040176576E-3</v>
      </c>
    </row>
    <row r="5696" spans="6:7" x14ac:dyDescent="0.35">
      <c r="F5696">
        <v>5691</v>
      </c>
      <c r="G5696" s="102">
        <f t="shared" ca="1" si="92"/>
        <v>1.3177157513767471E-2</v>
      </c>
    </row>
    <row r="5697" spans="6:7" x14ac:dyDescent="0.35">
      <c r="F5697">
        <v>5692</v>
      </c>
      <c r="G5697" s="102">
        <f t="shared" ca="1" si="92"/>
        <v>3.6162025476412049E-2</v>
      </c>
    </row>
    <row r="5698" spans="6:7" x14ac:dyDescent="0.35">
      <c r="F5698">
        <v>5693</v>
      </c>
      <c r="G5698" s="102">
        <f t="shared" ca="1" si="92"/>
        <v>3.7469621129553335E-2</v>
      </c>
    </row>
    <row r="5699" spans="6:7" x14ac:dyDescent="0.35">
      <c r="F5699">
        <v>5694</v>
      </c>
      <c r="G5699" s="102">
        <f t="shared" ca="1" si="92"/>
        <v>8.0296452539251287E-2</v>
      </c>
    </row>
    <row r="5700" spans="6:7" x14ac:dyDescent="0.35">
      <c r="F5700">
        <v>5695</v>
      </c>
      <c r="G5700" s="102">
        <f t="shared" ca="1" si="92"/>
        <v>6.2965326552388845E-4</v>
      </c>
    </row>
    <row r="5701" spans="6:7" x14ac:dyDescent="0.35">
      <c r="F5701">
        <v>5696</v>
      </c>
      <c r="G5701" s="102">
        <f t="shared" ca="1" si="92"/>
        <v>-1.2258215796901444E-2</v>
      </c>
    </row>
    <row r="5702" spans="6:7" x14ac:dyDescent="0.35">
      <c r="F5702">
        <v>5697</v>
      </c>
      <c r="G5702" s="102">
        <f t="shared" ca="1" si="92"/>
        <v>-4.8742290072435773E-2</v>
      </c>
    </row>
    <row r="5703" spans="6:7" x14ac:dyDescent="0.35">
      <c r="F5703">
        <v>5698</v>
      </c>
      <c r="G5703" s="102">
        <f t="shared" ref="G5703:G5766" ca="1" si="93">_xlfn.NORM.INV(RAND(),M$9,M$10)</f>
        <v>6.144268497763751E-2</v>
      </c>
    </row>
    <row r="5704" spans="6:7" x14ac:dyDescent="0.35">
      <c r="F5704">
        <v>5699</v>
      </c>
      <c r="G5704" s="102">
        <f t="shared" ca="1" si="93"/>
        <v>1.1194863795919625E-2</v>
      </c>
    </row>
    <row r="5705" spans="6:7" x14ac:dyDescent="0.35">
      <c r="F5705">
        <v>5700</v>
      </c>
      <c r="G5705" s="102">
        <f t="shared" ca="1" si="93"/>
        <v>-1.8834345353517776E-2</v>
      </c>
    </row>
    <row r="5706" spans="6:7" x14ac:dyDescent="0.35">
      <c r="F5706">
        <v>5701</v>
      </c>
      <c r="G5706" s="102">
        <f t="shared" ca="1" si="93"/>
        <v>-1.1868031593998896E-2</v>
      </c>
    </row>
    <row r="5707" spans="6:7" x14ac:dyDescent="0.35">
      <c r="F5707">
        <v>5702</v>
      </c>
      <c r="G5707" s="102">
        <f t="shared" ca="1" si="93"/>
        <v>-3.6469710914925998E-2</v>
      </c>
    </row>
    <row r="5708" spans="6:7" x14ac:dyDescent="0.35">
      <c r="F5708">
        <v>5703</v>
      </c>
      <c r="G5708" s="102">
        <f t="shared" ca="1" si="93"/>
        <v>-6.8863944513954126E-2</v>
      </c>
    </row>
    <row r="5709" spans="6:7" x14ac:dyDescent="0.35">
      <c r="F5709">
        <v>5704</v>
      </c>
      <c r="G5709" s="102">
        <f t="shared" ca="1" si="93"/>
        <v>-8.2591800043470526E-2</v>
      </c>
    </row>
    <row r="5710" spans="6:7" x14ac:dyDescent="0.35">
      <c r="F5710">
        <v>5705</v>
      </c>
      <c r="G5710" s="102">
        <f t="shared" ca="1" si="93"/>
        <v>1.3958183755283571E-2</v>
      </c>
    </row>
    <row r="5711" spans="6:7" x14ac:dyDescent="0.35">
      <c r="F5711">
        <v>5706</v>
      </c>
      <c r="G5711" s="102">
        <f t="shared" ca="1" si="93"/>
        <v>-3.2451839689241951E-2</v>
      </c>
    </row>
    <row r="5712" spans="6:7" x14ac:dyDescent="0.35">
      <c r="F5712">
        <v>5707</v>
      </c>
      <c r="G5712" s="102">
        <f t="shared" ca="1" si="93"/>
        <v>-7.0347346218046516E-2</v>
      </c>
    </row>
    <row r="5713" spans="6:7" x14ac:dyDescent="0.35">
      <c r="F5713">
        <v>5708</v>
      </c>
      <c r="G5713" s="102">
        <f t="shared" ca="1" si="93"/>
        <v>3.0775626696788325E-2</v>
      </c>
    </row>
    <row r="5714" spans="6:7" x14ac:dyDescent="0.35">
      <c r="F5714">
        <v>5709</v>
      </c>
      <c r="G5714" s="102">
        <f t="shared" ca="1" si="93"/>
        <v>3.1126938659204569E-2</v>
      </c>
    </row>
    <row r="5715" spans="6:7" x14ac:dyDescent="0.35">
      <c r="F5715">
        <v>5710</v>
      </c>
      <c r="G5715" s="102">
        <f t="shared" ca="1" si="93"/>
        <v>-6.2710579677512965E-2</v>
      </c>
    </row>
    <row r="5716" spans="6:7" x14ac:dyDescent="0.35">
      <c r="F5716">
        <v>5711</v>
      </c>
      <c r="G5716" s="102">
        <f t="shared" ca="1" si="93"/>
        <v>-2.5719853967270792E-2</v>
      </c>
    </row>
    <row r="5717" spans="6:7" x14ac:dyDescent="0.35">
      <c r="F5717">
        <v>5712</v>
      </c>
      <c r="G5717" s="102">
        <f t="shared" ca="1" si="93"/>
        <v>-2.401778849181415E-2</v>
      </c>
    </row>
    <row r="5718" spans="6:7" x14ac:dyDescent="0.35">
      <c r="F5718">
        <v>5713</v>
      </c>
      <c r="G5718" s="102">
        <f t="shared" ca="1" si="93"/>
        <v>-4.9459343361106328E-2</v>
      </c>
    </row>
    <row r="5719" spans="6:7" x14ac:dyDescent="0.35">
      <c r="F5719">
        <v>5714</v>
      </c>
      <c r="G5719" s="102">
        <f t="shared" ca="1" si="93"/>
        <v>-8.913778483848828E-4</v>
      </c>
    </row>
    <row r="5720" spans="6:7" x14ac:dyDescent="0.35">
      <c r="F5720">
        <v>5715</v>
      </c>
      <c r="G5720" s="102">
        <f t="shared" ca="1" si="93"/>
        <v>2.40049737967221E-2</v>
      </c>
    </row>
    <row r="5721" spans="6:7" x14ac:dyDescent="0.35">
      <c r="F5721">
        <v>5716</v>
      </c>
      <c r="G5721" s="102">
        <f t="shared" ca="1" si="93"/>
        <v>-2.3011786248013353E-3</v>
      </c>
    </row>
    <row r="5722" spans="6:7" x14ac:dyDescent="0.35">
      <c r="F5722">
        <v>5717</v>
      </c>
      <c r="G5722" s="102">
        <f t="shared" ca="1" si="93"/>
        <v>-9.4053395854368088E-3</v>
      </c>
    </row>
    <row r="5723" spans="6:7" x14ac:dyDescent="0.35">
      <c r="F5723">
        <v>5718</v>
      </c>
      <c r="G5723" s="102">
        <f t="shared" ca="1" si="93"/>
        <v>5.7092581823652871E-2</v>
      </c>
    </row>
    <row r="5724" spans="6:7" x14ac:dyDescent="0.35">
      <c r="F5724">
        <v>5719</v>
      </c>
      <c r="G5724" s="102">
        <f t="shared" ca="1" si="93"/>
        <v>2.0828204725776504E-2</v>
      </c>
    </row>
    <row r="5725" spans="6:7" x14ac:dyDescent="0.35">
      <c r="F5725">
        <v>5720</v>
      </c>
      <c r="G5725" s="102">
        <f t="shared" ca="1" si="93"/>
        <v>0.12673797530155523</v>
      </c>
    </row>
    <row r="5726" spans="6:7" x14ac:dyDescent="0.35">
      <c r="F5726">
        <v>5721</v>
      </c>
      <c r="G5726" s="102">
        <f t="shared" ca="1" si="93"/>
        <v>1.7090378869539888E-2</v>
      </c>
    </row>
    <row r="5727" spans="6:7" x14ac:dyDescent="0.35">
      <c r="F5727">
        <v>5722</v>
      </c>
      <c r="G5727" s="102">
        <f t="shared" ca="1" si="93"/>
        <v>2.989766330282256E-2</v>
      </c>
    </row>
    <row r="5728" spans="6:7" x14ac:dyDescent="0.35">
      <c r="F5728">
        <v>5723</v>
      </c>
      <c r="G5728" s="102">
        <f t="shared" ca="1" si="93"/>
        <v>5.2667045365586432E-2</v>
      </c>
    </row>
    <row r="5729" spans="6:7" x14ac:dyDescent="0.35">
      <c r="F5729">
        <v>5724</v>
      </c>
      <c r="G5729" s="102">
        <f t="shared" ca="1" si="93"/>
        <v>-1.3128572367233556E-2</v>
      </c>
    </row>
    <row r="5730" spans="6:7" x14ac:dyDescent="0.35">
      <c r="F5730">
        <v>5725</v>
      </c>
      <c r="G5730" s="102">
        <f t="shared" ca="1" si="93"/>
        <v>1.687818967906754E-2</v>
      </c>
    </row>
    <row r="5731" spans="6:7" x14ac:dyDescent="0.35">
      <c r="F5731">
        <v>5726</v>
      </c>
      <c r="G5731" s="102">
        <f t="shared" ca="1" si="93"/>
        <v>3.0354230960621415E-2</v>
      </c>
    </row>
    <row r="5732" spans="6:7" x14ac:dyDescent="0.35">
      <c r="F5732">
        <v>5727</v>
      </c>
      <c r="G5732" s="102">
        <f t="shared" ca="1" si="93"/>
        <v>8.2705587532972136E-2</v>
      </c>
    </row>
    <row r="5733" spans="6:7" x14ac:dyDescent="0.35">
      <c r="F5733">
        <v>5728</v>
      </c>
      <c r="G5733" s="102">
        <f t="shared" ca="1" si="93"/>
        <v>-6.6664087313143619E-2</v>
      </c>
    </row>
    <row r="5734" spans="6:7" x14ac:dyDescent="0.35">
      <c r="F5734">
        <v>5729</v>
      </c>
      <c r="G5734" s="102">
        <f t="shared" ca="1" si="93"/>
        <v>-3.9271607009574147E-2</v>
      </c>
    </row>
    <row r="5735" spans="6:7" x14ac:dyDescent="0.35">
      <c r="F5735">
        <v>5730</v>
      </c>
      <c r="G5735" s="102">
        <f t="shared" ca="1" si="93"/>
        <v>-3.7750432354068386E-2</v>
      </c>
    </row>
    <row r="5736" spans="6:7" x14ac:dyDescent="0.35">
      <c r="F5736">
        <v>5731</v>
      </c>
      <c r="G5736" s="102">
        <f t="shared" ca="1" si="93"/>
        <v>-9.8454262424116756E-2</v>
      </c>
    </row>
    <row r="5737" spans="6:7" x14ac:dyDescent="0.35">
      <c r="F5737">
        <v>5732</v>
      </c>
      <c r="G5737" s="102">
        <f t="shared" ca="1" si="93"/>
        <v>4.1507443439335268E-2</v>
      </c>
    </row>
    <row r="5738" spans="6:7" x14ac:dyDescent="0.35">
      <c r="F5738">
        <v>5733</v>
      </c>
      <c r="G5738" s="102">
        <f t="shared" ca="1" si="93"/>
        <v>7.1894112545595138E-3</v>
      </c>
    </row>
    <row r="5739" spans="6:7" x14ac:dyDescent="0.35">
      <c r="F5739">
        <v>5734</v>
      </c>
      <c r="G5739" s="102">
        <f t="shared" ca="1" si="93"/>
        <v>-4.1971767863771769E-2</v>
      </c>
    </row>
    <row r="5740" spans="6:7" x14ac:dyDescent="0.35">
      <c r="F5740">
        <v>5735</v>
      </c>
      <c r="G5740" s="102">
        <f t="shared" ca="1" si="93"/>
        <v>-3.3263591688090455E-2</v>
      </c>
    </row>
    <row r="5741" spans="6:7" x14ac:dyDescent="0.35">
      <c r="F5741">
        <v>5736</v>
      </c>
      <c r="G5741" s="102">
        <f t="shared" ca="1" si="93"/>
        <v>3.2940606974041678E-2</v>
      </c>
    </row>
    <row r="5742" spans="6:7" x14ac:dyDescent="0.35">
      <c r="F5742">
        <v>5737</v>
      </c>
      <c r="G5742" s="102">
        <f t="shared" ca="1" si="93"/>
        <v>1.2164984949884456E-2</v>
      </c>
    </row>
    <row r="5743" spans="6:7" x14ac:dyDescent="0.35">
      <c r="F5743">
        <v>5738</v>
      </c>
      <c r="G5743" s="102">
        <f t="shared" ca="1" si="93"/>
        <v>6.9335942807685583E-2</v>
      </c>
    </row>
    <row r="5744" spans="6:7" x14ac:dyDescent="0.35">
      <c r="F5744">
        <v>5739</v>
      </c>
      <c r="G5744" s="102">
        <f t="shared" ca="1" si="93"/>
        <v>-2.747490510871848E-2</v>
      </c>
    </row>
    <row r="5745" spans="6:7" x14ac:dyDescent="0.35">
      <c r="F5745">
        <v>5740</v>
      </c>
      <c r="G5745" s="102">
        <f t="shared" ca="1" si="93"/>
        <v>-1.9360336723188935E-2</v>
      </c>
    </row>
    <row r="5746" spans="6:7" x14ac:dyDescent="0.35">
      <c r="F5746">
        <v>5741</v>
      </c>
      <c r="G5746" s="102">
        <f t="shared" ca="1" si="93"/>
        <v>2.7298162538902538E-2</v>
      </c>
    </row>
    <row r="5747" spans="6:7" x14ac:dyDescent="0.35">
      <c r="F5747">
        <v>5742</v>
      </c>
      <c r="G5747" s="102">
        <f t="shared" ca="1" si="93"/>
        <v>8.8491203435700199E-3</v>
      </c>
    </row>
    <row r="5748" spans="6:7" x14ac:dyDescent="0.35">
      <c r="F5748">
        <v>5743</v>
      </c>
      <c r="G5748" s="102">
        <f t="shared" ca="1" si="93"/>
        <v>4.1594292162655585E-3</v>
      </c>
    </row>
    <row r="5749" spans="6:7" x14ac:dyDescent="0.35">
      <c r="F5749">
        <v>5744</v>
      </c>
      <c r="G5749" s="102">
        <f t="shared" ca="1" si="93"/>
        <v>-8.0039583858732777E-2</v>
      </c>
    </row>
    <row r="5750" spans="6:7" x14ac:dyDescent="0.35">
      <c r="F5750">
        <v>5745</v>
      </c>
      <c r="G5750" s="102">
        <f t="shared" ca="1" si="93"/>
        <v>-7.0940040615683805E-2</v>
      </c>
    </row>
    <row r="5751" spans="6:7" x14ac:dyDescent="0.35">
      <c r="F5751">
        <v>5746</v>
      </c>
      <c r="G5751" s="102">
        <f t="shared" ca="1" si="93"/>
        <v>7.9822850350522601E-3</v>
      </c>
    </row>
    <row r="5752" spans="6:7" x14ac:dyDescent="0.35">
      <c r="F5752">
        <v>5747</v>
      </c>
      <c r="G5752" s="102">
        <f t="shared" ca="1" si="93"/>
        <v>-2.3546025286500943E-2</v>
      </c>
    </row>
    <row r="5753" spans="6:7" x14ac:dyDescent="0.35">
      <c r="F5753">
        <v>5748</v>
      </c>
      <c r="G5753" s="102">
        <f t="shared" ca="1" si="93"/>
        <v>-5.1536035445309972E-3</v>
      </c>
    </row>
    <row r="5754" spans="6:7" x14ac:dyDescent="0.35">
      <c r="F5754">
        <v>5749</v>
      </c>
      <c r="G5754" s="102">
        <f t="shared" ca="1" si="93"/>
        <v>-0.17012355004104782</v>
      </c>
    </row>
    <row r="5755" spans="6:7" x14ac:dyDescent="0.35">
      <c r="F5755">
        <v>5750</v>
      </c>
      <c r="G5755" s="102">
        <f t="shared" ca="1" si="93"/>
        <v>-2.2573514158245486E-2</v>
      </c>
    </row>
    <row r="5756" spans="6:7" x14ac:dyDescent="0.35">
      <c r="F5756">
        <v>5751</v>
      </c>
      <c r="G5756" s="102">
        <f t="shared" ca="1" si="93"/>
        <v>-1.4810020983212331E-2</v>
      </c>
    </row>
    <row r="5757" spans="6:7" x14ac:dyDescent="0.35">
      <c r="F5757">
        <v>5752</v>
      </c>
      <c r="G5757" s="102">
        <f t="shared" ca="1" si="93"/>
        <v>-7.0014353199188986E-2</v>
      </c>
    </row>
    <row r="5758" spans="6:7" x14ac:dyDescent="0.35">
      <c r="F5758">
        <v>5753</v>
      </c>
      <c r="G5758" s="102">
        <f t="shared" ca="1" si="93"/>
        <v>4.6540584496063575E-2</v>
      </c>
    </row>
    <row r="5759" spans="6:7" x14ac:dyDescent="0.35">
      <c r="F5759">
        <v>5754</v>
      </c>
      <c r="G5759" s="102">
        <f t="shared" ca="1" si="93"/>
        <v>6.2267319229493148E-2</v>
      </c>
    </row>
    <row r="5760" spans="6:7" x14ac:dyDescent="0.35">
      <c r="F5760">
        <v>5755</v>
      </c>
      <c r="G5760" s="102">
        <f t="shared" ca="1" si="93"/>
        <v>0.12095129028063818</v>
      </c>
    </row>
    <row r="5761" spans="6:7" x14ac:dyDescent="0.35">
      <c r="F5761">
        <v>5756</v>
      </c>
      <c r="G5761" s="102">
        <f t="shared" ca="1" si="93"/>
        <v>2.1212256197375136E-2</v>
      </c>
    </row>
    <row r="5762" spans="6:7" x14ac:dyDescent="0.35">
      <c r="F5762">
        <v>5757</v>
      </c>
      <c r="G5762" s="102">
        <f t="shared" ca="1" si="93"/>
        <v>7.7230693715292204E-2</v>
      </c>
    </row>
    <row r="5763" spans="6:7" x14ac:dyDescent="0.35">
      <c r="F5763">
        <v>5758</v>
      </c>
      <c r="G5763" s="102">
        <f t="shared" ca="1" si="93"/>
        <v>2.7476376162303476E-2</v>
      </c>
    </row>
    <row r="5764" spans="6:7" x14ac:dyDescent="0.35">
      <c r="F5764">
        <v>5759</v>
      </c>
      <c r="G5764" s="102">
        <f t="shared" ca="1" si="93"/>
        <v>2.9219271785830881E-2</v>
      </c>
    </row>
    <row r="5765" spans="6:7" x14ac:dyDescent="0.35">
      <c r="F5765">
        <v>5760</v>
      </c>
      <c r="G5765" s="102">
        <f t="shared" ca="1" si="93"/>
        <v>3.5843179253416138E-2</v>
      </c>
    </row>
    <row r="5766" spans="6:7" x14ac:dyDescent="0.35">
      <c r="F5766">
        <v>5761</v>
      </c>
      <c r="G5766" s="102">
        <f t="shared" ca="1" si="93"/>
        <v>6.4718975957462566E-2</v>
      </c>
    </row>
    <row r="5767" spans="6:7" x14ac:dyDescent="0.35">
      <c r="F5767">
        <v>5762</v>
      </c>
      <c r="G5767" s="102">
        <f t="shared" ref="G5767:G5830" ca="1" si="94">_xlfn.NORM.INV(RAND(),M$9,M$10)</f>
        <v>1.6594782441525822E-2</v>
      </c>
    </row>
    <row r="5768" spans="6:7" x14ac:dyDescent="0.35">
      <c r="F5768">
        <v>5763</v>
      </c>
      <c r="G5768" s="102">
        <f t="shared" ca="1" si="94"/>
        <v>4.4426676785669431E-3</v>
      </c>
    </row>
    <row r="5769" spans="6:7" x14ac:dyDescent="0.35">
      <c r="F5769">
        <v>5764</v>
      </c>
      <c r="G5769" s="102">
        <f t="shared" ca="1" si="94"/>
        <v>9.7373395040630209E-2</v>
      </c>
    </row>
    <row r="5770" spans="6:7" x14ac:dyDescent="0.35">
      <c r="F5770">
        <v>5765</v>
      </c>
      <c r="G5770" s="102">
        <f t="shared" ca="1" si="94"/>
        <v>-3.7034201747830967E-4</v>
      </c>
    </row>
    <row r="5771" spans="6:7" x14ac:dyDescent="0.35">
      <c r="F5771">
        <v>5766</v>
      </c>
      <c r="G5771" s="102">
        <f t="shared" ca="1" si="94"/>
        <v>-0.11509267764412698</v>
      </c>
    </row>
    <row r="5772" spans="6:7" x14ac:dyDescent="0.35">
      <c r="F5772">
        <v>5767</v>
      </c>
      <c r="G5772" s="102">
        <f t="shared" ca="1" si="94"/>
        <v>-0.11597611811417463</v>
      </c>
    </row>
    <row r="5773" spans="6:7" x14ac:dyDescent="0.35">
      <c r="F5773">
        <v>5768</v>
      </c>
      <c r="G5773" s="102">
        <f t="shared" ca="1" si="94"/>
        <v>2.6454813923123887E-2</v>
      </c>
    </row>
    <row r="5774" spans="6:7" x14ac:dyDescent="0.35">
      <c r="F5774">
        <v>5769</v>
      </c>
      <c r="G5774" s="102">
        <f t="shared" ca="1" si="94"/>
        <v>6.5500321889430099E-2</v>
      </c>
    </row>
    <row r="5775" spans="6:7" x14ac:dyDescent="0.35">
      <c r="F5775">
        <v>5770</v>
      </c>
      <c r="G5775" s="102">
        <f t="shared" ca="1" si="94"/>
        <v>-7.3036731169674421E-2</v>
      </c>
    </row>
    <row r="5776" spans="6:7" x14ac:dyDescent="0.35">
      <c r="F5776">
        <v>5771</v>
      </c>
      <c r="G5776" s="102">
        <f t="shared" ca="1" si="94"/>
        <v>-4.8587781165528379E-2</v>
      </c>
    </row>
    <row r="5777" spans="6:7" x14ac:dyDescent="0.35">
      <c r="F5777">
        <v>5772</v>
      </c>
      <c r="G5777" s="102">
        <f t="shared" ca="1" si="94"/>
        <v>-1.6576610199287418E-2</v>
      </c>
    </row>
    <row r="5778" spans="6:7" x14ac:dyDescent="0.35">
      <c r="F5778">
        <v>5773</v>
      </c>
      <c r="G5778" s="102">
        <f t="shared" ca="1" si="94"/>
        <v>0.12535014553261789</v>
      </c>
    </row>
    <row r="5779" spans="6:7" x14ac:dyDescent="0.35">
      <c r="F5779">
        <v>5774</v>
      </c>
      <c r="G5779" s="102">
        <f t="shared" ca="1" si="94"/>
        <v>6.3545092896902078E-2</v>
      </c>
    </row>
    <row r="5780" spans="6:7" x14ac:dyDescent="0.35">
      <c r="F5780">
        <v>5775</v>
      </c>
      <c r="G5780" s="102">
        <f t="shared" ca="1" si="94"/>
        <v>5.5890396643225784E-3</v>
      </c>
    </row>
    <row r="5781" spans="6:7" x14ac:dyDescent="0.35">
      <c r="F5781">
        <v>5776</v>
      </c>
      <c r="G5781" s="102">
        <f t="shared" ca="1" si="94"/>
        <v>3.7922161260083867E-2</v>
      </c>
    </row>
    <row r="5782" spans="6:7" x14ac:dyDescent="0.35">
      <c r="F5782">
        <v>5777</v>
      </c>
      <c r="G5782" s="102">
        <f t="shared" ca="1" si="94"/>
        <v>1.2586659589159124E-2</v>
      </c>
    </row>
    <row r="5783" spans="6:7" x14ac:dyDescent="0.35">
      <c r="F5783">
        <v>5778</v>
      </c>
      <c r="G5783" s="102">
        <f t="shared" ca="1" si="94"/>
        <v>-2.3703559119384453E-2</v>
      </c>
    </row>
    <row r="5784" spans="6:7" x14ac:dyDescent="0.35">
      <c r="F5784">
        <v>5779</v>
      </c>
      <c r="G5784" s="102">
        <f t="shared" ca="1" si="94"/>
        <v>-0.11529735840580337</v>
      </c>
    </row>
    <row r="5785" spans="6:7" x14ac:dyDescent="0.35">
      <c r="F5785">
        <v>5780</v>
      </c>
      <c r="G5785" s="102">
        <f t="shared" ca="1" si="94"/>
        <v>-3.3913916247534318E-3</v>
      </c>
    </row>
    <row r="5786" spans="6:7" x14ac:dyDescent="0.35">
      <c r="F5786">
        <v>5781</v>
      </c>
      <c r="G5786" s="102">
        <f t="shared" ca="1" si="94"/>
        <v>-0.18843307281502508</v>
      </c>
    </row>
    <row r="5787" spans="6:7" x14ac:dyDescent="0.35">
      <c r="F5787">
        <v>5782</v>
      </c>
      <c r="G5787" s="102">
        <f t="shared" ca="1" si="94"/>
        <v>9.827857073810832E-2</v>
      </c>
    </row>
    <row r="5788" spans="6:7" x14ac:dyDescent="0.35">
      <c r="F5788">
        <v>5783</v>
      </c>
      <c r="G5788" s="102">
        <f t="shared" ca="1" si="94"/>
        <v>5.5355450983402527E-2</v>
      </c>
    </row>
    <row r="5789" spans="6:7" x14ac:dyDescent="0.35">
      <c r="F5789">
        <v>5784</v>
      </c>
      <c r="G5789" s="102">
        <f t="shared" ca="1" si="94"/>
        <v>1.6027020788487098E-2</v>
      </c>
    </row>
    <row r="5790" spans="6:7" x14ac:dyDescent="0.35">
      <c r="F5790">
        <v>5785</v>
      </c>
      <c r="G5790" s="102">
        <f t="shared" ca="1" si="94"/>
        <v>1.8719491247846588E-2</v>
      </c>
    </row>
    <row r="5791" spans="6:7" x14ac:dyDescent="0.35">
      <c r="F5791">
        <v>5786</v>
      </c>
      <c r="G5791" s="102">
        <f t="shared" ca="1" si="94"/>
        <v>-5.9616821726388255E-2</v>
      </c>
    </row>
    <row r="5792" spans="6:7" x14ac:dyDescent="0.35">
      <c r="F5792">
        <v>5787</v>
      </c>
      <c r="G5792" s="102">
        <f t="shared" ca="1" si="94"/>
        <v>-2.444072439755476E-2</v>
      </c>
    </row>
    <row r="5793" spans="6:7" x14ac:dyDescent="0.35">
      <c r="F5793">
        <v>5788</v>
      </c>
      <c r="G5793" s="102">
        <f t="shared" ca="1" si="94"/>
        <v>4.788895763085721E-2</v>
      </c>
    </row>
    <row r="5794" spans="6:7" x14ac:dyDescent="0.35">
      <c r="F5794">
        <v>5789</v>
      </c>
      <c r="G5794" s="102">
        <f t="shared" ca="1" si="94"/>
        <v>3.3828403707373431E-2</v>
      </c>
    </row>
    <row r="5795" spans="6:7" x14ac:dyDescent="0.35">
      <c r="F5795">
        <v>5790</v>
      </c>
      <c r="G5795" s="102">
        <f t="shared" ca="1" si="94"/>
        <v>1.9704272577093319E-2</v>
      </c>
    </row>
    <row r="5796" spans="6:7" x14ac:dyDescent="0.35">
      <c r="F5796">
        <v>5791</v>
      </c>
      <c r="G5796" s="102">
        <f t="shared" ca="1" si="94"/>
        <v>1.8453653878225045E-2</v>
      </c>
    </row>
    <row r="5797" spans="6:7" x14ac:dyDescent="0.35">
      <c r="F5797">
        <v>5792</v>
      </c>
      <c r="G5797" s="102">
        <f t="shared" ca="1" si="94"/>
        <v>-0.1367633931625836</v>
      </c>
    </row>
    <row r="5798" spans="6:7" x14ac:dyDescent="0.35">
      <c r="F5798">
        <v>5793</v>
      </c>
      <c r="G5798" s="102">
        <f t="shared" ca="1" si="94"/>
        <v>-0.13533891565922104</v>
      </c>
    </row>
    <row r="5799" spans="6:7" x14ac:dyDescent="0.35">
      <c r="F5799">
        <v>5794</v>
      </c>
      <c r="G5799" s="102">
        <f t="shared" ca="1" si="94"/>
        <v>3.1907779002918E-3</v>
      </c>
    </row>
    <row r="5800" spans="6:7" x14ac:dyDescent="0.35">
      <c r="F5800">
        <v>5795</v>
      </c>
      <c r="G5800" s="102">
        <f t="shared" ca="1" si="94"/>
        <v>2.9020813936924728E-2</v>
      </c>
    </row>
    <row r="5801" spans="6:7" x14ac:dyDescent="0.35">
      <c r="F5801">
        <v>5796</v>
      </c>
      <c r="G5801" s="102">
        <f t="shared" ca="1" si="94"/>
        <v>-7.9099339033834482E-2</v>
      </c>
    </row>
    <row r="5802" spans="6:7" x14ac:dyDescent="0.35">
      <c r="F5802">
        <v>5797</v>
      </c>
      <c r="G5802" s="102">
        <f t="shared" ca="1" si="94"/>
        <v>5.8486219625943203E-3</v>
      </c>
    </row>
    <row r="5803" spans="6:7" x14ac:dyDescent="0.35">
      <c r="F5803">
        <v>5798</v>
      </c>
      <c r="G5803" s="102">
        <f t="shared" ca="1" si="94"/>
        <v>-8.0819239465390394E-2</v>
      </c>
    </row>
    <row r="5804" spans="6:7" x14ac:dyDescent="0.35">
      <c r="F5804">
        <v>5799</v>
      </c>
      <c r="G5804" s="102">
        <f t="shared" ca="1" si="94"/>
        <v>-1.5219250783549406E-2</v>
      </c>
    </row>
    <row r="5805" spans="6:7" x14ac:dyDescent="0.35">
      <c r="F5805">
        <v>5800</v>
      </c>
      <c r="G5805" s="102">
        <f t="shared" ca="1" si="94"/>
        <v>-7.4798077633716265E-2</v>
      </c>
    </row>
    <row r="5806" spans="6:7" x14ac:dyDescent="0.35">
      <c r="F5806">
        <v>5801</v>
      </c>
      <c r="G5806" s="102">
        <f t="shared" ca="1" si="94"/>
        <v>4.3560065480120883E-2</v>
      </c>
    </row>
    <row r="5807" spans="6:7" x14ac:dyDescent="0.35">
      <c r="F5807">
        <v>5802</v>
      </c>
      <c r="G5807" s="102">
        <f t="shared" ca="1" si="94"/>
        <v>-4.0869590610212975E-2</v>
      </c>
    </row>
    <row r="5808" spans="6:7" x14ac:dyDescent="0.35">
      <c r="F5808">
        <v>5803</v>
      </c>
      <c r="G5808" s="102">
        <f t="shared" ca="1" si="94"/>
        <v>7.4723938891390299E-2</v>
      </c>
    </row>
    <row r="5809" spans="6:7" x14ac:dyDescent="0.35">
      <c r="F5809">
        <v>5804</v>
      </c>
      <c r="G5809" s="102">
        <f t="shared" ca="1" si="94"/>
        <v>4.0306301607156259E-2</v>
      </c>
    </row>
    <row r="5810" spans="6:7" x14ac:dyDescent="0.35">
      <c r="F5810">
        <v>5805</v>
      </c>
      <c r="G5810" s="102">
        <f t="shared" ca="1" si="94"/>
        <v>-4.6083714752330907E-4</v>
      </c>
    </row>
    <row r="5811" spans="6:7" x14ac:dyDescent="0.35">
      <c r="F5811">
        <v>5806</v>
      </c>
      <c r="G5811" s="102">
        <f t="shared" ca="1" si="94"/>
        <v>3.9567499996780525E-2</v>
      </c>
    </row>
    <row r="5812" spans="6:7" x14ac:dyDescent="0.35">
      <c r="F5812">
        <v>5807</v>
      </c>
      <c r="G5812" s="102">
        <f t="shared" ca="1" si="94"/>
        <v>8.2767477666283954E-3</v>
      </c>
    </row>
    <row r="5813" spans="6:7" x14ac:dyDescent="0.35">
      <c r="F5813">
        <v>5808</v>
      </c>
      <c r="G5813" s="102">
        <f t="shared" ca="1" si="94"/>
        <v>9.365020349373257E-2</v>
      </c>
    </row>
    <row r="5814" spans="6:7" x14ac:dyDescent="0.35">
      <c r="F5814">
        <v>5809</v>
      </c>
      <c r="G5814" s="102">
        <f t="shared" ca="1" si="94"/>
        <v>-3.0417060171251131E-2</v>
      </c>
    </row>
    <row r="5815" spans="6:7" x14ac:dyDescent="0.35">
      <c r="F5815">
        <v>5810</v>
      </c>
      <c r="G5815" s="102">
        <f t="shared" ca="1" si="94"/>
        <v>2.9145631154004446E-5</v>
      </c>
    </row>
    <row r="5816" spans="6:7" x14ac:dyDescent="0.35">
      <c r="F5816">
        <v>5811</v>
      </c>
      <c r="G5816" s="102">
        <f t="shared" ca="1" si="94"/>
        <v>-5.695070836736614E-2</v>
      </c>
    </row>
    <row r="5817" spans="6:7" x14ac:dyDescent="0.35">
      <c r="F5817">
        <v>5812</v>
      </c>
      <c r="G5817" s="102">
        <f t="shared" ca="1" si="94"/>
        <v>1.2864528294965281E-2</v>
      </c>
    </row>
    <row r="5818" spans="6:7" x14ac:dyDescent="0.35">
      <c r="F5818">
        <v>5813</v>
      </c>
      <c r="G5818" s="102">
        <f t="shared" ca="1" si="94"/>
        <v>-4.3846094490456955E-2</v>
      </c>
    </row>
    <row r="5819" spans="6:7" x14ac:dyDescent="0.35">
      <c r="F5819">
        <v>5814</v>
      </c>
      <c r="G5819" s="102">
        <f t="shared" ca="1" si="94"/>
        <v>-4.5742857740859915E-3</v>
      </c>
    </row>
    <row r="5820" spans="6:7" x14ac:dyDescent="0.35">
      <c r="F5820">
        <v>5815</v>
      </c>
      <c r="G5820" s="102">
        <f t="shared" ca="1" si="94"/>
        <v>-2.1121490122123613E-2</v>
      </c>
    </row>
    <row r="5821" spans="6:7" x14ac:dyDescent="0.35">
      <c r="F5821">
        <v>5816</v>
      </c>
      <c r="G5821" s="102">
        <f t="shared" ca="1" si="94"/>
        <v>5.3562630795249824E-2</v>
      </c>
    </row>
    <row r="5822" spans="6:7" x14ac:dyDescent="0.35">
      <c r="F5822">
        <v>5817</v>
      </c>
      <c r="G5822" s="102">
        <f t="shared" ca="1" si="94"/>
        <v>1.2206381261296743E-2</v>
      </c>
    </row>
    <row r="5823" spans="6:7" x14ac:dyDescent="0.35">
      <c r="F5823">
        <v>5818</v>
      </c>
      <c r="G5823" s="102">
        <f t="shared" ca="1" si="94"/>
        <v>4.9984869065715795E-2</v>
      </c>
    </row>
    <row r="5824" spans="6:7" x14ac:dyDescent="0.35">
      <c r="F5824">
        <v>5819</v>
      </c>
      <c r="G5824" s="102">
        <f t="shared" ca="1" si="94"/>
        <v>-5.5756583135786575E-2</v>
      </c>
    </row>
    <row r="5825" spans="6:7" x14ac:dyDescent="0.35">
      <c r="F5825">
        <v>5820</v>
      </c>
      <c r="G5825" s="102">
        <f t="shared" ca="1" si="94"/>
        <v>3.2527313199954729E-3</v>
      </c>
    </row>
    <row r="5826" spans="6:7" x14ac:dyDescent="0.35">
      <c r="F5826">
        <v>5821</v>
      </c>
      <c r="G5826" s="102">
        <f t="shared" ca="1" si="94"/>
        <v>5.1810271195381882E-2</v>
      </c>
    </row>
    <row r="5827" spans="6:7" x14ac:dyDescent="0.35">
      <c r="F5827">
        <v>5822</v>
      </c>
      <c r="G5827" s="102">
        <f t="shared" ca="1" si="94"/>
        <v>8.5834792941154054E-4</v>
      </c>
    </row>
    <row r="5828" spans="6:7" x14ac:dyDescent="0.35">
      <c r="F5828">
        <v>5823</v>
      </c>
      <c r="G5828" s="102">
        <f t="shared" ca="1" si="94"/>
        <v>-5.0580130173644919E-2</v>
      </c>
    </row>
    <row r="5829" spans="6:7" x14ac:dyDescent="0.35">
      <c r="F5829">
        <v>5824</v>
      </c>
      <c r="G5829" s="102">
        <f t="shared" ca="1" si="94"/>
        <v>-6.1110465567669484E-2</v>
      </c>
    </row>
    <row r="5830" spans="6:7" x14ac:dyDescent="0.35">
      <c r="F5830">
        <v>5825</v>
      </c>
      <c r="G5830" s="102">
        <f t="shared" ca="1" si="94"/>
        <v>4.437133264354591E-2</v>
      </c>
    </row>
    <row r="5831" spans="6:7" x14ac:dyDescent="0.35">
      <c r="F5831">
        <v>5826</v>
      </c>
      <c r="G5831" s="102">
        <f t="shared" ref="G5831:G5894" ca="1" si="95">_xlfn.NORM.INV(RAND(),M$9,M$10)</f>
        <v>-3.8292757984769055E-2</v>
      </c>
    </row>
    <row r="5832" spans="6:7" x14ac:dyDescent="0.35">
      <c r="F5832">
        <v>5827</v>
      </c>
      <c r="G5832" s="102">
        <f t="shared" ca="1" si="95"/>
        <v>-8.0926839667313719E-2</v>
      </c>
    </row>
    <row r="5833" spans="6:7" x14ac:dyDescent="0.35">
      <c r="F5833">
        <v>5828</v>
      </c>
      <c r="G5833" s="102">
        <f t="shared" ca="1" si="95"/>
        <v>-7.3706851459227091E-2</v>
      </c>
    </row>
    <row r="5834" spans="6:7" x14ac:dyDescent="0.35">
      <c r="F5834">
        <v>5829</v>
      </c>
      <c r="G5834" s="102">
        <f t="shared" ca="1" si="95"/>
        <v>9.4920366183228067E-3</v>
      </c>
    </row>
    <row r="5835" spans="6:7" x14ac:dyDescent="0.35">
      <c r="F5835">
        <v>5830</v>
      </c>
      <c r="G5835" s="102">
        <f t="shared" ca="1" si="95"/>
        <v>5.3987200116369077E-3</v>
      </c>
    </row>
    <row r="5836" spans="6:7" x14ac:dyDescent="0.35">
      <c r="F5836">
        <v>5831</v>
      </c>
      <c r="G5836" s="102">
        <f t="shared" ca="1" si="95"/>
        <v>-8.7805318256118342E-2</v>
      </c>
    </row>
    <row r="5837" spans="6:7" x14ac:dyDescent="0.35">
      <c r="F5837">
        <v>5832</v>
      </c>
      <c r="G5837" s="102">
        <f t="shared" ca="1" si="95"/>
        <v>-1.1672209185802989E-2</v>
      </c>
    </row>
    <row r="5838" spans="6:7" x14ac:dyDescent="0.35">
      <c r="F5838">
        <v>5833</v>
      </c>
      <c r="G5838" s="102">
        <f t="shared" ca="1" si="95"/>
        <v>3.3655742387569645E-2</v>
      </c>
    </row>
    <row r="5839" spans="6:7" x14ac:dyDescent="0.35">
      <c r="F5839">
        <v>5834</v>
      </c>
      <c r="G5839" s="102">
        <f t="shared" ca="1" si="95"/>
        <v>7.8220456540568861E-2</v>
      </c>
    </row>
    <row r="5840" spans="6:7" x14ac:dyDescent="0.35">
      <c r="F5840">
        <v>5835</v>
      </c>
      <c r="G5840" s="102">
        <f t="shared" ca="1" si="95"/>
        <v>0.12643610541118458</v>
      </c>
    </row>
    <row r="5841" spans="6:7" x14ac:dyDescent="0.35">
      <c r="F5841">
        <v>5836</v>
      </c>
      <c r="G5841" s="102">
        <f t="shared" ca="1" si="95"/>
        <v>0.13748473583498333</v>
      </c>
    </row>
    <row r="5842" spans="6:7" x14ac:dyDescent="0.35">
      <c r="F5842">
        <v>5837</v>
      </c>
      <c r="G5842" s="102">
        <f t="shared" ca="1" si="95"/>
        <v>-8.7072479705091865E-3</v>
      </c>
    </row>
    <row r="5843" spans="6:7" x14ac:dyDescent="0.35">
      <c r="F5843">
        <v>5838</v>
      </c>
      <c r="G5843" s="102">
        <f t="shared" ca="1" si="95"/>
        <v>-1.8916706377127494E-2</v>
      </c>
    </row>
    <row r="5844" spans="6:7" x14ac:dyDescent="0.35">
      <c r="F5844">
        <v>5839</v>
      </c>
      <c r="G5844" s="102">
        <f t="shared" ca="1" si="95"/>
        <v>1.1029524877973308E-2</v>
      </c>
    </row>
    <row r="5845" spans="6:7" x14ac:dyDescent="0.35">
      <c r="F5845">
        <v>5840</v>
      </c>
      <c r="G5845" s="102">
        <f t="shared" ca="1" si="95"/>
        <v>0.13403920063471988</v>
      </c>
    </row>
    <row r="5846" spans="6:7" x14ac:dyDescent="0.35">
      <c r="F5846">
        <v>5841</v>
      </c>
      <c r="G5846" s="102">
        <f t="shared" ca="1" si="95"/>
        <v>-4.4553424657413271E-2</v>
      </c>
    </row>
    <row r="5847" spans="6:7" x14ac:dyDescent="0.35">
      <c r="F5847">
        <v>5842</v>
      </c>
      <c r="G5847" s="102">
        <f t="shared" ca="1" si="95"/>
        <v>2.0316701171920859E-2</v>
      </c>
    </row>
    <row r="5848" spans="6:7" x14ac:dyDescent="0.35">
      <c r="F5848">
        <v>5843</v>
      </c>
      <c r="G5848" s="102">
        <f t="shared" ca="1" si="95"/>
        <v>6.9648302089299327E-2</v>
      </c>
    </row>
    <row r="5849" spans="6:7" x14ac:dyDescent="0.35">
      <c r="F5849">
        <v>5844</v>
      </c>
      <c r="G5849" s="102">
        <f t="shared" ca="1" si="95"/>
        <v>-6.163754203710814E-2</v>
      </c>
    </row>
    <row r="5850" spans="6:7" x14ac:dyDescent="0.35">
      <c r="F5850">
        <v>5845</v>
      </c>
      <c r="G5850" s="102">
        <f t="shared" ca="1" si="95"/>
        <v>3.9699389016535844E-2</v>
      </c>
    </row>
    <row r="5851" spans="6:7" x14ac:dyDescent="0.35">
      <c r="F5851">
        <v>5846</v>
      </c>
      <c r="G5851" s="102">
        <f t="shared" ca="1" si="95"/>
        <v>-2.8107464342850198E-2</v>
      </c>
    </row>
    <row r="5852" spans="6:7" x14ac:dyDescent="0.35">
      <c r="F5852">
        <v>5847</v>
      </c>
      <c r="G5852" s="102">
        <f t="shared" ca="1" si="95"/>
        <v>0.12931464171728665</v>
      </c>
    </row>
    <row r="5853" spans="6:7" x14ac:dyDescent="0.35">
      <c r="F5853">
        <v>5848</v>
      </c>
      <c r="G5853" s="102">
        <f t="shared" ca="1" si="95"/>
        <v>4.9886064114693707E-2</v>
      </c>
    </row>
    <row r="5854" spans="6:7" x14ac:dyDescent="0.35">
      <c r="F5854">
        <v>5849</v>
      </c>
      <c r="G5854" s="102">
        <f t="shared" ca="1" si="95"/>
        <v>-8.4767008376690253E-2</v>
      </c>
    </row>
    <row r="5855" spans="6:7" x14ac:dyDescent="0.35">
      <c r="F5855">
        <v>5850</v>
      </c>
      <c r="G5855" s="102">
        <f t="shared" ca="1" si="95"/>
        <v>-8.8272762323081233E-2</v>
      </c>
    </row>
    <row r="5856" spans="6:7" x14ac:dyDescent="0.35">
      <c r="F5856">
        <v>5851</v>
      </c>
      <c r="G5856" s="102">
        <f t="shared" ca="1" si="95"/>
        <v>-2.404086337608749E-2</v>
      </c>
    </row>
    <row r="5857" spans="6:7" x14ac:dyDescent="0.35">
      <c r="F5857">
        <v>5852</v>
      </c>
      <c r="G5857" s="102">
        <f t="shared" ca="1" si="95"/>
        <v>3.2443780518186818E-2</v>
      </c>
    </row>
    <row r="5858" spans="6:7" x14ac:dyDescent="0.35">
      <c r="F5858">
        <v>5853</v>
      </c>
      <c r="G5858" s="102">
        <f t="shared" ca="1" si="95"/>
        <v>-1.4453290545703545E-2</v>
      </c>
    </row>
    <row r="5859" spans="6:7" x14ac:dyDescent="0.35">
      <c r="F5859">
        <v>5854</v>
      </c>
      <c r="G5859" s="102">
        <f t="shared" ca="1" si="95"/>
        <v>4.1613113919699921E-2</v>
      </c>
    </row>
    <row r="5860" spans="6:7" x14ac:dyDescent="0.35">
      <c r="F5860">
        <v>5855</v>
      </c>
      <c r="G5860" s="102">
        <f t="shared" ca="1" si="95"/>
        <v>2.7241433019131175E-2</v>
      </c>
    </row>
    <row r="5861" spans="6:7" x14ac:dyDescent="0.35">
      <c r="F5861">
        <v>5856</v>
      </c>
      <c r="G5861" s="102">
        <f t="shared" ca="1" si="95"/>
        <v>3.7068572555322195E-3</v>
      </c>
    </row>
    <row r="5862" spans="6:7" x14ac:dyDescent="0.35">
      <c r="F5862">
        <v>5857</v>
      </c>
      <c r="G5862" s="102">
        <f t="shared" ca="1" si="95"/>
        <v>-9.9962968741708014E-2</v>
      </c>
    </row>
    <row r="5863" spans="6:7" x14ac:dyDescent="0.35">
      <c r="F5863">
        <v>5858</v>
      </c>
      <c r="G5863" s="102">
        <f t="shared" ca="1" si="95"/>
        <v>1.0761917872176032E-2</v>
      </c>
    </row>
    <row r="5864" spans="6:7" x14ac:dyDescent="0.35">
      <c r="F5864">
        <v>5859</v>
      </c>
      <c r="G5864" s="102">
        <f t="shared" ca="1" si="95"/>
        <v>8.8592016449203E-3</v>
      </c>
    </row>
    <row r="5865" spans="6:7" x14ac:dyDescent="0.35">
      <c r="F5865">
        <v>5860</v>
      </c>
      <c r="G5865" s="102">
        <f t="shared" ca="1" si="95"/>
        <v>4.1543131626561133E-2</v>
      </c>
    </row>
    <row r="5866" spans="6:7" x14ac:dyDescent="0.35">
      <c r="F5866">
        <v>5861</v>
      </c>
      <c r="G5866" s="102">
        <f t="shared" ca="1" si="95"/>
        <v>2.0365350681167078E-2</v>
      </c>
    </row>
    <row r="5867" spans="6:7" x14ac:dyDescent="0.35">
      <c r="F5867">
        <v>5862</v>
      </c>
      <c r="G5867" s="102">
        <f t="shared" ca="1" si="95"/>
        <v>-2.9036651427170563E-2</v>
      </c>
    </row>
    <row r="5868" spans="6:7" x14ac:dyDescent="0.35">
      <c r="F5868">
        <v>5863</v>
      </c>
      <c r="G5868" s="102">
        <f t="shared" ca="1" si="95"/>
        <v>2.0011224243409904E-2</v>
      </c>
    </row>
    <row r="5869" spans="6:7" x14ac:dyDescent="0.35">
      <c r="F5869">
        <v>5864</v>
      </c>
      <c r="G5869" s="102">
        <f t="shared" ca="1" si="95"/>
        <v>-5.3812875550860485E-3</v>
      </c>
    </row>
    <row r="5870" spans="6:7" x14ac:dyDescent="0.35">
      <c r="F5870">
        <v>5865</v>
      </c>
      <c r="G5870" s="102">
        <f t="shared" ca="1" si="95"/>
        <v>5.3197014209066779E-2</v>
      </c>
    </row>
    <row r="5871" spans="6:7" x14ac:dyDescent="0.35">
      <c r="F5871">
        <v>5866</v>
      </c>
      <c r="G5871" s="102">
        <f t="shared" ca="1" si="95"/>
        <v>9.2496251590374903E-2</v>
      </c>
    </row>
    <row r="5872" spans="6:7" x14ac:dyDescent="0.35">
      <c r="F5872">
        <v>5867</v>
      </c>
      <c r="G5872" s="102">
        <f t="shared" ca="1" si="95"/>
        <v>-3.864418594834193E-2</v>
      </c>
    </row>
    <row r="5873" spans="6:7" x14ac:dyDescent="0.35">
      <c r="F5873">
        <v>5868</v>
      </c>
      <c r="G5873" s="102">
        <f t="shared" ca="1" si="95"/>
        <v>3.9224953854616797E-3</v>
      </c>
    </row>
    <row r="5874" spans="6:7" x14ac:dyDescent="0.35">
      <c r="F5874">
        <v>5869</v>
      </c>
      <c r="G5874" s="102">
        <f t="shared" ca="1" si="95"/>
        <v>-7.0953672272876134E-2</v>
      </c>
    </row>
    <row r="5875" spans="6:7" x14ac:dyDescent="0.35">
      <c r="F5875">
        <v>5870</v>
      </c>
      <c r="G5875" s="102">
        <f t="shared" ca="1" si="95"/>
        <v>-5.0181184001357196E-2</v>
      </c>
    </row>
    <row r="5876" spans="6:7" x14ac:dyDescent="0.35">
      <c r="F5876">
        <v>5871</v>
      </c>
      <c r="G5876" s="102">
        <f t="shared" ca="1" si="95"/>
        <v>2.9664479184038344E-3</v>
      </c>
    </row>
    <row r="5877" spans="6:7" x14ac:dyDescent="0.35">
      <c r="F5877">
        <v>5872</v>
      </c>
      <c r="G5877" s="102">
        <f t="shared" ca="1" si="95"/>
        <v>6.0690777419260128E-3</v>
      </c>
    </row>
    <row r="5878" spans="6:7" x14ac:dyDescent="0.35">
      <c r="F5878">
        <v>5873</v>
      </c>
      <c r="G5878" s="102">
        <f t="shared" ca="1" si="95"/>
        <v>4.7925792553856983E-2</v>
      </c>
    </row>
    <row r="5879" spans="6:7" x14ac:dyDescent="0.35">
      <c r="F5879">
        <v>5874</v>
      </c>
      <c r="G5879" s="102">
        <f t="shared" ca="1" si="95"/>
        <v>-4.2145869418188972E-2</v>
      </c>
    </row>
    <row r="5880" spans="6:7" x14ac:dyDescent="0.35">
      <c r="F5880">
        <v>5875</v>
      </c>
      <c r="G5880" s="102">
        <f t="shared" ca="1" si="95"/>
        <v>8.2723010835551759E-3</v>
      </c>
    </row>
    <row r="5881" spans="6:7" x14ac:dyDescent="0.35">
      <c r="F5881">
        <v>5876</v>
      </c>
      <c r="G5881" s="102">
        <f t="shared" ca="1" si="95"/>
        <v>7.9293564066003682E-3</v>
      </c>
    </row>
    <row r="5882" spans="6:7" x14ac:dyDescent="0.35">
      <c r="F5882">
        <v>5877</v>
      </c>
      <c r="G5882" s="102">
        <f t="shared" ca="1" si="95"/>
        <v>-2.3260118856926356E-2</v>
      </c>
    </row>
    <row r="5883" spans="6:7" x14ac:dyDescent="0.35">
      <c r="F5883">
        <v>5878</v>
      </c>
      <c r="G5883" s="102">
        <f t="shared" ca="1" si="95"/>
        <v>-4.3427354049809741E-2</v>
      </c>
    </row>
    <row r="5884" spans="6:7" x14ac:dyDescent="0.35">
      <c r="F5884">
        <v>5879</v>
      </c>
      <c r="G5884" s="102">
        <f t="shared" ca="1" si="95"/>
        <v>-3.9291069925546512E-2</v>
      </c>
    </row>
    <row r="5885" spans="6:7" x14ac:dyDescent="0.35">
      <c r="F5885">
        <v>5880</v>
      </c>
      <c r="G5885" s="102">
        <f t="shared" ca="1" si="95"/>
        <v>-6.9923539177071323E-3</v>
      </c>
    </row>
    <row r="5886" spans="6:7" x14ac:dyDescent="0.35">
      <c r="F5886">
        <v>5881</v>
      </c>
      <c r="G5886" s="102">
        <f t="shared" ca="1" si="95"/>
        <v>-7.6801162779294337E-3</v>
      </c>
    </row>
    <row r="5887" spans="6:7" x14ac:dyDescent="0.35">
      <c r="F5887">
        <v>5882</v>
      </c>
      <c r="G5887" s="102">
        <f t="shared" ca="1" si="95"/>
        <v>3.0288491474639041E-2</v>
      </c>
    </row>
    <row r="5888" spans="6:7" x14ac:dyDescent="0.35">
      <c r="F5888">
        <v>5883</v>
      </c>
      <c r="G5888" s="102">
        <f t="shared" ca="1" si="95"/>
        <v>1.9489786104355394E-2</v>
      </c>
    </row>
    <row r="5889" spans="6:7" x14ac:dyDescent="0.35">
      <c r="F5889">
        <v>5884</v>
      </c>
      <c r="G5889" s="102">
        <f t="shared" ca="1" si="95"/>
        <v>-7.8818689657631655E-2</v>
      </c>
    </row>
    <row r="5890" spans="6:7" x14ac:dyDescent="0.35">
      <c r="F5890">
        <v>5885</v>
      </c>
      <c r="G5890" s="102">
        <f t="shared" ca="1" si="95"/>
        <v>-1.3874159833910925E-2</v>
      </c>
    </row>
    <row r="5891" spans="6:7" x14ac:dyDescent="0.35">
      <c r="F5891">
        <v>5886</v>
      </c>
      <c r="G5891" s="102">
        <f t="shared" ca="1" si="95"/>
        <v>-8.8868377922634648E-3</v>
      </c>
    </row>
    <row r="5892" spans="6:7" x14ac:dyDescent="0.35">
      <c r="F5892">
        <v>5887</v>
      </c>
      <c r="G5892" s="102">
        <f t="shared" ca="1" si="95"/>
        <v>4.9318378932647608E-2</v>
      </c>
    </row>
    <row r="5893" spans="6:7" x14ac:dyDescent="0.35">
      <c r="F5893">
        <v>5888</v>
      </c>
      <c r="G5893" s="102">
        <f t="shared" ca="1" si="95"/>
        <v>8.6839283272683962E-2</v>
      </c>
    </row>
    <row r="5894" spans="6:7" x14ac:dyDescent="0.35">
      <c r="F5894">
        <v>5889</v>
      </c>
      <c r="G5894" s="102">
        <f t="shared" ca="1" si="95"/>
        <v>2.8594803736940583E-2</v>
      </c>
    </row>
    <row r="5895" spans="6:7" x14ac:dyDescent="0.35">
      <c r="F5895">
        <v>5890</v>
      </c>
      <c r="G5895" s="102">
        <f t="shared" ref="G5895:G5958" ca="1" si="96">_xlfn.NORM.INV(RAND(),M$9,M$10)</f>
        <v>-4.6533914142263308E-2</v>
      </c>
    </row>
    <row r="5896" spans="6:7" x14ac:dyDescent="0.35">
      <c r="F5896">
        <v>5891</v>
      </c>
      <c r="G5896" s="102">
        <f t="shared" ca="1" si="96"/>
        <v>-0.18202760211070323</v>
      </c>
    </row>
    <row r="5897" spans="6:7" x14ac:dyDescent="0.35">
      <c r="F5897">
        <v>5892</v>
      </c>
      <c r="G5897" s="102">
        <f t="shared" ca="1" si="96"/>
        <v>9.9785218766263173E-2</v>
      </c>
    </row>
    <row r="5898" spans="6:7" x14ac:dyDescent="0.35">
      <c r="F5898">
        <v>5893</v>
      </c>
      <c r="G5898" s="102">
        <f t="shared" ca="1" si="96"/>
        <v>-0.11051830683814104</v>
      </c>
    </row>
    <row r="5899" spans="6:7" x14ac:dyDescent="0.35">
      <c r="F5899">
        <v>5894</v>
      </c>
      <c r="G5899" s="102">
        <f t="shared" ca="1" si="96"/>
        <v>-1.9794981148853415E-2</v>
      </c>
    </row>
    <row r="5900" spans="6:7" x14ac:dyDescent="0.35">
      <c r="F5900">
        <v>5895</v>
      </c>
      <c r="G5900" s="102">
        <f t="shared" ca="1" si="96"/>
        <v>1.4641799738213866E-2</v>
      </c>
    </row>
    <row r="5901" spans="6:7" x14ac:dyDescent="0.35">
      <c r="F5901">
        <v>5896</v>
      </c>
      <c r="G5901" s="102">
        <f t="shared" ca="1" si="96"/>
        <v>1.3622767614950015E-2</v>
      </c>
    </row>
    <row r="5902" spans="6:7" x14ac:dyDescent="0.35">
      <c r="F5902">
        <v>5897</v>
      </c>
      <c r="G5902" s="102">
        <f t="shared" ca="1" si="96"/>
        <v>-3.1901222309810913E-2</v>
      </c>
    </row>
    <row r="5903" spans="6:7" x14ac:dyDescent="0.35">
      <c r="F5903">
        <v>5898</v>
      </c>
      <c r="G5903" s="102">
        <f t="shared" ca="1" si="96"/>
        <v>5.677453719537244E-2</v>
      </c>
    </row>
    <row r="5904" spans="6:7" x14ac:dyDescent="0.35">
      <c r="F5904">
        <v>5899</v>
      </c>
      <c r="G5904" s="102">
        <f t="shared" ca="1" si="96"/>
        <v>1.7611708456549777E-2</v>
      </c>
    </row>
    <row r="5905" spans="6:7" x14ac:dyDescent="0.35">
      <c r="F5905">
        <v>5900</v>
      </c>
      <c r="G5905" s="102">
        <f t="shared" ca="1" si="96"/>
        <v>8.7820365887010213E-2</v>
      </c>
    </row>
    <row r="5906" spans="6:7" x14ac:dyDescent="0.35">
      <c r="F5906">
        <v>5901</v>
      </c>
      <c r="G5906" s="102">
        <f t="shared" ca="1" si="96"/>
        <v>-5.1275513917486928E-2</v>
      </c>
    </row>
    <row r="5907" spans="6:7" x14ac:dyDescent="0.35">
      <c r="F5907">
        <v>5902</v>
      </c>
      <c r="G5907" s="102">
        <f t="shared" ca="1" si="96"/>
        <v>5.48535727633679E-2</v>
      </c>
    </row>
    <row r="5908" spans="6:7" x14ac:dyDescent="0.35">
      <c r="F5908">
        <v>5903</v>
      </c>
      <c r="G5908" s="102">
        <f t="shared" ca="1" si="96"/>
        <v>-4.945850182207652E-2</v>
      </c>
    </row>
    <row r="5909" spans="6:7" x14ac:dyDescent="0.35">
      <c r="F5909">
        <v>5904</v>
      </c>
      <c r="G5909" s="102">
        <f t="shared" ca="1" si="96"/>
        <v>-7.135641551984398E-2</v>
      </c>
    </row>
    <row r="5910" spans="6:7" x14ac:dyDescent="0.35">
      <c r="F5910">
        <v>5905</v>
      </c>
      <c r="G5910" s="102">
        <f t="shared" ca="1" si="96"/>
        <v>-5.1359558800274943E-2</v>
      </c>
    </row>
    <row r="5911" spans="6:7" x14ac:dyDescent="0.35">
      <c r="F5911">
        <v>5906</v>
      </c>
      <c r="G5911" s="102">
        <f t="shared" ca="1" si="96"/>
        <v>0.10514509019172079</v>
      </c>
    </row>
    <row r="5912" spans="6:7" x14ac:dyDescent="0.35">
      <c r="F5912">
        <v>5907</v>
      </c>
      <c r="G5912" s="102">
        <f t="shared" ca="1" si="96"/>
        <v>-9.2382152552040825E-2</v>
      </c>
    </row>
    <row r="5913" spans="6:7" x14ac:dyDescent="0.35">
      <c r="F5913">
        <v>5908</v>
      </c>
      <c r="G5913" s="102">
        <f t="shared" ca="1" si="96"/>
        <v>-4.5253762278455206E-2</v>
      </c>
    </row>
    <row r="5914" spans="6:7" x14ac:dyDescent="0.35">
      <c r="F5914">
        <v>5909</v>
      </c>
      <c r="G5914" s="102">
        <f t="shared" ca="1" si="96"/>
        <v>7.827078019138721E-2</v>
      </c>
    </row>
    <row r="5915" spans="6:7" x14ac:dyDescent="0.35">
      <c r="F5915">
        <v>5910</v>
      </c>
      <c r="G5915" s="102">
        <f t="shared" ca="1" si="96"/>
        <v>-5.8982182219793511E-2</v>
      </c>
    </row>
    <row r="5916" spans="6:7" x14ac:dyDescent="0.35">
      <c r="F5916">
        <v>5911</v>
      </c>
      <c r="G5916" s="102">
        <f t="shared" ca="1" si="96"/>
        <v>6.2097564693606555E-2</v>
      </c>
    </row>
    <row r="5917" spans="6:7" x14ac:dyDescent="0.35">
      <c r="F5917">
        <v>5912</v>
      </c>
      <c r="G5917" s="102">
        <f t="shared" ca="1" si="96"/>
        <v>2.7900652444276034E-2</v>
      </c>
    </row>
    <row r="5918" spans="6:7" x14ac:dyDescent="0.35">
      <c r="F5918">
        <v>5913</v>
      </c>
      <c r="G5918" s="102">
        <f t="shared" ca="1" si="96"/>
        <v>-4.6341055966139808E-3</v>
      </c>
    </row>
    <row r="5919" spans="6:7" x14ac:dyDescent="0.35">
      <c r="F5919">
        <v>5914</v>
      </c>
      <c r="G5919" s="102">
        <f t="shared" ca="1" si="96"/>
        <v>-5.286702527604395E-2</v>
      </c>
    </row>
    <row r="5920" spans="6:7" x14ac:dyDescent="0.35">
      <c r="F5920">
        <v>5915</v>
      </c>
      <c r="G5920" s="102">
        <f t="shared" ca="1" si="96"/>
        <v>0.13661855392548952</v>
      </c>
    </row>
    <row r="5921" spans="6:7" x14ac:dyDescent="0.35">
      <c r="F5921">
        <v>5916</v>
      </c>
      <c r="G5921" s="102">
        <f t="shared" ca="1" si="96"/>
        <v>-6.0033894367706564E-2</v>
      </c>
    </row>
    <row r="5922" spans="6:7" x14ac:dyDescent="0.35">
      <c r="F5922">
        <v>5917</v>
      </c>
      <c r="G5922" s="102">
        <f t="shared" ca="1" si="96"/>
        <v>4.4961417305239962E-2</v>
      </c>
    </row>
    <row r="5923" spans="6:7" x14ac:dyDescent="0.35">
      <c r="F5923">
        <v>5918</v>
      </c>
      <c r="G5923" s="102">
        <f t="shared" ca="1" si="96"/>
        <v>-7.5981946147793966E-2</v>
      </c>
    </row>
    <row r="5924" spans="6:7" x14ac:dyDescent="0.35">
      <c r="F5924">
        <v>5919</v>
      </c>
      <c r="G5924" s="102">
        <f t="shared" ca="1" si="96"/>
        <v>-6.9353966585206595E-2</v>
      </c>
    </row>
    <row r="5925" spans="6:7" x14ac:dyDescent="0.35">
      <c r="F5925">
        <v>5920</v>
      </c>
      <c r="G5925" s="102">
        <f t="shared" ca="1" si="96"/>
        <v>1.7714217827198325E-2</v>
      </c>
    </row>
    <row r="5926" spans="6:7" x14ac:dyDescent="0.35">
      <c r="F5926">
        <v>5921</v>
      </c>
      <c r="G5926" s="102">
        <f t="shared" ca="1" si="96"/>
        <v>-0.12023506017757161</v>
      </c>
    </row>
    <row r="5927" spans="6:7" x14ac:dyDescent="0.35">
      <c r="F5927">
        <v>5922</v>
      </c>
      <c r="G5927" s="102">
        <f t="shared" ca="1" si="96"/>
        <v>-9.5368939581247661E-2</v>
      </c>
    </row>
    <row r="5928" spans="6:7" x14ac:dyDescent="0.35">
      <c r="F5928">
        <v>5923</v>
      </c>
      <c r="G5928" s="102">
        <f t="shared" ca="1" si="96"/>
        <v>8.4185496307942018E-2</v>
      </c>
    </row>
    <row r="5929" spans="6:7" x14ac:dyDescent="0.35">
      <c r="F5929">
        <v>5924</v>
      </c>
      <c r="G5929" s="102">
        <f t="shared" ca="1" si="96"/>
        <v>-4.1063604177132271E-2</v>
      </c>
    </row>
    <row r="5930" spans="6:7" x14ac:dyDescent="0.35">
      <c r="F5930">
        <v>5925</v>
      </c>
      <c r="G5930" s="102">
        <f t="shared" ca="1" si="96"/>
        <v>2.7559792129445114E-4</v>
      </c>
    </row>
    <row r="5931" spans="6:7" x14ac:dyDescent="0.35">
      <c r="F5931">
        <v>5926</v>
      </c>
      <c r="G5931" s="102">
        <f t="shared" ca="1" si="96"/>
        <v>-2.0295501085068474E-2</v>
      </c>
    </row>
    <row r="5932" spans="6:7" x14ac:dyDescent="0.35">
      <c r="F5932">
        <v>5927</v>
      </c>
      <c r="G5932" s="102">
        <f t="shared" ca="1" si="96"/>
        <v>4.599224547948047E-2</v>
      </c>
    </row>
    <row r="5933" spans="6:7" x14ac:dyDescent="0.35">
      <c r="F5933">
        <v>5928</v>
      </c>
      <c r="G5933" s="102">
        <f t="shared" ca="1" si="96"/>
        <v>6.3624151340598512E-2</v>
      </c>
    </row>
    <row r="5934" spans="6:7" x14ac:dyDescent="0.35">
      <c r="F5934">
        <v>5929</v>
      </c>
      <c r="G5934" s="102">
        <f t="shared" ca="1" si="96"/>
        <v>2.8763600850395383E-2</v>
      </c>
    </row>
    <row r="5935" spans="6:7" x14ac:dyDescent="0.35">
      <c r="F5935">
        <v>5930</v>
      </c>
      <c r="G5935" s="102">
        <f t="shared" ca="1" si="96"/>
        <v>2.869953070957525E-2</v>
      </c>
    </row>
    <row r="5936" spans="6:7" x14ac:dyDescent="0.35">
      <c r="F5936">
        <v>5931</v>
      </c>
      <c r="G5936" s="102">
        <f t="shared" ca="1" si="96"/>
        <v>0.10258888281837013</v>
      </c>
    </row>
    <row r="5937" spans="6:7" x14ac:dyDescent="0.35">
      <c r="F5937">
        <v>5932</v>
      </c>
      <c r="G5937" s="102">
        <f t="shared" ca="1" si="96"/>
        <v>7.8885577696107212E-2</v>
      </c>
    </row>
    <row r="5938" spans="6:7" x14ac:dyDescent="0.35">
      <c r="F5938">
        <v>5933</v>
      </c>
      <c r="G5938" s="102">
        <f t="shared" ca="1" si="96"/>
        <v>-3.1145946817346896E-2</v>
      </c>
    </row>
    <row r="5939" spans="6:7" x14ac:dyDescent="0.35">
      <c r="F5939">
        <v>5934</v>
      </c>
      <c r="G5939" s="102">
        <f t="shared" ca="1" si="96"/>
        <v>2.4916531131967696E-2</v>
      </c>
    </row>
    <row r="5940" spans="6:7" x14ac:dyDescent="0.35">
      <c r="F5940">
        <v>5935</v>
      </c>
      <c r="G5940" s="102">
        <f t="shared" ca="1" si="96"/>
        <v>-3.8690503038617666E-2</v>
      </c>
    </row>
    <row r="5941" spans="6:7" x14ac:dyDescent="0.35">
      <c r="F5941">
        <v>5936</v>
      </c>
      <c r="G5941" s="102">
        <f t="shared" ca="1" si="96"/>
        <v>6.5553199408926538E-2</v>
      </c>
    </row>
    <row r="5942" spans="6:7" x14ac:dyDescent="0.35">
      <c r="F5942">
        <v>5937</v>
      </c>
      <c r="G5942" s="102">
        <f t="shared" ca="1" si="96"/>
        <v>4.8477762418574044E-2</v>
      </c>
    </row>
    <row r="5943" spans="6:7" x14ac:dyDescent="0.35">
      <c r="F5943">
        <v>5938</v>
      </c>
      <c r="G5943" s="102">
        <f t="shared" ca="1" si="96"/>
        <v>1.0183834037416319E-2</v>
      </c>
    </row>
    <row r="5944" spans="6:7" x14ac:dyDescent="0.35">
      <c r="F5944">
        <v>5939</v>
      </c>
      <c r="G5944" s="102">
        <f t="shared" ca="1" si="96"/>
        <v>-0.13110415489497515</v>
      </c>
    </row>
    <row r="5945" spans="6:7" x14ac:dyDescent="0.35">
      <c r="F5945">
        <v>5940</v>
      </c>
      <c r="G5945" s="102">
        <f t="shared" ca="1" si="96"/>
        <v>-2.6442000141156576E-2</v>
      </c>
    </row>
    <row r="5946" spans="6:7" x14ac:dyDescent="0.35">
      <c r="F5946">
        <v>5941</v>
      </c>
      <c r="G5946" s="102">
        <f t="shared" ca="1" si="96"/>
        <v>-4.8228126622749624E-3</v>
      </c>
    </row>
    <row r="5947" spans="6:7" x14ac:dyDescent="0.35">
      <c r="F5947">
        <v>5942</v>
      </c>
      <c r="G5947" s="102">
        <f t="shared" ca="1" si="96"/>
        <v>-5.8235716080126093E-2</v>
      </c>
    </row>
    <row r="5948" spans="6:7" x14ac:dyDescent="0.35">
      <c r="F5948">
        <v>5943</v>
      </c>
      <c r="G5948" s="102">
        <f t="shared" ca="1" si="96"/>
        <v>-7.9763588766566917E-2</v>
      </c>
    </row>
    <row r="5949" spans="6:7" x14ac:dyDescent="0.35">
      <c r="F5949">
        <v>5944</v>
      </c>
      <c r="G5949" s="102">
        <f t="shared" ca="1" si="96"/>
        <v>3.0282168842124847E-3</v>
      </c>
    </row>
    <row r="5950" spans="6:7" x14ac:dyDescent="0.35">
      <c r="F5950">
        <v>5945</v>
      </c>
      <c r="G5950" s="102">
        <f t="shared" ca="1" si="96"/>
        <v>2.372558245205646E-2</v>
      </c>
    </row>
    <row r="5951" spans="6:7" x14ac:dyDescent="0.35">
      <c r="F5951">
        <v>5946</v>
      </c>
      <c r="G5951" s="102">
        <f t="shared" ca="1" si="96"/>
        <v>1.2296445678910344E-2</v>
      </c>
    </row>
    <row r="5952" spans="6:7" x14ac:dyDescent="0.35">
      <c r="F5952">
        <v>5947</v>
      </c>
      <c r="G5952" s="102">
        <f t="shared" ca="1" si="96"/>
        <v>6.2312451503892974E-2</v>
      </c>
    </row>
    <row r="5953" spans="6:7" x14ac:dyDescent="0.35">
      <c r="F5953">
        <v>5948</v>
      </c>
      <c r="G5953" s="102">
        <f t="shared" ca="1" si="96"/>
        <v>3.4243899804191503E-3</v>
      </c>
    </row>
    <row r="5954" spans="6:7" x14ac:dyDescent="0.35">
      <c r="F5954">
        <v>5949</v>
      </c>
      <c r="G5954" s="102">
        <f t="shared" ca="1" si="96"/>
        <v>0.12048266032473644</v>
      </c>
    </row>
    <row r="5955" spans="6:7" x14ac:dyDescent="0.35">
      <c r="F5955">
        <v>5950</v>
      </c>
      <c r="G5955" s="102">
        <f t="shared" ca="1" si="96"/>
        <v>0.13801068330211233</v>
      </c>
    </row>
    <row r="5956" spans="6:7" x14ac:dyDescent="0.35">
      <c r="F5956">
        <v>5951</v>
      </c>
      <c r="G5956" s="102">
        <f t="shared" ca="1" si="96"/>
        <v>1.1682628148180649E-2</v>
      </c>
    </row>
    <row r="5957" spans="6:7" x14ac:dyDescent="0.35">
      <c r="F5957">
        <v>5952</v>
      </c>
      <c r="G5957" s="102">
        <f t="shared" ca="1" si="96"/>
        <v>0.18257509002464667</v>
      </c>
    </row>
    <row r="5958" spans="6:7" x14ac:dyDescent="0.35">
      <c r="F5958">
        <v>5953</v>
      </c>
      <c r="G5958" s="102">
        <f t="shared" ca="1" si="96"/>
        <v>-6.857068820173267E-4</v>
      </c>
    </row>
    <row r="5959" spans="6:7" x14ac:dyDescent="0.35">
      <c r="F5959">
        <v>5954</v>
      </c>
      <c r="G5959" s="102">
        <f t="shared" ref="G5959:G6022" ca="1" si="97">_xlfn.NORM.INV(RAND(),M$9,M$10)</f>
        <v>-8.7072695028003452E-2</v>
      </c>
    </row>
    <row r="5960" spans="6:7" x14ac:dyDescent="0.35">
      <c r="F5960">
        <v>5955</v>
      </c>
      <c r="G5960" s="102">
        <f t="shared" ca="1" si="97"/>
        <v>2.3093502360155362E-2</v>
      </c>
    </row>
    <row r="5961" spans="6:7" x14ac:dyDescent="0.35">
      <c r="F5961">
        <v>5956</v>
      </c>
      <c r="G5961" s="102">
        <f t="shared" ca="1" si="97"/>
        <v>-2.7787347109658262E-2</v>
      </c>
    </row>
    <row r="5962" spans="6:7" x14ac:dyDescent="0.35">
      <c r="F5962">
        <v>5957</v>
      </c>
      <c r="G5962" s="102">
        <f t="shared" ca="1" si="97"/>
        <v>1.0257564661188493E-2</v>
      </c>
    </row>
    <row r="5963" spans="6:7" x14ac:dyDescent="0.35">
      <c r="F5963">
        <v>5958</v>
      </c>
      <c r="G5963" s="102">
        <f t="shared" ca="1" si="97"/>
        <v>3.4057605646523839E-2</v>
      </c>
    </row>
    <row r="5964" spans="6:7" x14ac:dyDescent="0.35">
      <c r="F5964">
        <v>5959</v>
      </c>
      <c r="G5964" s="102">
        <f t="shared" ca="1" si="97"/>
        <v>4.0027972407155082E-2</v>
      </c>
    </row>
    <row r="5965" spans="6:7" x14ac:dyDescent="0.35">
      <c r="F5965">
        <v>5960</v>
      </c>
      <c r="G5965" s="102">
        <f t="shared" ca="1" si="97"/>
        <v>-1.6963427082096923E-2</v>
      </c>
    </row>
    <row r="5966" spans="6:7" x14ac:dyDescent="0.35">
      <c r="F5966">
        <v>5961</v>
      </c>
      <c r="G5966" s="102">
        <f t="shared" ca="1" si="97"/>
        <v>-1.1338281396090714E-2</v>
      </c>
    </row>
    <row r="5967" spans="6:7" x14ac:dyDescent="0.35">
      <c r="F5967">
        <v>5962</v>
      </c>
      <c r="G5967" s="102">
        <f t="shared" ca="1" si="97"/>
        <v>-3.5161770488557953E-2</v>
      </c>
    </row>
    <row r="5968" spans="6:7" x14ac:dyDescent="0.35">
      <c r="F5968">
        <v>5963</v>
      </c>
      <c r="G5968" s="102">
        <f t="shared" ca="1" si="97"/>
        <v>-5.5264087275767537E-2</v>
      </c>
    </row>
    <row r="5969" spans="6:7" x14ac:dyDescent="0.35">
      <c r="F5969">
        <v>5964</v>
      </c>
      <c r="G5969" s="102">
        <f t="shared" ca="1" si="97"/>
        <v>0.14338448337483314</v>
      </c>
    </row>
    <row r="5970" spans="6:7" x14ac:dyDescent="0.35">
      <c r="F5970">
        <v>5965</v>
      </c>
      <c r="G5970" s="102">
        <f t="shared" ca="1" si="97"/>
        <v>1.7564268788901688E-2</v>
      </c>
    </row>
    <row r="5971" spans="6:7" x14ac:dyDescent="0.35">
      <c r="F5971">
        <v>5966</v>
      </c>
      <c r="G5971" s="102">
        <f t="shared" ca="1" si="97"/>
        <v>1.8895222166823607E-2</v>
      </c>
    </row>
    <row r="5972" spans="6:7" x14ac:dyDescent="0.35">
      <c r="F5972">
        <v>5967</v>
      </c>
      <c r="G5972" s="102">
        <f t="shared" ca="1" si="97"/>
        <v>0.11586287183398629</v>
      </c>
    </row>
    <row r="5973" spans="6:7" x14ac:dyDescent="0.35">
      <c r="F5973">
        <v>5968</v>
      </c>
      <c r="G5973" s="102">
        <f t="shared" ca="1" si="97"/>
        <v>9.9195692332371549E-2</v>
      </c>
    </row>
    <row r="5974" spans="6:7" x14ac:dyDescent="0.35">
      <c r="F5974">
        <v>5969</v>
      </c>
      <c r="G5974" s="102">
        <f t="shared" ca="1" si="97"/>
        <v>4.9522523294614276E-3</v>
      </c>
    </row>
    <row r="5975" spans="6:7" x14ac:dyDescent="0.35">
      <c r="F5975">
        <v>5970</v>
      </c>
      <c r="G5975" s="102">
        <f t="shared" ca="1" si="97"/>
        <v>-5.0911968262260257E-2</v>
      </c>
    </row>
    <row r="5976" spans="6:7" x14ac:dyDescent="0.35">
      <c r="F5976">
        <v>5971</v>
      </c>
      <c r="G5976" s="102">
        <f t="shared" ca="1" si="97"/>
        <v>8.7156716622124163E-3</v>
      </c>
    </row>
    <row r="5977" spans="6:7" x14ac:dyDescent="0.35">
      <c r="F5977">
        <v>5972</v>
      </c>
      <c r="G5977" s="102">
        <f t="shared" ca="1" si="97"/>
        <v>-6.4309080254138758E-3</v>
      </c>
    </row>
    <row r="5978" spans="6:7" x14ac:dyDescent="0.35">
      <c r="F5978">
        <v>5973</v>
      </c>
      <c r="G5978" s="102">
        <f t="shared" ca="1" si="97"/>
        <v>1.9076379022897643E-2</v>
      </c>
    </row>
    <row r="5979" spans="6:7" x14ac:dyDescent="0.35">
      <c r="F5979">
        <v>5974</v>
      </c>
      <c r="G5979" s="102">
        <f t="shared" ca="1" si="97"/>
        <v>3.7333838507928027E-2</v>
      </c>
    </row>
    <row r="5980" spans="6:7" x14ac:dyDescent="0.35">
      <c r="F5980">
        <v>5975</v>
      </c>
      <c r="G5980" s="102">
        <f t="shared" ca="1" si="97"/>
        <v>-6.9974307561382603E-4</v>
      </c>
    </row>
    <row r="5981" spans="6:7" x14ac:dyDescent="0.35">
      <c r="F5981">
        <v>5976</v>
      </c>
      <c r="G5981" s="102">
        <f t="shared" ca="1" si="97"/>
        <v>-1.0914381298455025E-2</v>
      </c>
    </row>
    <row r="5982" spans="6:7" x14ac:dyDescent="0.35">
      <c r="F5982">
        <v>5977</v>
      </c>
      <c r="G5982" s="102">
        <f t="shared" ca="1" si="97"/>
        <v>-0.11066413188897922</v>
      </c>
    </row>
    <row r="5983" spans="6:7" x14ac:dyDescent="0.35">
      <c r="F5983">
        <v>5978</v>
      </c>
      <c r="G5983" s="102">
        <f t="shared" ca="1" si="97"/>
        <v>7.108517335645434E-2</v>
      </c>
    </row>
    <row r="5984" spans="6:7" x14ac:dyDescent="0.35">
      <c r="F5984">
        <v>5979</v>
      </c>
      <c r="G5984" s="102">
        <f t="shared" ca="1" si="97"/>
        <v>-1.5649775497352178E-2</v>
      </c>
    </row>
    <row r="5985" spans="6:7" x14ac:dyDescent="0.35">
      <c r="F5985">
        <v>5980</v>
      </c>
      <c r="G5985" s="102">
        <f t="shared" ca="1" si="97"/>
        <v>-5.1422795507000782E-2</v>
      </c>
    </row>
    <row r="5986" spans="6:7" x14ac:dyDescent="0.35">
      <c r="F5986">
        <v>5981</v>
      </c>
      <c r="G5986" s="102">
        <f t="shared" ca="1" si="97"/>
        <v>-5.1626785590325644E-2</v>
      </c>
    </row>
    <row r="5987" spans="6:7" x14ac:dyDescent="0.35">
      <c r="F5987">
        <v>5982</v>
      </c>
      <c r="G5987" s="102">
        <f t="shared" ca="1" si="97"/>
        <v>5.6604773563907959E-3</v>
      </c>
    </row>
    <row r="5988" spans="6:7" x14ac:dyDescent="0.35">
      <c r="F5988">
        <v>5983</v>
      </c>
      <c r="G5988" s="102">
        <f t="shared" ca="1" si="97"/>
        <v>2.5621269087847502E-3</v>
      </c>
    </row>
    <row r="5989" spans="6:7" x14ac:dyDescent="0.35">
      <c r="F5989">
        <v>5984</v>
      </c>
      <c r="G5989" s="102">
        <f t="shared" ca="1" si="97"/>
        <v>-5.0162764513432864E-2</v>
      </c>
    </row>
    <row r="5990" spans="6:7" x14ac:dyDescent="0.35">
      <c r="F5990">
        <v>5985</v>
      </c>
      <c r="G5990" s="102">
        <f t="shared" ca="1" si="97"/>
        <v>-2.8380948092407879E-3</v>
      </c>
    </row>
    <row r="5991" spans="6:7" x14ac:dyDescent="0.35">
      <c r="F5991">
        <v>5986</v>
      </c>
      <c r="G5991" s="102">
        <f t="shared" ca="1" si="97"/>
        <v>1.363243899317434E-3</v>
      </c>
    </row>
    <row r="5992" spans="6:7" x14ac:dyDescent="0.35">
      <c r="F5992">
        <v>5987</v>
      </c>
      <c r="G5992" s="102">
        <f t="shared" ca="1" si="97"/>
        <v>5.2271841617349324E-2</v>
      </c>
    </row>
    <row r="5993" spans="6:7" x14ac:dyDescent="0.35">
      <c r="F5993">
        <v>5988</v>
      </c>
      <c r="G5993" s="102">
        <f t="shared" ca="1" si="97"/>
        <v>6.5329438490965439E-2</v>
      </c>
    </row>
    <row r="5994" spans="6:7" x14ac:dyDescent="0.35">
      <c r="F5994">
        <v>5989</v>
      </c>
      <c r="G5994" s="102">
        <f t="shared" ca="1" si="97"/>
        <v>7.6913651495756574E-2</v>
      </c>
    </row>
    <row r="5995" spans="6:7" x14ac:dyDescent="0.35">
      <c r="F5995">
        <v>5990</v>
      </c>
      <c r="G5995" s="102">
        <f t="shared" ca="1" si="97"/>
        <v>-3.4630034264849223E-2</v>
      </c>
    </row>
    <row r="5996" spans="6:7" x14ac:dyDescent="0.35">
      <c r="F5996">
        <v>5991</v>
      </c>
      <c r="G5996" s="102">
        <f t="shared" ca="1" si="97"/>
        <v>3.9376620896599365E-2</v>
      </c>
    </row>
    <row r="5997" spans="6:7" x14ac:dyDescent="0.35">
      <c r="F5997">
        <v>5992</v>
      </c>
      <c r="G5997" s="102">
        <f t="shared" ca="1" si="97"/>
        <v>-2.282500453403492E-2</v>
      </c>
    </row>
    <row r="5998" spans="6:7" x14ac:dyDescent="0.35">
      <c r="F5998">
        <v>5993</v>
      </c>
      <c r="G5998" s="102">
        <f t="shared" ca="1" si="97"/>
        <v>9.6574029065235378E-2</v>
      </c>
    </row>
    <row r="5999" spans="6:7" x14ac:dyDescent="0.35">
      <c r="F5999">
        <v>5994</v>
      </c>
      <c r="G5999" s="102">
        <f t="shared" ca="1" si="97"/>
        <v>-4.9135938712480509E-2</v>
      </c>
    </row>
    <row r="6000" spans="6:7" x14ac:dyDescent="0.35">
      <c r="F6000">
        <v>5995</v>
      </c>
      <c r="G6000" s="102">
        <f t="shared" ca="1" si="97"/>
        <v>5.2149095934397732E-2</v>
      </c>
    </row>
    <row r="6001" spans="6:7" x14ac:dyDescent="0.35">
      <c r="F6001">
        <v>5996</v>
      </c>
      <c r="G6001" s="102">
        <f t="shared" ca="1" si="97"/>
        <v>7.1029362877354466E-2</v>
      </c>
    </row>
    <row r="6002" spans="6:7" x14ac:dyDescent="0.35">
      <c r="F6002">
        <v>5997</v>
      </c>
      <c r="G6002" s="102">
        <f t="shared" ca="1" si="97"/>
        <v>-4.2412684485399407E-2</v>
      </c>
    </row>
    <row r="6003" spans="6:7" x14ac:dyDescent="0.35">
      <c r="F6003">
        <v>5998</v>
      </c>
      <c r="G6003" s="102">
        <f t="shared" ca="1" si="97"/>
        <v>-4.7500709885669914E-2</v>
      </c>
    </row>
    <row r="6004" spans="6:7" x14ac:dyDescent="0.35">
      <c r="F6004">
        <v>5999</v>
      </c>
      <c r="G6004" s="102">
        <f t="shared" ca="1" si="97"/>
        <v>6.8255764280673384E-3</v>
      </c>
    </row>
    <row r="6005" spans="6:7" x14ac:dyDescent="0.35">
      <c r="F6005">
        <v>6000</v>
      </c>
      <c r="G6005" s="102">
        <f t="shared" ca="1" si="97"/>
        <v>4.237041819042163E-2</v>
      </c>
    </row>
    <row r="6006" spans="6:7" x14ac:dyDescent="0.35">
      <c r="F6006">
        <v>6001</v>
      </c>
      <c r="G6006" s="102">
        <f t="shared" ca="1" si="97"/>
        <v>-4.7387425318667145E-3</v>
      </c>
    </row>
    <row r="6007" spans="6:7" x14ac:dyDescent="0.35">
      <c r="F6007">
        <v>6002</v>
      </c>
      <c r="G6007" s="102">
        <f t="shared" ca="1" si="97"/>
        <v>-2.1155416588335408E-2</v>
      </c>
    </row>
    <row r="6008" spans="6:7" x14ac:dyDescent="0.35">
      <c r="F6008">
        <v>6003</v>
      </c>
      <c r="G6008" s="102">
        <f t="shared" ca="1" si="97"/>
        <v>-2.7004302986824526E-2</v>
      </c>
    </row>
    <row r="6009" spans="6:7" x14ac:dyDescent="0.35">
      <c r="F6009">
        <v>6004</v>
      </c>
      <c r="G6009" s="102">
        <f t="shared" ca="1" si="97"/>
        <v>3.9338551538430244E-2</v>
      </c>
    </row>
    <row r="6010" spans="6:7" x14ac:dyDescent="0.35">
      <c r="F6010">
        <v>6005</v>
      </c>
      <c r="G6010" s="102">
        <f t="shared" ca="1" si="97"/>
        <v>-6.5547790964404801E-2</v>
      </c>
    </row>
    <row r="6011" spans="6:7" x14ac:dyDescent="0.35">
      <c r="F6011">
        <v>6006</v>
      </c>
      <c r="G6011" s="102">
        <f t="shared" ca="1" si="97"/>
        <v>-5.1436604002431538E-2</v>
      </c>
    </row>
    <row r="6012" spans="6:7" x14ac:dyDescent="0.35">
      <c r="F6012">
        <v>6007</v>
      </c>
      <c r="G6012" s="102">
        <f t="shared" ca="1" si="97"/>
        <v>9.8080990987845854E-3</v>
      </c>
    </row>
    <row r="6013" spans="6:7" x14ac:dyDescent="0.35">
      <c r="F6013">
        <v>6008</v>
      </c>
      <c r="G6013" s="102">
        <f t="shared" ca="1" si="97"/>
        <v>-3.6997912518917903E-2</v>
      </c>
    </row>
    <row r="6014" spans="6:7" x14ac:dyDescent="0.35">
      <c r="F6014">
        <v>6009</v>
      </c>
      <c r="G6014" s="102">
        <f t="shared" ca="1" si="97"/>
        <v>-2.3060945416036996E-2</v>
      </c>
    </row>
    <row r="6015" spans="6:7" x14ac:dyDescent="0.35">
      <c r="F6015">
        <v>6010</v>
      </c>
      <c r="G6015" s="102">
        <f t="shared" ca="1" si="97"/>
        <v>-4.486937201885087E-2</v>
      </c>
    </row>
    <row r="6016" spans="6:7" x14ac:dyDescent="0.35">
      <c r="F6016">
        <v>6011</v>
      </c>
      <c r="G6016" s="102">
        <f t="shared" ca="1" si="97"/>
        <v>-7.4122018016518867E-2</v>
      </c>
    </row>
    <row r="6017" spans="6:7" x14ac:dyDescent="0.35">
      <c r="F6017">
        <v>6012</v>
      </c>
      <c r="G6017" s="102">
        <f t="shared" ca="1" si="97"/>
        <v>1.5173612472127326E-2</v>
      </c>
    </row>
    <row r="6018" spans="6:7" x14ac:dyDescent="0.35">
      <c r="F6018">
        <v>6013</v>
      </c>
      <c r="G6018" s="102">
        <f t="shared" ca="1" si="97"/>
        <v>3.5552611602017198E-2</v>
      </c>
    </row>
    <row r="6019" spans="6:7" x14ac:dyDescent="0.35">
      <c r="F6019">
        <v>6014</v>
      </c>
      <c r="G6019" s="102">
        <f t="shared" ca="1" si="97"/>
        <v>8.9326269270210042E-3</v>
      </c>
    </row>
    <row r="6020" spans="6:7" x14ac:dyDescent="0.35">
      <c r="F6020">
        <v>6015</v>
      </c>
      <c r="G6020" s="102">
        <f t="shared" ca="1" si="97"/>
        <v>-5.4779743787578744E-2</v>
      </c>
    </row>
    <row r="6021" spans="6:7" x14ac:dyDescent="0.35">
      <c r="F6021">
        <v>6016</v>
      </c>
      <c r="G6021" s="102">
        <f t="shared" ca="1" si="97"/>
        <v>6.5194564938093003E-2</v>
      </c>
    </row>
    <row r="6022" spans="6:7" x14ac:dyDescent="0.35">
      <c r="F6022">
        <v>6017</v>
      </c>
      <c r="G6022" s="102">
        <f t="shared" ca="1" si="97"/>
        <v>6.4894800389085322E-2</v>
      </c>
    </row>
    <row r="6023" spans="6:7" x14ac:dyDescent="0.35">
      <c r="F6023">
        <v>6018</v>
      </c>
      <c r="G6023" s="102">
        <f t="shared" ref="G6023:G6086" ca="1" si="98">_xlfn.NORM.INV(RAND(),M$9,M$10)</f>
        <v>8.8284196725042802E-3</v>
      </c>
    </row>
    <row r="6024" spans="6:7" x14ac:dyDescent="0.35">
      <c r="F6024">
        <v>6019</v>
      </c>
      <c r="G6024" s="102">
        <f t="shared" ca="1" si="98"/>
        <v>-8.7439612755846483E-2</v>
      </c>
    </row>
    <row r="6025" spans="6:7" x14ac:dyDescent="0.35">
      <c r="F6025">
        <v>6020</v>
      </c>
      <c r="G6025" s="102">
        <f t="shared" ca="1" si="98"/>
        <v>0.10279952027152599</v>
      </c>
    </row>
    <row r="6026" spans="6:7" x14ac:dyDescent="0.35">
      <c r="F6026">
        <v>6021</v>
      </c>
      <c r="G6026" s="102">
        <f t="shared" ca="1" si="98"/>
        <v>7.8008302535933667E-3</v>
      </c>
    </row>
    <row r="6027" spans="6:7" x14ac:dyDescent="0.35">
      <c r="F6027">
        <v>6022</v>
      </c>
      <c r="G6027" s="102">
        <f t="shared" ca="1" si="98"/>
        <v>-9.9116628238103771E-2</v>
      </c>
    </row>
    <row r="6028" spans="6:7" x14ac:dyDescent="0.35">
      <c r="F6028">
        <v>6023</v>
      </c>
      <c r="G6028" s="102">
        <f t="shared" ca="1" si="98"/>
        <v>-6.563219773078946E-2</v>
      </c>
    </row>
    <row r="6029" spans="6:7" x14ac:dyDescent="0.35">
      <c r="F6029">
        <v>6024</v>
      </c>
      <c r="G6029" s="102">
        <f t="shared" ca="1" si="98"/>
        <v>-0.1468288187661366</v>
      </c>
    </row>
    <row r="6030" spans="6:7" x14ac:dyDescent="0.35">
      <c r="F6030">
        <v>6025</v>
      </c>
      <c r="G6030" s="102">
        <f t="shared" ca="1" si="98"/>
        <v>-7.395369232417065E-2</v>
      </c>
    </row>
    <row r="6031" spans="6:7" x14ac:dyDescent="0.35">
      <c r="F6031">
        <v>6026</v>
      </c>
      <c r="G6031" s="102">
        <f t="shared" ca="1" si="98"/>
        <v>-4.7034694987016901E-2</v>
      </c>
    </row>
    <row r="6032" spans="6:7" x14ac:dyDescent="0.35">
      <c r="F6032">
        <v>6027</v>
      </c>
      <c r="G6032" s="102">
        <f t="shared" ca="1" si="98"/>
        <v>-6.5948274283727681E-2</v>
      </c>
    </row>
    <row r="6033" spans="6:7" x14ac:dyDescent="0.35">
      <c r="F6033">
        <v>6028</v>
      </c>
      <c r="G6033" s="102">
        <f t="shared" ca="1" si="98"/>
        <v>-5.4594331823145215E-2</v>
      </c>
    </row>
    <row r="6034" spans="6:7" x14ac:dyDescent="0.35">
      <c r="F6034">
        <v>6029</v>
      </c>
      <c r="G6034" s="102">
        <f t="shared" ca="1" si="98"/>
        <v>5.8480764528196685E-2</v>
      </c>
    </row>
    <row r="6035" spans="6:7" x14ac:dyDescent="0.35">
      <c r="F6035">
        <v>6030</v>
      </c>
      <c r="G6035" s="102">
        <f t="shared" ca="1" si="98"/>
        <v>-2.9657600647570951E-2</v>
      </c>
    </row>
    <row r="6036" spans="6:7" x14ac:dyDescent="0.35">
      <c r="F6036">
        <v>6031</v>
      </c>
      <c r="G6036" s="102">
        <f t="shared" ca="1" si="98"/>
        <v>2.6301041723866037E-2</v>
      </c>
    </row>
    <row r="6037" spans="6:7" x14ac:dyDescent="0.35">
      <c r="F6037">
        <v>6032</v>
      </c>
      <c r="G6037" s="102">
        <f t="shared" ca="1" si="98"/>
        <v>-5.6921973036525964E-2</v>
      </c>
    </row>
    <row r="6038" spans="6:7" x14ac:dyDescent="0.35">
      <c r="F6038">
        <v>6033</v>
      </c>
      <c r="G6038" s="102">
        <f t="shared" ca="1" si="98"/>
        <v>-6.8908294272235576E-2</v>
      </c>
    </row>
    <row r="6039" spans="6:7" x14ac:dyDescent="0.35">
      <c r="F6039">
        <v>6034</v>
      </c>
      <c r="G6039" s="102">
        <f t="shared" ca="1" si="98"/>
        <v>5.2134649959788386E-3</v>
      </c>
    </row>
    <row r="6040" spans="6:7" x14ac:dyDescent="0.35">
      <c r="F6040">
        <v>6035</v>
      </c>
      <c r="G6040" s="102">
        <f t="shared" ca="1" si="98"/>
        <v>-1.0093110584923518E-2</v>
      </c>
    </row>
    <row r="6041" spans="6:7" x14ac:dyDescent="0.35">
      <c r="F6041">
        <v>6036</v>
      </c>
      <c r="G6041" s="102">
        <f t="shared" ca="1" si="98"/>
        <v>-1.5014992483077472E-2</v>
      </c>
    </row>
    <row r="6042" spans="6:7" x14ac:dyDescent="0.35">
      <c r="F6042">
        <v>6037</v>
      </c>
      <c r="G6042" s="102">
        <f t="shared" ca="1" si="98"/>
        <v>-4.685387689773135E-2</v>
      </c>
    </row>
    <row r="6043" spans="6:7" x14ac:dyDescent="0.35">
      <c r="F6043">
        <v>6038</v>
      </c>
      <c r="G6043" s="102">
        <f t="shared" ca="1" si="98"/>
        <v>6.4283936007102249E-2</v>
      </c>
    </row>
    <row r="6044" spans="6:7" x14ac:dyDescent="0.35">
      <c r="F6044">
        <v>6039</v>
      </c>
      <c r="G6044" s="102">
        <f t="shared" ca="1" si="98"/>
        <v>-5.3415279995280424E-2</v>
      </c>
    </row>
    <row r="6045" spans="6:7" x14ac:dyDescent="0.35">
      <c r="F6045">
        <v>6040</v>
      </c>
      <c r="G6045" s="102">
        <f t="shared" ca="1" si="98"/>
        <v>2.4930037856096578E-2</v>
      </c>
    </row>
    <row r="6046" spans="6:7" x14ac:dyDescent="0.35">
      <c r="F6046">
        <v>6041</v>
      </c>
      <c r="G6046" s="102">
        <f t="shared" ca="1" si="98"/>
        <v>-6.0402736589406536E-2</v>
      </c>
    </row>
    <row r="6047" spans="6:7" x14ac:dyDescent="0.35">
      <c r="F6047">
        <v>6042</v>
      </c>
      <c r="G6047" s="102">
        <f t="shared" ca="1" si="98"/>
        <v>2.9162118497703862E-2</v>
      </c>
    </row>
    <row r="6048" spans="6:7" x14ac:dyDescent="0.35">
      <c r="F6048">
        <v>6043</v>
      </c>
      <c r="G6048" s="102">
        <f t="shared" ca="1" si="98"/>
        <v>-8.1647693397006227E-2</v>
      </c>
    </row>
    <row r="6049" spans="6:7" x14ac:dyDescent="0.35">
      <c r="F6049">
        <v>6044</v>
      </c>
      <c r="G6049" s="102">
        <f t="shared" ca="1" si="98"/>
        <v>-6.3970416873600916E-2</v>
      </c>
    </row>
    <row r="6050" spans="6:7" x14ac:dyDescent="0.35">
      <c r="F6050">
        <v>6045</v>
      </c>
      <c r="G6050" s="102">
        <f t="shared" ca="1" si="98"/>
        <v>7.1265659768164083E-2</v>
      </c>
    </row>
    <row r="6051" spans="6:7" x14ac:dyDescent="0.35">
      <c r="F6051">
        <v>6046</v>
      </c>
      <c r="G6051" s="102">
        <f t="shared" ca="1" si="98"/>
        <v>-8.1978124429507526E-2</v>
      </c>
    </row>
    <row r="6052" spans="6:7" x14ac:dyDescent="0.35">
      <c r="F6052">
        <v>6047</v>
      </c>
      <c r="G6052" s="102">
        <f t="shared" ca="1" si="98"/>
        <v>4.8464910722414475E-2</v>
      </c>
    </row>
    <row r="6053" spans="6:7" x14ac:dyDescent="0.35">
      <c r="F6053">
        <v>6048</v>
      </c>
      <c r="G6053" s="102">
        <f t="shared" ca="1" si="98"/>
        <v>1.3148718974871906E-2</v>
      </c>
    </row>
    <row r="6054" spans="6:7" x14ac:dyDescent="0.35">
      <c r="F6054">
        <v>6049</v>
      </c>
      <c r="G6054" s="102">
        <f t="shared" ca="1" si="98"/>
        <v>-2.2809439752065785E-2</v>
      </c>
    </row>
    <row r="6055" spans="6:7" x14ac:dyDescent="0.35">
      <c r="F6055">
        <v>6050</v>
      </c>
      <c r="G6055" s="102">
        <f t="shared" ca="1" si="98"/>
        <v>5.2893896632741688E-2</v>
      </c>
    </row>
    <row r="6056" spans="6:7" x14ac:dyDescent="0.35">
      <c r="F6056">
        <v>6051</v>
      </c>
      <c r="G6056" s="102">
        <f t="shared" ca="1" si="98"/>
        <v>-3.0696009191363303E-2</v>
      </c>
    </row>
    <row r="6057" spans="6:7" x14ac:dyDescent="0.35">
      <c r="F6057">
        <v>6052</v>
      </c>
      <c r="G6057" s="102">
        <f t="shared" ca="1" si="98"/>
        <v>-1.0498899295672595E-2</v>
      </c>
    </row>
    <row r="6058" spans="6:7" x14ac:dyDescent="0.35">
      <c r="F6058">
        <v>6053</v>
      </c>
      <c r="G6058" s="102">
        <f t="shared" ca="1" si="98"/>
        <v>-5.6483108388354381E-2</v>
      </c>
    </row>
    <row r="6059" spans="6:7" x14ac:dyDescent="0.35">
      <c r="F6059">
        <v>6054</v>
      </c>
      <c r="G6059" s="102">
        <f t="shared" ca="1" si="98"/>
        <v>1.2513466869198105E-3</v>
      </c>
    </row>
    <row r="6060" spans="6:7" x14ac:dyDescent="0.35">
      <c r="F6060">
        <v>6055</v>
      </c>
      <c r="G6060" s="102">
        <f t="shared" ca="1" si="98"/>
        <v>-9.8959979821147223E-2</v>
      </c>
    </row>
    <row r="6061" spans="6:7" x14ac:dyDescent="0.35">
      <c r="F6061">
        <v>6056</v>
      </c>
      <c r="G6061" s="102">
        <f t="shared" ca="1" si="98"/>
        <v>6.208833616851421E-3</v>
      </c>
    </row>
    <row r="6062" spans="6:7" x14ac:dyDescent="0.35">
      <c r="F6062">
        <v>6057</v>
      </c>
      <c r="G6062" s="102">
        <f t="shared" ca="1" si="98"/>
        <v>-1.8153597850499366E-2</v>
      </c>
    </row>
    <row r="6063" spans="6:7" x14ac:dyDescent="0.35">
      <c r="F6063">
        <v>6058</v>
      </c>
      <c r="G6063" s="102">
        <f t="shared" ca="1" si="98"/>
        <v>-0.1100853098111452</v>
      </c>
    </row>
    <row r="6064" spans="6:7" x14ac:dyDescent="0.35">
      <c r="F6064">
        <v>6059</v>
      </c>
      <c r="G6064" s="102">
        <f t="shared" ca="1" si="98"/>
        <v>-4.2215267669953149E-2</v>
      </c>
    </row>
    <row r="6065" spans="6:7" x14ac:dyDescent="0.35">
      <c r="F6065">
        <v>6060</v>
      </c>
      <c r="G6065" s="102">
        <f t="shared" ca="1" si="98"/>
        <v>-5.8571497201537023E-2</v>
      </c>
    </row>
    <row r="6066" spans="6:7" x14ac:dyDescent="0.35">
      <c r="F6066">
        <v>6061</v>
      </c>
      <c r="G6066" s="102">
        <f t="shared" ca="1" si="98"/>
        <v>9.0838175862616444E-2</v>
      </c>
    </row>
    <row r="6067" spans="6:7" x14ac:dyDescent="0.35">
      <c r="F6067">
        <v>6062</v>
      </c>
      <c r="G6067" s="102">
        <f t="shared" ca="1" si="98"/>
        <v>-2.4096849868006996E-2</v>
      </c>
    </row>
    <row r="6068" spans="6:7" x14ac:dyDescent="0.35">
      <c r="F6068">
        <v>6063</v>
      </c>
      <c r="G6068" s="102">
        <f t="shared" ca="1" si="98"/>
        <v>7.1136556512312349E-2</v>
      </c>
    </row>
    <row r="6069" spans="6:7" x14ac:dyDescent="0.35">
      <c r="F6069">
        <v>6064</v>
      </c>
      <c r="G6069" s="102">
        <f t="shared" ca="1" si="98"/>
        <v>-2.0207529391514052E-2</v>
      </c>
    </row>
    <row r="6070" spans="6:7" x14ac:dyDescent="0.35">
      <c r="F6070">
        <v>6065</v>
      </c>
      <c r="G6070" s="102">
        <f t="shared" ca="1" si="98"/>
        <v>3.1804371937488946E-2</v>
      </c>
    </row>
    <row r="6071" spans="6:7" x14ac:dyDescent="0.35">
      <c r="F6071">
        <v>6066</v>
      </c>
      <c r="G6071" s="102">
        <f t="shared" ca="1" si="98"/>
        <v>-2.9938670984188301E-2</v>
      </c>
    </row>
    <row r="6072" spans="6:7" x14ac:dyDescent="0.35">
      <c r="F6072">
        <v>6067</v>
      </c>
      <c r="G6072" s="102">
        <f t="shared" ca="1" si="98"/>
        <v>-0.11369411035803882</v>
      </c>
    </row>
    <row r="6073" spans="6:7" x14ac:dyDescent="0.35">
      <c r="F6073">
        <v>6068</v>
      </c>
      <c r="G6073" s="102">
        <f t="shared" ca="1" si="98"/>
        <v>-4.6315296673476045E-2</v>
      </c>
    </row>
    <row r="6074" spans="6:7" x14ac:dyDescent="0.35">
      <c r="F6074">
        <v>6069</v>
      </c>
      <c r="G6074" s="102">
        <f t="shared" ca="1" si="98"/>
        <v>-5.913193567070188E-2</v>
      </c>
    </row>
    <row r="6075" spans="6:7" x14ac:dyDescent="0.35">
      <c r="F6075">
        <v>6070</v>
      </c>
      <c r="G6075" s="102">
        <f t="shared" ca="1" si="98"/>
        <v>4.3976093707133443E-2</v>
      </c>
    </row>
    <row r="6076" spans="6:7" x14ac:dyDescent="0.35">
      <c r="F6076">
        <v>6071</v>
      </c>
      <c r="G6076" s="102">
        <f t="shared" ca="1" si="98"/>
        <v>-5.6623867280411452E-2</v>
      </c>
    </row>
    <row r="6077" spans="6:7" x14ac:dyDescent="0.35">
      <c r="F6077">
        <v>6072</v>
      </c>
      <c r="G6077" s="102">
        <f t="shared" ca="1" si="98"/>
        <v>-3.1414581025240605E-2</v>
      </c>
    </row>
    <row r="6078" spans="6:7" x14ac:dyDescent="0.35">
      <c r="F6078">
        <v>6073</v>
      </c>
      <c r="G6078" s="102">
        <f t="shared" ca="1" si="98"/>
        <v>-1.9297367453052813E-2</v>
      </c>
    </row>
    <row r="6079" spans="6:7" x14ac:dyDescent="0.35">
      <c r="F6079">
        <v>6074</v>
      </c>
      <c r="G6079" s="102">
        <f t="shared" ca="1" si="98"/>
        <v>1.6086968677256421E-2</v>
      </c>
    </row>
    <row r="6080" spans="6:7" x14ac:dyDescent="0.35">
      <c r="F6080">
        <v>6075</v>
      </c>
      <c r="G6080" s="102">
        <f t="shared" ca="1" si="98"/>
        <v>7.4925150242133892E-2</v>
      </c>
    </row>
    <row r="6081" spans="6:7" x14ac:dyDescent="0.35">
      <c r="F6081">
        <v>6076</v>
      </c>
      <c r="G6081" s="102">
        <f t="shared" ca="1" si="98"/>
        <v>4.345624267318127E-3</v>
      </c>
    </row>
    <row r="6082" spans="6:7" x14ac:dyDescent="0.35">
      <c r="F6082">
        <v>6077</v>
      </c>
      <c r="G6082" s="102">
        <f t="shared" ca="1" si="98"/>
        <v>-0.1111773378981518</v>
      </c>
    </row>
    <row r="6083" spans="6:7" x14ac:dyDescent="0.35">
      <c r="F6083">
        <v>6078</v>
      </c>
      <c r="G6083" s="102">
        <f t="shared" ca="1" si="98"/>
        <v>-1.2656267273013572E-2</v>
      </c>
    </row>
    <row r="6084" spans="6:7" x14ac:dyDescent="0.35">
      <c r="F6084">
        <v>6079</v>
      </c>
      <c r="G6084" s="102">
        <f t="shared" ca="1" si="98"/>
        <v>3.0965785007905391E-2</v>
      </c>
    </row>
    <row r="6085" spans="6:7" x14ac:dyDescent="0.35">
      <c r="F6085">
        <v>6080</v>
      </c>
      <c r="G6085" s="102">
        <f t="shared" ca="1" si="98"/>
        <v>2.8510001197198567E-3</v>
      </c>
    </row>
    <row r="6086" spans="6:7" x14ac:dyDescent="0.35">
      <c r="F6086">
        <v>6081</v>
      </c>
      <c r="G6086" s="102">
        <f t="shared" ca="1" si="98"/>
        <v>6.36229673441185E-2</v>
      </c>
    </row>
    <row r="6087" spans="6:7" x14ac:dyDescent="0.35">
      <c r="F6087">
        <v>6082</v>
      </c>
      <c r="G6087" s="102">
        <f t="shared" ref="G6087:G6150" ca="1" si="99">_xlfn.NORM.INV(RAND(),M$9,M$10)</f>
        <v>-1.0297833722927139E-2</v>
      </c>
    </row>
    <row r="6088" spans="6:7" x14ac:dyDescent="0.35">
      <c r="F6088">
        <v>6083</v>
      </c>
      <c r="G6088" s="102">
        <f t="shared" ca="1" si="99"/>
        <v>2.9926655381052967E-2</v>
      </c>
    </row>
    <row r="6089" spans="6:7" x14ac:dyDescent="0.35">
      <c r="F6089">
        <v>6084</v>
      </c>
      <c r="G6089" s="102">
        <f t="shared" ca="1" si="99"/>
        <v>0.11149013194389189</v>
      </c>
    </row>
    <row r="6090" spans="6:7" x14ac:dyDescent="0.35">
      <c r="F6090">
        <v>6085</v>
      </c>
      <c r="G6090" s="102">
        <f t="shared" ca="1" si="99"/>
        <v>3.3275878939952208E-2</v>
      </c>
    </row>
    <row r="6091" spans="6:7" x14ac:dyDescent="0.35">
      <c r="F6091">
        <v>6086</v>
      </c>
      <c r="G6091" s="102">
        <f t="shared" ca="1" si="99"/>
        <v>-4.610378273309472E-2</v>
      </c>
    </row>
    <row r="6092" spans="6:7" x14ac:dyDescent="0.35">
      <c r="F6092">
        <v>6087</v>
      </c>
      <c r="G6092" s="102">
        <f t="shared" ca="1" si="99"/>
        <v>-7.5947020505510221E-2</v>
      </c>
    </row>
    <row r="6093" spans="6:7" x14ac:dyDescent="0.35">
      <c r="F6093">
        <v>6088</v>
      </c>
      <c r="G6093" s="102">
        <f t="shared" ca="1" si="99"/>
        <v>7.5445531813728789E-2</v>
      </c>
    </row>
    <row r="6094" spans="6:7" x14ac:dyDescent="0.35">
      <c r="F6094">
        <v>6089</v>
      </c>
      <c r="G6094" s="102">
        <f t="shared" ca="1" si="99"/>
        <v>-1.6602262090308691E-2</v>
      </c>
    </row>
    <row r="6095" spans="6:7" x14ac:dyDescent="0.35">
      <c r="F6095">
        <v>6090</v>
      </c>
      <c r="G6095" s="102">
        <f t="shared" ca="1" si="99"/>
        <v>3.1898275150261904E-2</v>
      </c>
    </row>
    <row r="6096" spans="6:7" x14ac:dyDescent="0.35">
      <c r="F6096">
        <v>6091</v>
      </c>
      <c r="G6096" s="102">
        <f t="shared" ca="1" si="99"/>
        <v>2.9152333765333192E-2</v>
      </c>
    </row>
    <row r="6097" spans="6:7" x14ac:dyDescent="0.35">
      <c r="F6097">
        <v>6092</v>
      </c>
      <c r="G6097" s="102">
        <f t="shared" ca="1" si="99"/>
        <v>2.2149594118802733E-2</v>
      </c>
    </row>
    <row r="6098" spans="6:7" x14ac:dyDescent="0.35">
      <c r="F6098">
        <v>6093</v>
      </c>
      <c r="G6098" s="102">
        <f t="shared" ca="1" si="99"/>
        <v>-3.034597691224751E-2</v>
      </c>
    </row>
    <row r="6099" spans="6:7" x14ac:dyDescent="0.35">
      <c r="F6099">
        <v>6094</v>
      </c>
      <c r="G6099" s="102">
        <f t="shared" ca="1" si="99"/>
        <v>-1.4738788977952388E-2</v>
      </c>
    </row>
    <row r="6100" spans="6:7" x14ac:dyDescent="0.35">
      <c r="F6100">
        <v>6095</v>
      </c>
      <c r="G6100" s="102">
        <f t="shared" ca="1" si="99"/>
        <v>1.6892742581592811E-2</v>
      </c>
    </row>
    <row r="6101" spans="6:7" x14ac:dyDescent="0.35">
      <c r="F6101">
        <v>6096</v>
      </c>
      <c r="G6101" s="102">
        <f t="shared" ca="1" si="99"/>
        <v>-7.7855069976399141E-2</v>
      </c>
    </row>
    <row r="6102" spans="6:7" x14ac:dyDescent="0.35">
      <c r="F6102">
        <v>6097</v>
      </c>
      <c r="G6102" s="102">
        <f t="shared" ca="1" si="99"/>
        <v>-4.1680936904522028E-2</v>
      </c>
    </row>
    <row r="6103" spans="6:7" x14ac:dyDescent="0.35">
      <c r="F6103">
        <v>6098</v>
      </c>
      <c r="G6103" s="102">
        <f t="shared" ca="1" si="99"/>
        <v>-1.2379612568393435E-2</v>
      </c>
    </row>
    <row r="6104" spans="6:7" x14ac:dyDescent="0.35">
      <c r="F6104">
        <v>6099</v>
      </c>
      <c r="G6104" s="102">
        <f t="shared" ca="1" si="99"/>
        <v>3.5453864389903778E-2</v>
      </c>
    </row>
    <row r="6105" spans="6:7" x14ac:dyDescent="0.35">
      <c r="F6105">
        <v>6100</v>
      </c>
      <c r="G6105" s="102">
        <f t="shared" ca="1" si="99"/>
        <v>-3.4026656720334378E-2</v>
      </c>
    </row>
    <row r="6106" spans="6:7" x14ac:dyDescent="0.35">
      <c r="F6106">
        <v>6101</v>
      </c>
      <c r="G6106" s="102">
        <f t="shared" ca="1" si="99"/>
        <v>-0.11269113693268459</v>
      </c>
    </row>
    <row r="6107" spans="6:7" x14ac:dyDescent="0.35">
      <c r="F6107">
        <v>6102</v>
      </c>
      <c r="G6107" s="102">
        <f t="shared" ca="1" si="99"/>
        <v>-8.7904938456276796E-2</v>
      </c>
    </row>
    <row r="6108" spans="6:7" x14ac:dyDescent="0.35">
      <c r="F6108">
        <v>6103</v>
      </c>
      <c r="G6108" s="102">
        <f t="shared" ca="1" si="99"/>
        <v>-2.4408518886269808E-2</v>
      </c>
    </row>
    <row r="6109" spans="6:7" x14ac:dyDescent="0.35">
      <c r="F6109">
        <v>6104</v>
      </c>
      <c r="G6109" s="102">
        <f t="shared" ca="1" si="99"/>
        <v>1.4860229165556911E-2</v>
      </c>
    </row>
    <row r="6110" spans="6:7" x14ac:dyDescent="0.35">
      <c r="F6110">
        <v>6105</v>
      </c>
      <c r="G6110" s="102">
        <f t="shared" ca="1" si="99"/>
        <v>-3.6182776579324859E-4</v>
      </c>
    </row>
    <row r="6111" spans="6:7" x14ac:dyDescent="0.35">
      <c r="F6111">
        <v>6106</v>
      </c>
      <c r="G6111" s="102">
        <f t="shared" ca="1" si="99"/>
        <v>-0.24004914039383615</v>
      </c>
    </row>
    <row r="6112" spans="6:7" x14ac:dyDescent="0.35">
      <c r="F6112">
        <v>6107</v>
      </c>
      <c r="G6112" s="102">
        <f t="shared" ca="1" si="99"/>
        <v>2.0407142715285424E-2</v>
      </c>
    </row>
    <row r="6113" spans="6:7" x14ac:dyDescent="0.35">
      <c r="F6113">
        <v>6108</v>
      </c>
      <c r="G6113" s="102">
        <f t="shared" ca="1" si="99"/>
        <v>4.1346905592528155E-2</v>
      </c>
    </row>
    <row r="6114" spans="6:7" x14ac:dyDescent="0.35">
      <c r="F6114">
        <v>6109</v>
      </c>
      <c r="G6114" s="102">
        <f t="shared" ca="1" si="99"/>
        <v>6.4937920212084901E-2</v>
      </c>
    </row>
    <row r="6115" spans="6:7" x14ac:dyDescent="0.35">
      <c r="F6115">
        <v>6110</v>
      </c>
      <c r="G6115" s="102">
        <f t="shared" ca="1" si="99"/>
        <v>-3.9350497873196E-2</v>
      </c>
    </row>
    <row r="6116" spans="6:7" x14ac:dyDescent="0.35">
      <c r="F6116">
        <v>6111</v>
      </c>
      <c r="G6116" s="102">
        <f t="shared" ca="1" si="99"/>
        <v>-4.9466146732905419E-2</v>
      </c>
    </row>
    <row r="6117" spans="6:7" x14ac:dyDescent="0.35">
      <c r="F6117">
        <v>6112</v>
      </c>
      <c r="G6117" s="102">
        <f t="shared" ca="1" si="99"/>
        <v>5.6083381972083943E-2</v>
      </c>
    </row>
    <row r="6118" spans="6:7" x14ac:dyDescent="0.35">
      <c r="F6118">
        <v>6113</v>
      </c>
      <c r="G6118" s="102">
        <f t="shared" ca="1" si="99"/>
        <v>-6.4441990546897105E-3</v>
      </c>
    </row>
    <row r="6119" spans="6:7" x14ac:dyDescent="0.35">
      <c r="F6119">
        <v>6114</v>
      </c>
      <c r="G6119" s="102">
        <f t="shared" ca="1" si="99"/>
        <v>-6.1785839685834038E-2</v>
      </c>
    </row>
    <row r="6120" spans="6:7" x14ac:dyDescent="0.35">
      <c r="F6120">
        <v>6115</v>
      </c>
      <c r="G6120" s="102">
        <f t="shared" ca="1" si="99"/>
        <v>-2.4802718829032656E-2</v>
      </c>
    </row>
    <row r="6121" spans="6:7" x14ac:dyDescent="0.35">
      <c r="F6121">
        <v>6116</v>
      </c>
      <c r="G6121" s="102">
        <f t="shared" ca="1" si="99"/>
        <v>5.5845889669333598E-2</v>
      </c>
    </row>
    <row r="6122" spans="6:7" x14ac:dyDescent="0.35">
      <c r="F6122">
        <v>6117</v>
      </c>
      <c r="G6122" s="102">
        <f t="shared" ca="1" si="99"/>
        <v>3.0489701295387927E-2</v>
      </c>
    </row>
    <row r="6123" spans="6:7" x14ac:dyDescent="0.35">
      <c r="F6123">
        <v>6118</v>
      </c>
      <c r="G6123" s="102">
        <f t="shared" ca="1" si="99"/>
        <v>6.7170793094204387E-2</v>
      </c>
    </row>
    <row r="6124" spans="6:7" x14ac:dyDescent="0.35">
      <c r="F6124">
        <v>6119</v>
      </c>
      <c r="G6124" s="102">
        <f t="shared" ca="1" si="99"/>
        <v>-2.5749968144172585E-2</v>
      </c>
    </row>
    <row r="6125" spans="6:7" x14ac:dyDescent="0.35">
      <c r="F6125">
        <v>6120</v>
      </c>
      <c r="G6125" s="102">
        <f t="shared" ca="1" si="99"/>
        <v>-4.4355903324704404E-2</v>
      </c>
    </row>
    <row r="6126" spans="6:7" x14ac:dyDescent="0.35">
      <c r="F6126">
        <v>6121</v>
      </c>
      <c r="G6126" s="102">
        <f t="shared" ca="1" si="99"/>
        <v>8.6179864762343877E-2</v>
      </c>
    </row>
    <row r="6127" spans="6:7" x14ac:dyDescent="0.35">
      <c r="F6127">
        <v>6122</v>
      </c>
      <c r="G6127" s="102">
        <f t="shared" ca="1" si="99"/>
        <v>-4.59575065017159E-2</v>
      </c>
    </row>
    <row r="6128" spans="6:7" x14ac:dyDescent="0.35">
      <c r="F6128">
        <v>6123</v>
      </c>
      <c r="G6128" s="102">
        <f t="shared" ca="1" si="99"/>
        <v>-2.3057130580055801E-2</v>
      </c>
    </row>
    <row r="6129" spans="6:7" x14ac:dyDescent="0.35">
      <c r="F6129">
        <v>6124</v>
      </c>
      <c r="G6129" s="102">
        <f t="shared" ca="1" si="99"/>
        <v>5.8267467507480838E-2</v>
      </c>
    </row>
    <row r="6130" spans="6:7" x14ac:dyDescent="0.35">
      <c r="F6130">
        <v>6125</v>
      </c>
      <c r="G6130" s="102">
        <f t="shared" ca="1" si="99"/>
        <v>-4.2617393257031566E-2</v>
      </c>
    </row>
    <row r="6131" spans="6:7" x14ac:dyDescent="0.35">
      <c r="F6131">
        <v>6126</v>
      </c>
      <c r="G6131" s="102">
        <f t="shared" ca="1" si="99"/>
        <v>3.1213548370785139E-3</v>
      </c>
    </row>
    <row r="6132" spans="6:7" x14ac:dyDescent="0.35">
      <c r="F6132">
        <v>6127</v>
      </c>
      <c r="G6132" s="102">
        <f t="shared" ca="1" si="99"/>
        <v>-0.10107245378614209</v>
      </c>
    </row>
    <row r="6133" spans="6:7" x14ac:dyDescent="0.35">
      <c r="F6133">
        <v>6128</v>
      </c>
      <c r="G6133" s="102">
        <f t="shared" ca="1" si="99"/>
        <v>9.4696285227921211E-3</v>
      </c>
    </row>
    <row r="6134" spans="6:7" x14ac:dyDescent="0.35">
      <c r="F6134">
        <v>6129</v>
      </c>
      <c r="G6134" s="102">
        <f t="shared" ca="1" si="99"/>
        <v>7.3914026540260885E-5</v>
      </c>
    </row>
    <row r="6135" spans="6:7" x14ac:dyDescent="0.35">
      <c r="F6135">
        <v>6130</v>
      </c>
      <c r="G6135" s="102">
        <f t="shared" ca="1" si="99"/>
        <v>6.1608010151431594E-2</v>
      </c>
    </row>
    <row r="6136" spans="6:7" x14ac:dyDescent="0.35">
      <c r="F6136">
        <v>6131</v>
      </c>
      <c r="G6136" s="102">
        <f t="shared" ca="1" si="99"/>
        <v>-3.361494132331995E-2</v>
      </c>
    </row>
    <row r="6137" spans="6:7" x14ac:dyDescent="0.35">
      <c r="F6137">
        <v>6132</v>
      </c>
      <c r="G6137" s="102">
        <f t="shared" ca="1" si="99"/>
        <v>-4.6493385715909566E-2</v>
      </c>
    </row>
    <row r="6138" spans="6:7" x14ac:dyDescent="0.35">
      <c r="F6138">
        <v>6133</v>
      </c>
      <c r="G6138" s="102">
        <f t="shared" ca="1" si="99"/>
        <v>-3.3307559820179938E-2</v>
      </c>
    </row>
    <row r="6139" spans="6:7" x14ac:dyDescent="0.35">
      <c r="F6139">
        <v>6134</v>
      </c>
      <c r="G6139" s="102">
        <f t="shared" ca="1" si="99"/>
        <v>-4.6133861453604041E-2</v>
      </c>
    </row>
    <row r="6140" spans="6:7" x14ac:dyDescent="0.35">
      <c r="F6140">
        <v>6135</v>
      </c>
      <c r="G6140" s="102">
        <f t="shared" ca="1" si="99"/>
        <v>2.5004336125713971E-3</v>
      </c>
    </row>
    <row r="6141" spans="6:7" x14ac:dyDescent="0.35">
      <c r="F6141">
        <v>6136</v>
      </c>
      <c r="G6141" s="102">
        <f t="shared" ca="1" si="99"/>
        <v>0.11497534724225941</v>
      </c>
    </row>
    <row r="6142" spans="6:7" x14ac:dyDescent="0.35">
      <c r="F6142">
        <v>6137</v>
      </c>
      <c r="G6142" s="102">
        <f t="shared" ca="1" si="99"/>
        <v>7.5379281238713482E-3</v>
      </c>
    </row>
    <row r="6143" spans="6:7" x14ac:dyDescent="0.35">
      <c r="F6143">
        <v>6138</v>
      </c>
      <c r="G6143" s="102">
        <f t="shared" ca="1" si="99"/>
        <v>5.7950470215566055E-2</v>
      </c>
    </row>
    <row r="6144" spans="6:7" x14ac:dyDescent="0.35">
      <c r="F6144">
        <v>6139</v>
      </c>
      <c r="G6144" s="102">
        <f t="shared" ca="1" si="99"/>
        <v>4.7950514910085548E-2</v>
      </c>
    </row>
    <row r="6145" spans="6:7" x14ac:dyDescent="0.35">
      <c r="F6145">
        <v>6140</v>
      </c>
      <c r="G6145" s="102">
        <f t="shared" ca="1" si="99"/>
        <v>7.2911209224921253E-2</v>
      </c>
    </row>
    <row r="6146" spans="6:7" x14ac:dyDescent="0.35">
      <c r="F6146">
        <v>6141</v>
      </c>
      <c r="G6146" s="102">
        <f t="shared" ca="1" si="99"/>
        <v>-9.7974769795862414E-3</v>
      </c>
    </row>
    <row r="6147" spans="6:7" x14ac:dyDescent="0.35">
      <c r="F6147">
        <v>6142</v>
      </c>
      <c r="G6147" s="102">
        <f t="shared" ca="1" si="99"/>
        <v>1.8751318453384777E-2</v>
      </c>
    </row>
    <row r="6148" spans="6:7" x14ac:dyDescent="0.35">
      <c r="F6148">
        <v>6143</v>
      </c>
      <c r="G6148" s="102">
        <f t="shared" ca="1" si="99"/>
        <v>-7.5832451858632188E-2</v>
      </c>
    </row>
    <row r="6149" spans="6:7" x14ac:dyDescent="0.35">
      <c r="F6149">
        <v>6144</v>
      </c>
      <c r="G6149" s="102">
        <f t="shared" ca="1" si="99"/>
        <v>4.3934395487142092E-2</v>
      </c>
    </row>
    <row r="6150" spans="6:7" x14ac:dyDescent="0.35">
      <c r="F6150">
        <v>6145</v>
      </c>
      <c r="G6150" s="102">
        <f t="shared" ca="1" si="99"/>
        <v>2.6902347031439001E-2</v>
      </c>
    </row>
    <row r="6151" spans="6:7" x14ac:dyDescent="0.35">
      <c r="F6151">
        <v>6146</v>
      </c>
      <c r="G6151" s="102">
        <f t="shared" ref="G6151:G6214" ca="1" si="100">_xlfn.NORM.INV(RAND(),M$9,M$10)</f>
        <v>-3.5295028261219264E-4</v>
      </c>
    </row>
    <row r="6152" spans="6:7" x14ac:dyDescent="0.35">
      <c r="F6152">
        <v>6147</v>
      </c>
      <c r="G6152" s="102">
        <f t="shared" ca="1" si="100"/>
        <v>-1.0698718738978673E-2</v>
      </c>
    </row>
    <row r="6153" spans="6:7" x14ac:dyDescent="0.35">
      <c r="F6153">
        <v>6148</v>
      </c>
      <c r="G6153" s="102">
        <f t="shared" ca="1" si="100"/>
        <v>-9.4034838932729153E-2</v>
      </c>
    </row>
    <row r="6154" spans="6:7" x14ac:dyDescent="0.35">
      <c r="F6154">
        <v>6149</v>
      </c>
      <c r="G6154" s="102">
        <f t="shared" ca="1" si="100"/>
        <v>-9.9081374345527259E-2</v>
      </c>
    </row>
    <row r="6155" spans="6:7" x14ac:dyDescent="0.35">
      <c r="F6155">
        <v>6150</v>
      </c>
      <c r="G6155" s="102">
        <f t="shared" ca="1" si="100"/>
        <v>3.6049976472720527E-2</v>
      </c>
    </row>
    <row r="6156" spans="6:7" x14ac:dyDescent="0.35">
      <c r="F6156">
        <v>6151</v>
      </c>
      <c r="G6156" s="102">
        <f t="shared" ca="1" si="100"/>
        <v>-1.5806713063819068E-2</v>
      </c>
    </row>
    <row r="6157" spans="6:7" x14ac:dyDescent="0.35">
      <c r="F6157">
        <v>6152</v>
      </c>
      <c r="G6157" s="102">
        <f t="shared" ca="1" si="100"/>
        <v>6.3906804532395139E-2</v>
      </c>
    </row>
    <row r="6158" spans="6:7" x14ac:dyDescent="0.35">
      <c r="F6158">
        <v>6153</v>
      </c>
      <c r="G6158" s="102">
        <f t="shared" ca="1" si="100"/>
        <v>-0.13196532034893585</v>
      </c>
    </row>
    <row r="6159" spans="6:7" x14ac:dyDescent="0.35">
      <c r="F6159">
        <v>6154</v>
      </c>
      <c r="G6159" s="102">
        <f t="shared" ca="1" si="100"/>
        <v>-1.4764585098660658E-2</v>
      </c>
    </row>
    <row r="6160" spans="6:7" x14ac:dyDescent="0.35">
      <c r="F6160">
        <v>6155</v>
      </c>
      <c r="G6160" s="102">
        <f t="shared" ca="1" si="100"/>
        <v>-3.5583263531691361E-2</v>
      </c>
    </row>
    <row r="6161" spans="6:7" x14ac:dyDescent="0.35">
      <c r="F6161">
        <v>6156</v>
      </c>
      <c r="G6161" s="102">
        <f t="shared" ca="1" si="100"/>
        <v>3.6993490817575428E-2</v>
      </c>
    </row>
    <row r="6162" spans="6:7" x14ac:dyDescent="0.35">
      <c r="F6162">
        <v>6157</v>
      </c>
      <c r="G6162" s="102">
        <f t="shared" ca="1" si="100"/>
        <v>-2.6476944655519977E-2</v>
      </c>
    </row>
    <row r="6163" spans="6:7" x14ac:dyDescent="0.35">
      <c r="F6163">
        <v>6158</v>
      </c>
      <c r="G6163" s="102">
        <f t="shared" ca="1" si="100"/>
        <v>4.9138119661254649E-4</v>
      </c>
    </row>
    <row r="6164" spans="6:7" x14ac:dyDescent="0.35">
      <c r="F6164">
        <v>6159</v>
      </c>
      <c r="G6164" s="102">
        <f t="shared" ca="1" si="100"/>
        <v>1.1054536581827999E-2</v>
      </c>
    </row>
    <row r="6165" spans="6:7" x14ac:dyDescent="0.35">
      <c r="F6165">
        <v>6160</v>
      </c>
      <c r="G6165" s="102">
        <f t="shared" ca="1" si="100"/>
        <v>2.9496006338240659E-2</v>
      </c>
    </row>
    <row r="6166" spans="6:7" x14ac:dyDescent="0.35">
      <c r="F6166">
        <v>6161</v>
      </c>
      <c r="G6166" s="102">
        <f t="shared" ca="1" si="100"/>
        <v>4.8747277606315087E-2</v>
      </c>
    </row>
    <row r="6167" spans="6:7" x14ac:dyDescent="0.35">
      <c r="F6167">
        <v>6162</v>
      </c>
      <c r="G6167" s="102">
        <f t="shared" ca="1" si="100"/>
        <v>-1.3166448701606385E-2</v>
      </c>
    </row>
    <row r="6168" spans="6:7" x14ac:dyDescent="0.35">
      <c r="F6168">
        <v>6163</v>
      </c>
      <c r="G6168" s="102">
        <f t="shared" ca="1" si="100"/>
        <v>-0.1727805574198662</v>
      </c>
    </row>
    <row r="6169" spans="6:7" x14ac:dyDescent="0.35">
      <c r="F6169">
        <v>6164</v>
      </c>
      <c r="G6169" s="102">
        <f t="shared" ca="1" si="100"/>
        <v>-4.6154406542614393E-2</v>
      </c>
    </row>
    <row r="6170" spans="6:7" x14ac:dyDescent="0.35">
      <c r="F6170">
        <v>6165</v>
      </c>
      <c r="G6170" s="102">
        <f t="shared" ca="1" si="100"/>
        <v>1.9290331230162874E-3</v>
      </c>
    </row>
    <row r="6171" spans="6:7" x14ac:dyDescent="0.35">
      <c r="F6171">
        <v>6166</v>
      </c>
      <c r="G6171" s="102">
        <f t="shared" ca="1" si="100"/>
        <v>1.5745661263692725E-2</v>
      </c>
    </row>
    <row r="6172" spans="6:7" x14ac:dyDescent="0.35">
      <c r="F6172">
        <v>6167</v>
      </c>
      <c r="G6172" s="102">
        <f t="shared" ca="1" si="100"/>
        <v>-1.9708487279139538E-2</v>
      </c>
    </row>
    <row r="6173" spans="6:7" x14ac:dyDescent="0.35">
      <c r="F6173">
        <v>6168</v>
      </c>
      <c r="G6173" s="102">
        <f t="shared" ca="1" si="100"/>
        <v>-2.8812980155666197E-2</v>
      </c>
    </row>
    <row r="6174" spans="6:7" x14ac:dyDescent="0.35">
      <c r="F6174">
        <v>6169</v>
      </c>
      <c r="G6174" s="102">
        <f t="shared" ca="1" si="100"/>
        <v>5.3246528254729131E-4</v>
      </c>
    </row>
    <row r="6175" spans="6:7" x14ac:dyDescent="0.35">
      <c r="F6175">
        <v>6170</v>
      </c>
      <c r="G6175" s="102">
        <f t="shared" ca="1" si="100"/>
        <v>5.8686595625607352E-2</v>
      </c>
    </row>
    <row r="6176" spans="6:7" x14ac:dyDescent="0.35">
      <c r="F6176">
        <v>6171</v>
      </c>
      <c r="G6176" s="102">
        <f t="shared" ca="1" si="100"/>
        <v>4.2017786852485958E-2</v>
      </c>
    </row>
    <row r="6177" spans="6:7" x14ac:dyDescent="0.35">
      <c r="F6177">
        <v>6172</v>
      </c>
      <c r="G6177" s="102">
        <f t="shared" ca="1" si="100"/>
        <v>8.1069188746881293E-2</v>
      </c>
    </row>
    <row r="6178" spans="6:7" x14ac:dyDescent="0.35">
      <c r="F6178">
        <v>6173</v>
      </c>
      <c r="G6178" s="102">
        <f t="shared" ca="1" si="100"/>
        <v>3.35832321535256E-2</v>
      </c>
    </row>
    <row r="6179" spans="6:7" x14ac:dyDescent="0.35">
      <c r="F6179">
        <v>6174</v>
      </c>
      <c r="G6179" s="102">
        <f t="shared" ca="1" si="100"/>
        <v>-3.2904157367642163E-2</v>
      </c>
    </row>
    <row r="6180" spans="6:7" x14ac:dyDescent="0.35">
      <c r="F6180">
        <v>6175</v>
      </c>
      <c r="G6180" s="102">
        <f t="shared" ca="1" si="100"/>
        <v>-4.2442360834963569E-2</v>
      </c>
    </row>
    <row r="6181" spans="6:7" x14ac:dyDescent="0.35">
      <c r="F6181">
        <v>6176</v>
      </c>
      <c r="G6181" s="102">
        <f t="shared" ca="1" si="100"/>
        <v>5.5824547888279646E-2</v>
      </c>
    </row>
    <row r="6182" spans="6:7" x14ac:dyDescent="0.35">
      <c r="F6182">
        <v>6177</v>
      </c>
      <c r="G6182" s="102">
        <f t="shared" ca="1" si="100"/>
        <v>0.12048193671746517</v>
      </c>
    </row>
    <row r="6183" spans="6:7" x14ac:dyDescent="0.35">
      <c r="F6183">
        <v>6178</v>
      </c>
      <c r="G6183" s="102">
        <f t="shared" ca="1" si="100"/>
        <v>6.6412210758973994E-2</v>
      </c>
    </row>
    <row r="6184" spans="6:7" x14ac:dyDescent="0.35">
      <c r="F6184">
        <v>6179</v>
      </c>
      <c r="G6184" s="102">
        <f t="shared" ca="1" si="100"/>
        <v>2.5349766821428702E-2</v>
      </c>
    </row>
    <row r="6185" spans="6:7" x14ac:dyDescent="0.35">
      <c r="F6185">
        <v>6180</v>
      </c>
      <c r="G6185" s="102">
        <f t="shared" ca="1" si="100"/>
        <v>-3.8297011291919545E-3</v>
      </c>
    </row>
    <row r="6186" spans="6:7" x14ac:dyDescent="0.35">
      <c r="F6186">
        <v>6181</v>
      </c>
      <c r="G6186" s="102">
        <f t="shared" ca="1" si="100"/>
        <v>1.5330026162817565E-2</v>
      </c>
    </row>
    <row r="6187" spans="6:7" x14ac:dyDescent="0.35">
      <c r="F6187">
        <v>6182</v>
      </c>
      <c r="G6187" s="102">
        <f t="shared" ca="1" si="100"/>
        <v>2.9748143200565211E-2</v>
      </c>
    </row>
    <row r="6188" spans="6:7" x14ac:dyDescent="0.35">
      <c r="F6188">
        <v>6183</v>
      </c>
      <c r="G6188" s="102">
        <f t="shared" ca="1" si="100"/>
        <v>-2.7962224912486306E-2</v>
      </c>
    </row>
    <row r="6189" spans="6:7" x14ac:dyDescent="0.35">
      <c r="F6189">
        <v>6184</v>
      </c>
      <c r="G6189" s="102">
        <f t="shared" ca="1" si="100"/>
        <v>-5.9464740144990341E-2</v>
      </c>
    </row>
    <row r="6190" spans="6:7" x14ac:dyDescent="0.35">
      <c r="F6190">
        <v>6185</v>
      </c>
      <c r="G6190" s="102">
        <f t="shared" ca="1" si="100"/>
        <v>4.0433052702565378E-2</v>
      </c>
    </row>
    <row r="6191" spans="6:7" x14ac:dyDescent="0.35">
      <c r="F6191">
        <v>6186</v>
      </c>
      <c r="G6191" s="102">
        <f t="shared" ca="1" si="100"/>
        <v>-4.7402202108436417E-2</v>
      </c>
    </row>
    <row r="6192" spans="6:7" x14ac:dyDescent="0.35">
      <c r="F6192">
        <v>6187</v>
      </c>
      <c r="G6192" s="102">
        <f t="shared" ca="1" si="100"/>
        <v>-4.7634366952204354E-2</v>
      </c>
    </row>
    <row r="6193" spans="6:7" x14ac:dyDescent="0.35">
      <c r="F6193">
        <v>6188</v>
      </c>
      <c r="G6193" s="102">
        <f t="shared" ca="1" si="100"/>
        <v>2.942176752230324E-2</v>
      </c>
    </row>
    <row r="6194" spans="6:7" x14ac:dyDescent="0.35">
      <c r="F6194">
        <v>6189</v>
      </c>
      <c r="G6194" s="102">
        <f t="shared" ca="1" si="100"/>
        <v>-6.1503911189070282E-2</v>
      </c>
    </row>
    <row r="6195" spans="6:7" x14ac:dyDescent="0.35">
      <c r="F6195">
        <v>6190</v>
      </c>
      <c r="G6195" s="102">
        <f t="shared" ca="1" si="100"/>
        <v>8.156528731978363E-3</v>
      </c>
    </row>
    <row r="6196" spans="6:7" x14ac:dyDescent="0.35">
      <c r="F6196">
        <v>6191</v>
      </c>
      <c r="G6196" s="102">
        <f t="shared" ca="1" si="100"/>
        <v>6.5686509244300514E-2</v>
      </c>
    </row>
    <row r="6197" spans="6:7" x14ac:dyDescent="0.35">
      <c r="F6197">
        <v>6192</v>
      </c>
      <c r="G6197" s="102">
        <f t="shared" ca="1" si="100"/>
        <v>3.9649794525121462E-2</v>
      </c>
    </row>
    <row r="6198" spans="6:7" x14ac:dyDescent="0.35">
      <c r="F6198">
        <v>6193</v>
      </c>
      <c r="G6198" s="102">
        <f t="shared" ca="1" si="100"/>
        <v>-6.6107739069170363E-2</v>
      </c>
    </row>
    <row r="6199" spans="6:7" x14ac:dyDescent="0.35">
      <c r="F6199">
        <v>6194</v>
      </c>
      <c r="G6199" s="102">
        <f t="shared" ca="1" si="100"/>
        <v>-4.3205999584454452E-2</v>
      </c>
    </row>
    <row r="6200" spans="6:7" x14ac:dyDescent="0.35">
      <c r="F6200">
        <v>6195</v>
      </c>
      <c r="G6200" s="102">
        <f t="shared" ca="1" si="100"/>
        <v>2.0064225016127903E-2</v>
      </c>
    </row>
    <row r="6201" spans="6:7" x14ac:dyDescent="0.35">
      <c r="F6201">
        <v>6196</v>
      </c>
      <c r="G6201" s="102">
        <f t="shared" ca="1" si="100"/>
        <v>-8.5668571818781222E-2</v>
      </c>
    </row>
    <row r="6202" spans="6:7" x14ac:dyDescent="0.35">
      <c r="F6202">
        <v>6197</v>
      </c>
      <c r="G6202" s="102">
        <f t="shared" ca="1" si="100"/>
        <v>2.5654698766169624E-2</v>
      </c>
    </row>
    <row r="6203" spans="6:7" x14ac:dyDescent="0.35">
      <c r="F6203">
        <v>6198</v>
      </c>
      <c r="G6203" s="102">
        <f t="shared" ca="1" si="100"/>
        <v>-0.11868019586738285</v>
      </c>
    </row>
    <row r="6204" spans="6:7" x14ac:dyDescent="0.35">
      <c r="F6204">
        <v>6199</v>
      </c>
      <c r="G6204" s="102">
        <f t="shared" ca="1" si="100"/>
        <v>2.1052161884776165E-2</v>
      </c>
    </row>
    <row r="6205" spans="6:7" x14ac:dyDescent="0.35">
      <c r="F6205">
        <v>6200</v>
      </c>
      <c r="G6205" s="102">
        <f t="shared" ca="1" si="100"/>
        <v>-8.5932201536341291E-2</v>
      </c>
    </row>
    <row r="6206" spans="6:7" x14ac:dyDescent="0.35">
      <c r="F6206">
        <v>6201</v>
      </c>
      <c r="G6206" s="102">
        <f t="shared" ca="1" si="100"/>
        <v>-9.7820059228443459E-2</v>
      </c>
    </row>
    <row r="6207" spans="6:7" x14ac:dyDescent="0.35">
      <c r="F6207">
        <v>6202</v>
      </c>
      <c r="G6207" s="102">
        <f t="shared" ca="1" si="100"/>
        <v>-2.8341722323739611E-2</v>
      </c>
    </row>
    <row r="6208" spans="6:7" x14ac:dyDescent="0.35">
      <c r="F6208">
        <v>6203</v>
      </c>
      <c r="G6208" s="102">
        <f t="shared" ca="1" si="100"/>
        <v>-2.4392278770366711E-2</v>
      </c>
    </row>
    <row r="6209" spans="6:7" x14ac:dyDescent="0.35">
      <c r="F6209">
        <v>6204</v>
      </c>
      <c r="G6209" s="102">
        <f t="shared" ca="1" si="100"/>
        <v>5.5264798333480594E-2</v>
      </c>
    </row>
    <row r="6210" spans="6:7" x14ac:dyDescent="0.35">
      <c r="F6210">
        <v>6205</v>
      </c>
      <c r="G6210" s="102">
        <f t="shared" ca="1" si="100"/>
        <v>1.5867478689388398E-2</v>
      </c>
    </row>
    <row r="6211" spans="6:7" x14ac:dyDescent="0.35">
      <c r="F6211">
        <v>6206</v>
      </c>
      <c r="G6211" s="102">
        <f t="shared" ca="1" si="100"/>
        <v>-2.9099773950524099E-2</v>
      </c>
    </row>
    <row r="6212" spans="6:7" x14ac:dyDescent="0.35">
      <c r="F6212">
        <v>6207</v>
      </c>
      <c r="G6212" s="102">
        <f t="shared" ca="1" si="100"/>
        <v>-3.8353490477809671E-2</v>
      </c>
    </row>
    <row r="6213" spans="6:7" x14ac:dyDescent="0.35">
      <c r="F6213">
        <v>6208</v>
      </c>
      <c r="G6213" s="102">
        <f t="shared" ca="1" si="100"/>
        <v>1.2306710760549705E-2</v>
      </c>
    </row>
    <row r="6214" spans="6:7" x14ac:dyDescent="0.35">
      <c r="F6214">
        <v>6209</v>
      </c>
      <c r="G6214" s="102">
        <f t="shared" ca="1" si="100"/>
        <v>0.16217946295903563</v>
      </c>
    </row>
    <row r="6215" spans="6:7" x14ac:dyDescent="0.35">
      <c r="F6215">
        <v>6210</v>
      </c>
      <c r="G6215" s="102">
        <f t="shared" ref="G6215:G6278" ca="1" si="101">_xlfn.NORM.INV(RAND(),M$9,M$10)</f>
        <v>-3.669860773476228E-3</v>
      </c>
    </row>
    <row r="6216" spans="6:7" x14ac:dyDescent="0.35">
      <c r="F6216">
        <v>6211</v>
      </c>
      <c r="G6216" s="102">
        <f t="shared" ca="1" si="101"/>
        <v>5.3589399250686773E-2</v>
      </c>
    </row>
    <row r="6217" spans="6:7" x14ac:dyDescent="0.35">
      <c r="F6217">
        <v>6212</v>
      </c>
      <c r="G6217" s="102">
        <f t="shared" ca="1" si="101"/>
        <v>5.9995927264738878E-4</v>
      </c>
    </row>
    <row r="6218" spans="6:7" x14ac:dyDescent="0.35">
      <c r="F6218">
        <v>6213</v>
      </c>
      <c r="G6218" s="102">
        <f t="shared" ca="1" si="101"/>
        <v>-3.9233044060950914E-3</v>
      </c>
    </row>
    <row r="6219" spans="6:7" x14ac:dyDescent="0.35">
      <c r="F6219">
        <v>6214</v>
      </c>
      <c r="G6219" s="102">
        <f t="shared" ca="1" si="101"/>
        <v>0.13776719164416223</v>
      </c>
    </row>
    <row r="6220" spans="6:7" x14ac:dyDescent="0.35">
      <c r="F6220">
        <v>6215</v>
      </c>
      <c r="G6220" s="102">
        <f t="shared" ca="1" si="101"/>
        <v>2.6790362357261153E-2</v>
      </c>
    </row>
    <row r="6221" spans="6:7" x14ac:dyDescent="0.35">
      <c r="F6221">
        <v>6216</v>
      </c>
      <c r="G6221" s="102">
        <f t="shared" ca="1" si="101"/>
        <v>4.3957674011466039E-2</v>
      </c>
    </row>
    <row r="6222" spans="6:7" x14ac:dyDescent="0.35">
      <c r="F6222">
        <v>6217</v>
      </c>
      <c r="G6222" s="102">
        <f t="shared" ca="1" si="101"/>
        <v>-1.0930288375176758E-2</v>
      </c>
    </row>
    <row r="6223" spans="6:7" x14ac:dyDescent="0.35">
      <c r="F6223">
        <v>6218</v>
      </c>
      <c r="G6223" s="102">
        <f t="shared" ca="1" si="101"/>
        <v>7.645614707424471E-2</v>
      </c>
    </row>
    <row r="6224" spans="6:7" x14ac:dyDescent="0.35">
      <c r="F6224">
        <v>6219</v>
      </c>
      <c r="G6224" s="102">
        <f t="shared" ca="1" si="101"/>
        <v>2.2241989899017305E-2</v>
      </c>
    </row>
    <row r="6225" spans="6:7" x14ac:dyDescent="0.35">
      <c r="F6225">
        <v>6220</v>
      </c>
      <c r="G6225" s="102">
        <f t="shared" ca="1" si="101"/>
        <v>-7.125909150306961E-4</v>
      </c>
    </row>
    <row r="6226" spans="6:7" x14ac:dyDescent="0.35">
      <c r="F6226">
        <v>6221</v>
      </c>
      <c r="G6226" s="102">
        <f t="shared" ca="1" si="101"/>
        <v>3.9681211339977568E-2</v>
      </c>
    </row>
    <row r="6227" spans="6:7" x14ac:dyDescent="0.35">
      <c r="F6227">
        <v>6222</v>
      </c>
      <c r="G6227" s="102">
        <f t="shared" ca="1" si="101"/>
        <v>-7.3873653595149649E-2</v>
      </c>
    </row>
    <row r="6228" spans="6:7" x14ac:dyDescent="0.35">
      <c r="F6228">
        <v>6223</v>
      </c>
      <c r="G6228" s="102">
        <f t="shared" ca="1" si="101"/>
        <v>0.10029702464491064</v>
      </c>
    </row>
    <row r="6229" spans="6:7" x14ac:dyDescent="0.35">
      <c r="F6229">
        <v>6224</v>
      </c>
      <c r="G6229" s="102">
        <f t="shared" ca="1" si="101"/>
        <v>1.1205988893999413E-2</v>
      </c>
    </row>
    <row r="6230" spans="6:7" x14ac:dyDescent="0.35">
      <c r="F6230">
        <v>6225</v>
      </c>
      <c r="G6230" s="102">
        <f t="shared" ca="1" si="101"/>
        <v>4.8134843622221618E-2</v>
      </c>
    </row>
    <row r="6231" spans="6:7" x14ac:dyDescent="0.35">
      <c r="F6231">
        <v>6226</v>
      </c>
      <c r="G6231" s="102">
        <f t="shared" ca="1" si="101"/>
        <v>0.10688327440600415</v>
      </c>
    </row>
    <row r="6232" spans="6:7" x14ac:dyDescent="0.35">
      <c r="F6232">
        <v>6227</v>
      </c>
      <c r="G6232" s="102">
        <f t="shared" ca="1" si="101"/>
        <v>9.6110943298720955E-3</v>
      </c>
    </row>
    <row r="6233" spans="6:7" x14ac:dyDescent="0.35">
      <c r="F6233">
        <v>6228</v>
      </c>
      <c r="G6233" s="102">
        <f t="shared" ca="1" si="101"/>
        <v>7.6806562072633006E-2</v>
      </c>
    </row>
    <row r="6234" spans="6:7" x14ac:dyDescent="0.35">
      <c r="F6234">
        <v>6229</v>
      </c>
      <c r="G6234" s="102">
        <f t="shared" ca="1" si="101"/>
        <v>-4.7018152971308779E-3</v>
      </c>
    </row>
    <row r="6235" spans="6:7" x14ac:dyDescent="0.35">
      <c r="F6235">
        <v>6230</v>
      </c>
      <c r="G6235" s="102">
        <f t="shared" ca="1" si="101"/>
        <v>3.8579831009562846E-2</v>
      </c>
    </row>
    <row r="6236" spans="6:7" x14ac:dyDescent="0.35">
      <c r="F6236">
        <v>6231</v>
      </c>
      <c r="G6236" s="102">
        <f t="shared" ca="1" si="101"/>
        <v>-1.3557133098944942E-2</v>
      </c>
    </row>
    <row r="6237" spans="6:7" x14ac:dyDescent="0.35">
      <c r="F6237">
        <v>6232</v>
      </c>
      <c r="G6237" s="102">
        <f t="shared" ca="1" si="101"/>
        <v>-2.9875470168130039E-2</v>
      </c>
    </row>
    <row r="6238" spans="6:7" x14ac:dyDescent="0.35">
      <c r="F6238">
        <v>6233</v>
      </c>
      <c r="G6238" s="102">
        <f t="shared" ca="1" si="101"/>
        <v>-1.1553180143035337E-2</v>
      </c>
    </row>
    <row r="6239" spans="6:7" x14ac:dyDescent="0.35">
      <c r="F6239">
        <v>6234</v>
      </c>
      <c r="G6239" s="102">
        <f t="shared" ca="1" si="101"/>
        <v>7.9367689466270083E-2</v>
      </c>
    </row>
    <row r="6240" spans="6:7" x14ac:dyDescent="0.35">
      <c r="F6240">
        <v>6235</v>
      </c>
      <c r="G6240" s="102">
        <f t="shared" ca="1" si="101"/>
        <v>-5.0180900085193721E-3</v>
      </c>
    </row>
    <row r="6241" spans="6:7" x14ac:dyDescent="0.35">
      <c r="F6241">
        <v>6236</v>
      </c>
      <c r="G6241" s="102">
        <f t="shared" ca="1" si="101"/>
        <v>-7.2029174678950411E-2</v>
      </c>
    </row>
    <row r="6242" spans="6:7" x14ac:dyDescent="0.35">
      <c r="F6242">
        <v>6237</v>
      </c>
      <c r="G6242" s="102">
        <f t="shared" ca="1" si="101"/>
        <v>-6.6768102449077493E-2</v>
      </c>
    </row>
    <row r="6243" spans="6:7" x14ac:dyDescent="0.35">
      <c r="F6243">
        <v>6238</v>
      </c>
      <c r="G6243" s="102">
        <f t="shared" ca="1" si="101"/>
        <v>-6.4813175083152749E-2</v>
      </c>
    </row>
    <row r="6244" spans="6:7" x14ac:dyDescent="0.35">
      <c r="F6244">
        <v>6239</v>
      </c>
      <c r="G6244" s="102">
        <f t="shared" ca="1" si="101"/>
        <v>4.5568883308455987E-2</v>
      </c>
    </row>
    <row r="6245" spans="6:7" x14ac:dyDescent="0.35">
      <c r="F6245">
        <v>6240</v>
      </c>
      <c r="G6245" s="102">
        <f t="shared" ca="1" si="101"/>
        <v>-5.5688958638527714E-2</v>
      </c>
    </row>
    <row r="6246" spans="6:7" x14ac:dyDescent="0.35">
      <c r="F6246">
        <v>6241</v>
      </c>
      <c r="G6246" s="102">
        <f t="shared" ca="1" si="101"/>
        <v>-1.6089338075105424E-2</v>
      </c>
    </row>
    <row r="6247" spans="6:7" x14ac:dyDescent="0.35">
      <c r="F6247">
        <v>6242</v>
      </c>
      <c r="G6247" s="102">
        <f t="shared" ca="1" si="101"/>
        <v>5.1724124693960385E-2</v>
      </c>
    </row>
    <row r="6248" spans="6:7" x14ac:dyDescent="0.35">
      <c r="F6248">
        <v>6243</v>
      </c>
      <c r="G6248" s="102">
        <f t="shared" ca="1" si="101"/>
        <v>-2.2514696087163236E-2</v>
      </c>
    </row>
    <row r="6249" spans="6:7" x14ac:dyDescent="0.35">
      <c r="F6249">
        <v>6244</v>
      </c>
      <c r="G6249" s="102">
        <f t="shared" ca="1" si="101"/>
        <v>-5.0881007183578297E-2</v>
      </c>
    </row>
    <row r="6250" spans="6:7" x14ac:dyDescent="0.35">
      <c r="F6250">
        <v>6245</v>
      </c>
      <c r="G6250" s="102">
        <f t="shared" ca="1" si="101"/>
        <v>8.6533548163572841E-3</v>
      </c>
    </row>
    <row r="6251" spans="6:7" x14ac:dyDescent="0.35">
      <c r="F6251">
        <v>6246</v>
      </c>
      <c r="G6251" s="102">
        <f t="shared" ca="1" si="101"/>
        <v>-3.6032925746766961E-2</v>
      </c>
    </row>
    <row r="6252" spans="6:7" x14ac:dyDescent="0.35">
      <c r="F6252">
        <v>6247</v>
      </c>
      <c r="G6252" s="102">
        <f t="shared" ca="1" si="101"/>
        <v>-4.8759485669473662E-2</v>
      </c>
    </row>
    <row r="6253" spans="6:7" x14ac:dyDescent="0.35">
      <c r="F6253">
        <v>6248</v>
      </c>
      <c r="G6253" s="102">
        <f t="shared" ca="1" si="101"/>
        <v>3.4345368354201475E-2</v>
      </c>
    </row>
    <row r="6254" spans="6:7" x14ac:dyDescent="0.35">
      <c r="F6254">
        <v>6249</v>
      </c>
      <c r="G6254" s="102">
        <f t="shared" ca="1" si="101"/>
        <v>4.2440254970188107E-2</v>
      </c>
    </row>
    <row r="6255" spans="6:7" x14ac:dyDescent="0.35">
      <c r="F6255">
        <v>6250</v>
      </c>
      <c r="G6255" s="102">
        <f t="shared" ca="1" si="101"/>
        <v>-4.0283936150066882E-2</v>
      </c>
    </row>
    <row r="6256" spans="6:7" x14ac:dyDescent="0.35">
      <c r="F6256">
        <v>6251</v>
      </c>
      <c r="G6256" s="102">
        <f t="shared" ca="1" si="101"/>
        <v>-3.028243810250356E-2</v>
      </c>
    </row>
    <row r="6257" spans="6:7" x14ac:dyDescent="0.35">
      <c r="F6257">
        <v>6252</v>
      </c>
      <c r="G6257" s="102">
        <f t="shared" ca="1" si="101"/>
        <v>9.1862842507599601E-2</v>
      </c>
    </row>
    <row r="6258" spans="6:7" x14ac:dyDescent="0.35">
      <c r="F6258">
        <v>6253</v>
      </c>
      <c r="G6258" s="102">
        <f t="shared" ca="1" si="101"/>
        <v>-3.4914429614007472E-3</v>
      </c>
    </row>
    <row r="6259" spans="6:7" x14ac:dyDescent="0.35">
      <c r="F6259">
        <v>6254</v>
      </c>
      <c r="G6259" s="102">
        <f t="shared" ca="1" si="101"/>
        <v>0.10562474180466952</v>
      </c>
    </row>
    <row r="6260" spans="6:7" x14ac:dyDescent="0.35">
      <c r="F6260">
        <v>6255</v>
      </c>
      <c r="G6260" s="102">
        <f t="shared" ca="1" si="101"/>
        <v>8.204343027393432E-2</v>
      </c>
    </row>
    <row r="6261" spans="6:7" x14ac:dyDescent="0.35">
      <c r="F6261">
        <v>6256</v>
      </c>
      <c r="G6261" s="102">
        <f t="shared" ca="1" si="101"/>
        <v>2.686210596446453E-2</v>
      </c>
    </row>
    <row r="6262" spans="6:7" x14ac:dyDescent="0.35">
      <c r="F6262">
        <v>6257</v>
      </c>
      <c r="G6262" s="102">
        <f t="shared" ca="1" si="101"/>
        <v>-0.12648801016018688</v>
      </c>
    </row>
    <row r="6263" spans="6:7" x14ac:dyDescent="0.35">
      <c r="F6263">
        <v>6258</v>
      </c>
      <c r="G6263" s="102">
        <f t="shared" ca="1" si="101"/>
        <v>3.0595249305791165E-3</v>
      </c>
    </row>
    <row r="6264" spans="6:7" x14ac:dyDescent="0.35">
      <c r="F6264">
        <v>6259</v>
      </c>
      <c r="G6264" s="102">
        <f t="shared" ca="1" si="101"/>
        <v>1.4710850796002994E-2</v>
      </c>
    </row>
    <row r="6265" spans="6:7" x14ac:dyDescent="0.35">
      <c r="F6265">
        <v>6260</v>
      </c>
      <c r="G6265" s="102">
        <f t="shared" ca="1" si="101"/>
        <v>5.1046084388004648E-2</v>
      </c>
    </row>
    <row r="6266" spans="6:7" x14ac:dyDescent="0.35">
      <c r="F6266">
        <v>6261</v>
      </c>
      <c r="G6266" s="102">
        <f t="shared" ca="1" si="101"/>
        <v>3.6809864124741742E-2</v>
      </c>
    </row>
    <row r="6267" spans="6:7" x14ac:dyDescent="0.35">
      <c r="F6267">
        <v>6262</v>
      </c>
      <c r="G6267" s="102">
        <f t="shared" ca="1" si="101"/>
        <v>1.4947683740188355E-3</v>
      </c>
    </row>
    <row r="6268" spans="6:7" x14ac:dyDescent="0.35">
      <c r="F6268">
        <v>6263</v>
      </c>
      <c r="G6268" s="102">
        <f t="shared" ca="1" si="101"/>
        <v>5.9618414671888484E-2</v>
      </c>
    </row>
    <row r="6269" spans="6:7" x14ac:dyDescent="0.35">
      <c r="F6269">
        <v>6264</v>
      </c>
      <c r="G6269" s="102">
        <f t="shared" ca="1" si="101"/>
        <v>2.5679898482107347E-2</v>
      </c>
    </row>
    <row r="6270" spans="6:7" x14ac:dyDescent="0.35">
      <c r="F6270">
        <v>6265</v>
      </c>
      <c r="G6270" s="102">
        <f t="shared" ca="1" si="101"/>
        <v>-3.1684276406337322E-2</v>
      </c>
    </row>
    <row r="6271" spans="6:7" x14ac:dyDescent="0.35">
      <c r="F6271">
        <v>6266</v>
      </c>
      <c r="G6271" s="102">
        <f t="shared" ca="1" si="101"/>
        <v>3.3021098345305422E-2</v>
      </c>
    </row>
    <row r="6272" spans="6:7" x14ac:dyDescent="0.35">
      <c r="F6272">
        <v>6267</v>
      </c>
      <c r="G6272" s="102">
        <f t="shared" ca="1" si="101"/>
        <v>-4.1692502667709588E-2</v>
      </c>
    </row>
    <row r="6273" spans="6:7" x14ac:dyDescent="0.35">
      <c r="F6273">
        <v>6268</v>
      </c>
      <c r="G6273" s="102">
        <f t="shared" ca="1" si="101"/>
        <v>1.9386080058142702E-2</v>
      </c>
    </row>
    <row r="6274" spans="6:7" x14ac:dyDescent="0.35">
      <c r="F6274">
        <v>6269</v>
      </c>
      <c r="G6274" s="102">
        <f t="shared" ca="1" si="101"/>
        <v>2.2918941837106088E-2</v>
      </c>
    </row>
    <row r="6275" spans="6:7" x14ac:dyDescent="0.35">
      <c r="F6275">
        <v>6270</v>
      </c>
      <c r="G6275" s="102">
        <f t="shared" ca="1" si="101"/>
        <v>2.1412132608750089E-2</v>
      </c>
    </row>
    <row r="6276" spans="6:7" x14ac:dyDescent="0.35">
      <c r="F6276">
        <v>6271</v>
      </c>
      <c r="G6276" s="102">
        <f t="shared" ca="1" si="101"/>
        <v>-2.5168538747137009E-2</v>
      </c>
    </row>
    <row r="6277" spans="6:7" x14ac:dyDescent="0.35">
      <c r="F6277">
        <v>6272</v>
      </c>
      <c r="G6277" s="102">
        <f t="shared" ca="1" si="101"/>
        <v>-1.946227785030117E-2</v>
      </c>
    </row>
    <row r="6278" spans="6:7" x14ac:dyDescent="0.35">
      <c r="F6278">
        <v>6273</v>
      </c>
      <c r="G6278" s="102">
        <f t="shared" ca="1" si="101"/>
        <v>-2.0170385860947777E-2</v>
      </c>
    </row>
    <row r="6279" spans="6:7" x14ac:dyDescent="0.35">
      <c r="F6279">
        <v>6274</v>
      </c>
      <c r="G6279" s="102">
        <f t="shared" ref="G6279:G6342" ca="1" si="102">_xlfn.NORM.INV(RAND(),M$9,M$10)</f>
        <v>-4.0317577754812123E-2</v>
      </c>
    </row>
    <row r="6280" spans="6:7" x14ac:dyDescent="0.35">
      <c r="F6280">
        <v>6275</v>
      </c>
      <c r="G6280" s="102">
        <f t="shared" ca="1" si="102"/>
        <v>-1.1070291809501984E-2</v>
      </c>
    </row>
    <row r="6281" spans="6:7" x14ac:dyDescent="0.35">
      <c r="F6281">
        <v>6276</v>
      </c>
      <c r="G6281" s="102">
        <f t="shared" ca="1" si="102"/>
        <v>2.4594491350394158E-2</v>
      </c>
    </row>
    <row r="6282" spans="6:7" x14ac:dyDescent="0.35">
      <c r="F6282">
        <v>6277</v>
      </c>
      <c r="G6282" s="102">
        <f t="shared" ca="1" si="102"/>
        <v>2.319066392687746E-2</v>
      </c>
    </row>
    <row r="6283" spans="6:7" x14ac:dyDescent="0.35">
      <c r="F6283">
        <v>6278</v>
      </c>
      <c r="G6283" s="102">
        <f t="shared" ca="1" si="102"/>
        <v>5.3206678518997047E-2</v>
      </c>
    </row>
    <row r="6284" spans="6:7" x14ac:dyDescent="0.35">
      <c r="F6284">
        <v>6279</v>
      </c>
      <c r="G6284" s="102">
        <f t="shared" ca="1" si="102"/>
        <v>4.7036657513076896E-2</v>
      </c>
    </row>
    <row r="6285" spans="6:7" x14ac:dyDescent="0.35">
      <c r="F6285">
        <v>6280</v>
      </c>
      <c r="G6285" s="102">
        <f t="shared" ca="1" si="102"/>
        <v>-7.5333966603829974E-2</v>
      </c>
    </row>
    <row r="6286" spans="6:7" x14ac:dyDescent="0.35">
      <c r="F6286">
        <v>6281</v>
      </c>
      <c r="G6286" s="102">
        <f t="shared" ca="1" si="102"/>
        <v>3.8565073120870874E-3</v>
      </c>
    </row>
    <row r="6287" spans="6:7" x14ac:dyDescent="0.35">
      <c r="F6287">
        <v>6282</v>
      </c>
      <c r="G6287" s="102">
        <f t="shared" ca="1" si="102"/>
        <v>-3.8230649431759717E-2</v>
      </c>
    </row>
    <row r="6288" spans="6:7" x14ac:dyDescent="0.35">
      <c r="F6288">
        <v>6283</v>
      </c>
      <c r="G6288" s="102">
        <f t="shared" ca="1" si="102"/>
        <v>4.2448522521764606E-2</v>
      </c>
    </row>
    <row r="6289" spans="6:7" x14ac:dyDescent="0.35">
      <c r="F6289">
        <v>6284</v>
      </c>
      <c r="G6289" s="102">
        <f t="shared" ca="1" si="102"/>
        <v>-9.3079141276925015E-2</v>
      </c>
    </row>
    <row r="6290" spans="6:7" x14ac:dyDescent="0.35">
      <c r="F6290">
        <v>6285</v>
      </c>
      <c r="G6290" s="102">
        <f t="shared" ca="1" si="102"/>
        <v>5.085951923651276E-2</v>
      </c>
    </row>
    <row r="6291" spans="6:7" x14ac:dyDescent="0.35">
      <c r="F6291">
        <v>6286</v>
      </c>
      <c r="G6291" s="102">
        <f t="shared" ca="1" si="102"/>
        <v>2.2207929540064449E-2</v>
      </c>
    </row>
    <row r="6292" spans="6:7" x14ac:dyDescent="0.35">
      <c r="F6292">
        <v>6287</v>
      </c>
      <c r="G6292" s="102">
        <f t="shared" ca="1" si="102"/>
        <v>0.13958017517984714</v>
      </c>
    </row>
    <row r="6293" spans="6:7" x14ac:dyDescent="0.35">
      <c r="F6293">
        <v>6288</v>
      </c>
      <c r="G6293" s="102">
        <f t="shared" ca="1" si="102"/>
        <v>-7.446508419629784E-2</v>
      </c>
    </row>
    <row r="6294" spans="6:7" x14ac:dyDescent="0.35">
      <c r="F6294">
        <v>6289</v>
      </c>
      <c r="G6294" s="102">
        <f t="shared" ca="1" si="102"/>
        <v>2.1750763048847196E-2</v>
      </c>
    </row>
    <row r="6295" spans="6:7" x14ac:dyDescent="0.35">
      <c r="F6295">
        <v>6290</v>
      </c>
      <c r="G6295" s="102">
        <f t="shared" ca="1" si="102"/>
        <v>5.173676068282225E-2</v>
      </c>
    </row>
    <row r="6296" spans="6:7" x14ac:dyDescent="0.35">
      <c r="F6296">
        <v>6291</v>
      </c>
      <c r="G6296" s="102">
        <f t="shared" ca="1" si="102"/>
        <v>-0.12570308301324459</v>
      </c>
    </row>
    <row r="6297" spans="6:7" x14ac:dyDescent="0.35">
      <c r="F6297">
        <v>6292</v>
      </c>
      <c r="G6297" s="102">
        <f t="shared" ca="1" si="102"/>
        <v>4.5198047234300369E-3</v>
      </c>
    </row>
    <row r="6298" spans="6:7" x14ac:dyDescent="0.35">
      <c r="F6298">
        <v>6293</v>
      </c>
      <c r="G6298" s="102">
        <f t="shared" ca="1" si="102"/>
        <v>-5.0170791892601999E-2</v>
      </c>
    </row>
    <row r="6299" spans="6:7" x14ac:dyDescent="0.35">
      <c r="F6299">
        <v>6294</v>
      </c>
      <c r="G6299" s="102">
        <f t="shared" ca="1" si="102"/>
        <v>6.040368145763253E-2</v>
      </c>
    </row>
    <row r="6300" spans="6:7" x14ac:dyDescent="0.35">
      <c r="F6300">
        <v>6295</v>
      </c>
      <c r="G6300" s="102">
        <f t="shared" ca="1" si="102"/>
        <v>-7.9060403807572191E-2</v>
      </c>
    </row>
    <row r="6301" spans="6:7" x14ac:dyDescent="0.35">
      <c r="F6301">
        <v>6296</v>
      </c>
      <c r="G6301" s="102">
        <f t="shared" ca="1" si="102"/>
        <v>-5.5941417812029243E-2</v>
      </c>
    </row>
    <row r="6302" spans="6:7" x14ac:dyDescent="0.35">
      <c r="F6302">
        <v>6297</v>
      </c>
      <c r="G6302" s="102">
        <f t="shared" ca="1" si="102"/>
        <v>-3.7842620700085705E-2</v>
      </c>
    </row>
    <row r="6303" spans="6:7" x14ac:dyDescent="0.35">
      <c r="F6303">
        <v>6298</v>
      </c>
      <c r="G6303" s="102">
        <f t="shared" ca="1" si="102"/>
        <v>2.8708630474240101E-2</v>
      </c>
    </row>
    <row r="6304" spans="6:7" x14ac:dyDescent="0.35">
      <c r="F6304">
        <v>6299</v>
      </c>
      <c r="G6304" s="102">
        <f t="shared" ca="1" si="102"/>
        <v>6.9736439809697015E-2</v>
      </c>
    </row>
    <row r="6305" spans="6:7" x14ac:dyDescent="0.35">
      <c r="F6305">
        <v>6300</v>
      </c>
      <c r="G6305" s="102">
        <f t="shared" ca="1" si="102"/>
        <v>-9.720942893612676E-2</v>
      </c>
    </row>
    <row r="6306" spans="6:7" x14ac:dyDescent="0.35">
      <c r="F6306">
        <v>6301</v>
      </c>
      <c r="G6306" s="102">
        <f t="shared" ca="1" si="102"/>
        <v>2.7770017539757056E-2</v>
      </c>
    </row>
    <row r="6307" spans="6:7" x14ac:dyDescent="0.35">
      <c r="F6307">
        <v>6302</v>
      </c>
      <c r="G6307" s="102">
        <f t="shared" ca="1" si="102"/>
        <v>-8.378722543351437E-2</v>
      </c>
    </row>
    <row r="6308" spans="6:7" x14ac:dyDescent="0.35">
      <c r="F6308">
        <v>6303</v>
      </c>
      <c r="G6308" s="102">
        <f t="shared" ca="1" si="102"/>
        <v>-0.1068112046238396</v>
      </c>
    </row>
    <row r="6309" spans="6:7" x14ac:dyDescent="0.35">
      <c r="F6309">
        <v>6304</v>
      </c>
      <c r="G6309" s="102">
        <f t="shared" ca="1" si="102"/>
        <v>5.6253961064556171E-2</v>
      </c>
    </row>
    <row r="6310" spans="6:7" x14ac:dyDescent="0.35">
      <c r="F6310">
        <v>6305</v>
      </c>
      <c r="G6310" s="102">
        <f t="shared" ca="1" si="102"/>
        <v>-7.5264855456158956E-3</v>
      </c>
    </row>
    <row r="6311" spans="6:7" x14ac:dyDescent="0.35">
      <c r="F6311">
        <v>6306</v>
      </c>
      <c r="G6311" s="102">
        <f t="shared" ca="1" si="102"/>
        <v>-7.7753570782831717E-3</v>
      </c>
    </row>
    <row r="6312" spans="6:7" x14ac:dyDescent="0.35">
      <c r="F6312">
        <v>6307</v>
      </c>
      <c r="G6312" s="102">
        <f t="shared" ca="1" si="102"/>
        <v>-7.2469570754943105E-2</v>
      </c>
    </row>
    <row r="6313" spans="6:7" x14ac:dyDescent="0.35">
      <c r="F6313">
        <v>6308</v>
      </c>
      <c r="G6313" s="102">
        <f t="shared" ca="1" si="102"/>
        <v>-6.0208753801790943E-2</v>
      </c>
    </row>
    <row r="6314" spans="6:7" x14ac:dyDescent="0.35">
      <c r="F6314">
        <v>6309</v>
      </c>
      <c r="G6314" s="102">
        <f t="shared" ca="1" si="102"/>
        <v>2.621487733584028E-2</v>
      </c>
    </row>
    <row r="6315" spans="6:7" x14ac:dyDescent="0.35">
      <c r="F6315">
        <v>6310</v>
      </c>
      <c r="G6315" s="102">
        <f t="shared" ca="1" si="102"/>
        <v>-0.12573020835399512</v>
      </c>
    </row>
    <row r="6316" spans="6:7" x14ac:dyDescent="0.35">
      <c r="F6316">
        <v>6311</v>
      </c>
      <c r="G6316" s="102">
        <f t="shared" ca="1" si="102"/>
        <v>1.5399188415492843E-2</v>
      </c>
    </row>
    <row r="6317" spans="6:7" x14ac:dyDescent="0.35">
      <c r="F6317">
        <v>6312</v>
      </c>
      <c r="G6317" s="102">
        <f t="shared" ca="1" si="102"/>
        <v>0.16638207852986012</v>
      </c>
    </row>
    <row r="6318" spans="6:7" x14ac:dyDescent="0.35">
      <c r="F6318">
        <v>6313</v>
      </c>
      <c r="G6318" s="102">
        <f t="shared" ca="1" si="102"/>
        <v>2.478817240986783E-3</v>
      </c>
    </row>
    <row r="6319" spans="6:7" x14ac:dyDescent="0.35">
      <c r="F6319">
        <v>6314</v>
      </c>
      <c r="G6319" s="102">
        <f t="shared" ca="1" si="102"/>
        <v>-9.4177776975049754E-2</v>
      </c>
    </row>
    <row r="6320" spans="6:7" x14ac:dyDescent="0.35">
      <c r="F6320">
        <v>6315</v>
      </c>
      <c r="G6320" s="102">
        <f t="shared" ca="1" si="102"/>
        <v>-1.861742324797809E-2</v>
      </c>
    </row>
    <row r="6321" spans="6:7" x14ac:dyDescent="0.35">
      <c r="F6321">
        <v>6316</v>
      </c>
      <c r="G6321" s="102">
        <f t="shared" ca="1" si="102"/>
        <v>-5.8528212258437698E-2</v>
      </c>
    </row>
    <row r="6322" spans="6:7" x14ac:dyDescent="0.35">
      <c r="F6322">
        <v>6317</v>
      </c>
      <c r="G6322" s="102">
        <f t="shared" ca="1" si="102"/>
        <v>-8.1606872874434036E-2</v>
      </c>
    </row>
    <row r="6323" spans="6:7" x14ac:dyDescent="0.35">
      <c r="F6323">
        <v>6318</v>
      </c>
      <c r="G6323" s="102">
        <f t="shared" ca="1" si="102"/>
        <v>3.7080328450877859E-2</v>
      </c>
    </row>
    <row r="6324" spans="6:7" x14ac:dyDescent="0.35">
      <c r="F6324">
        <v>6319</v>
      </c>
      <c r="G6324" s="102">
        <f t="shared" ca="1" si="102"/>
        <v>2.9027852015363367E-2</v>
      </c>
    </row>
    <row r="6325" spans="6:7" x14ac:dyDescent="0.35">
      <c r="F6325">
        <v>6320</v>
      </c>
      <c r="G6325" s="102">
        <f t="shared" ca="1" si="102"/>
        <v>5.6041390064092061E-2</v>
      </c>
    </row>
    <row r="6326" spans="6:7" x14ac:dyDescent="0.35">
      <c r="F6326">
        <v>6321</v>
      </c>
      <c r="G6326" s="102">
        <f t="shared" ca="1" si="102"/>
        <v>2.5238287844671217E-2</v>
      </c>
    </row>
    <row r="6327" spans="6:7" x14ac:dyDescent="0.35">
      <c r="F6327">
        <v>6322</v>
      </c>
      <c r="G6327" s="102">
        <f t="shared" ca="1" si="102"/>
        <v>3.3724686814690791E-2</v>
      </c>
    </row>
    <row r="6328" spans="6:7" x14ac:dyDescent="0.35">
      <c r="F6328">
        <v>6323</v>
      </c>
      <c r="G6328" s="102">
        <f t="shared" ca="1" si="102"/>
        <v>-8.2238378548193589E-3</v>
      </c>
    </row>
    <row r="6329" spans="6:7" x14ac:dyDescent="0.35">
      <c r="F6329">
        <v>6324</v>
      </c>
      <c r="G6329" s="102">
        <f t="shared" ca="1" si="102"/>
        <v>4.2366259899895425E-2</v>
      </c>
    </row>
    <row r="6330" spans="6:7" x14ac:dyDescent="0.35">
      <c r="F6330">
        <v>6325</v>
      </c>
      <c r="G6330" s="102">
        <f t="shared" ca="1" si="102"/>
        <v>-5.2713770044851768E-3</v>
      </c>
    </row>
    <row r="6331" spans="6:7" x14ac:dyDescent="0.35">
      <c r="F6331">
        <v>6326</v>
      </c>
      <c r="G6331" s="102">
        <f t="shared" ca="1" si="102"/>
        <v>-9.9440116314465962E-2</v>
      </c>
    </row>
    <row r="6332" spans="6:7" x14ac:dyDescent="0.35">
      <c r="F6332">
        <v>6327</v>
      </c>
      <c r="G6332" s="102">
        <f t="shared" ca="1" si="102"/>
        <v>-7.2812740686509086E-2</v>
      </c>
    </row>
    <row r="6333" spans="6:7" x14ac:dyDescent="0.35">
      <c r="F6333">
        <v>6328</v>
      </c>
      <c r="G6333" s="102">
        <f t="shared" ca="1" si="102"/>
        <v>2.6947833769712066E-2</v>
      </c>
    </row>
    <row r="6334" spans="6:7" x14ac:dyDescent="0.35">
      <c r="F6334">
        <v>6329</v>
      </c>
      <c r="G6334" s="102">
        <f t="shared" ca="1" si="102"/>
        <v>9.9564697995494292E-3</v>
      </c>
    </row>
    <row r="6335" spans="6:7" x14ac:dyDescent="0.35">
      <c r="F6335">
        <v>6330</v>
      </c>
      <c r="G6335" s="102">
        <f t="shared" ca="1" si="102"/>
        <v>3.6313773252563922E-2</v>
      </c>
    </row>
    <row r="6336" spans="6:7" x14ac:dyDescent="0.35">
      <c r="F6336">
        <v>6331</v>
      </c>
      <c r="G6336" s="102">
        <f t="shared" ca="1" si="102"/>
        <v>-4.4431065856972332E-2</v>
      </c>
    </row>
    <row r="6337" spans="6:7" x14ac:dyDescent="0.35">
      <c r="F6337">
        <v>6332</v>
      </c>
      <c r="G6337" s="102">
        <f t="shared" ca="1" si="102"/>
        <v>-8.8257723745589781E-2</v>
      </c>
    </row>
    <row r="6338" spans="6:7" x14ac:dyDescent="0.35">
      <c r="F6338">
        <v>6333</v>
      </c>
      <c r="G6338" s="102">
        <f t="shared" ca="1" si="102"/>
        <v>-2.6145883060952384E-2</v>
      </c>
    </row>
    <row r="6339" spans="6:7" x14ac:dyDescent="0.35">
      <c r="F6339">
        <v>6334</v>
      </c>
      <c r="G6339" s="102">
        <f t="shared" ca="1" si="102"/>
        <v>1.4740160798070025E-2</v>
      </c>
    </row>
    <row r="6340" spans="6:7" x14ac:dyDescent="0.35">
      <c r="F6340">
        <v>6335</v>
      </c>
      <c r="G6340" s="102">
        <f t="shared" ca="1" si="102"/>
        <v>1.0853782741254672E-2</v>
      </c>
    </row>
    <row r="6341" spans="6:7" x14ac:dyDescent="0.35">
      <c r="F6341">
        <v>6336</v>
      </c>
      <c r="G6341" s="102">
        <f t="shared" ca="1" si="102"/>
        <v>1.16056726100459E-2</v>
      </c>
    </row>
    <row r="6342" spans="6:7" x14ac:dyDescent="0.35">
      <c r="F6342">
        <v>6337</v>
      </c>
      <c r="G6342" s="102">
        <f t="shared" ca="1" si="102"/>
        <v>-8.4619567242944962E-2</v>
      </c>
    </row>
    <row r="6343" spans="6:7" x14ac:dyDescent="0.35">
      <c r="F6343">
        <v>6338</v>
      </c>
      <c r="G6343" s="102">
        <f t="shared" ref="G6343:G6406" ca="1" si="103">_xlfn.NORM.INV(RAND(),M$9,M$10)</f>
        <v>-2.8462714610680118E-2</v>
      </c>
    </row>
    <row r="6344" spans="6:7" x14ac:dyDescent="0.35">
      <c r="F6344">
        <v>6339</v>
      </c>
      <c r="G6344" s="102">
        <f t="shared" ca="1" si="103"/>
        <v>7.6694862319212059E-3</v>
      </c>
    </row>
    <row r="6345" spans="6:7" x14ac:dyDescent="0.35">
      <c r="F6345">
        <v>6340</v>
      </c>
      <c r="G6345" s="102">
        <f t="shared" ca="1" si="103"/>
        <v>-7.2154625049549587E-3</v>
      </c>
    </row>
    <row r="6346" spans="6:7" x14ac:dyDescent="0.35">
      <c r="F6346">
        <v>6341</v>
      </c>
      <c r="G6346" s="102">
        <f t="shared" ca="1" si="103"/>
        <v>2.0861240934703391E-2</v>
      </c>
    </row>
    <row r="6347" spans="6:7" x14ac:dyDescent="0.35">
      <c r="F6347">
        <v>6342</v>
      </c>
      <c r="G6347" s="102">
        <f t="shared" ca="1" si="103"/>
        <v>3.6022307809214796E-2</v>
      </c>
    </row>
    <row r="6348" spans="6:7" x14ac:dyDescent="0.35">
      <c r="F6348">
        <v>6343</v>
      </c>
      <c r="G6348" s="102">
        <f t="shared" ca="1" si="103"/>
        <v>-8.1784503771022109E-3</v>
      </c>
    </row>
    <row r="6349" spans="6:7" x14ac:dyDescent="0.35">
      <c r="F6349">
        <v>6344</v>
      </c>
      <c r="G6349" s="102">
        <f t="shared" ca="1" si="103"/>
        <v>0.11981558108520084</v>
      </c>
    </row>
    <row r="6350" spans="6:7" x14ac:dyDescent="0.35">
      <c r="F6350">
        <v>6345</v>
      </c>
      <c r="G6350" s="102">
        <f t="shared" ca="1" si="103"/>
        <v>-7.3538561347037942E-2</v>
      </c>
    </row>
    <row r="6351" spans="6:7" x14ac:dyDescent="0.35">
      <c r="F6351">
        <v>6346</v>
      </c>
      <c r="G6351" s="102">
        <f t="shared" ca="1" si="103"/>
        <v>0.1204411428901991</v>
      </c>
    </row>
    <row r="6352" spans="6:7" x14ac:dyDescent="0.35">
      <c r="F6352">
        <v>6347</v>
      </c>
      <c r="G6352" s="102">
        <f t="shared" ca="1" si="103"/>
        <v>2.832227167192022E-2</v>
      </c>
    </row>
    <row r="6353" spans="6:7" x14ac:dyDescent="0.35">
      <c r="F6353">
        <v>6348</v>
      </c>
      <c r="G6353" s="102">
        <f t="shared" ca="1" si="103"/>
        <v>3.5423159295202428E-3</v>
      </c>
    </row>
    <row r="6354" spans="6:7" x14ac:dyDescent="0.35">
      <c r="F6354">
        <v>6349</v>
      </c>
      <c r="G6354" s="102">
        <f t="shared" ca="1" si="103"/>
        <v>2.9042153524476675E-2</v>
      </c>
    </row>
    <row r="6355" spans="6:7" x14ac:dyDescent="0.35">
      <c r="F6355">
        <v>6350</v>
      </c>
      <c r="G6355" s="102">
        <f t="shared" ca="1" si="103"/>
        <v>-2.8825871005442118E-2</v>
      </c>
    </row>
    <row r="6356" spans="6:7" x14ac:dyDescent="0.35">
      <c r="F6356">
        <v>6351</v>
      </c>
      <c r="G6356" s="102">
        <f t="shared" ca="1" si="103"/>
        <v>2.0237861453955171E-2</v>
      </c>
    </row>
    <row r="6357" spans="6:7" x14ac:dyDescent="0.35">
      <c r="F6357">
        <v>6352</v>
      </c>
      <c r="G6357" s="102">
        <f t="shared" ca="1" si="103"/>
        <v>-3.0911771196721734E-2</v>
      </c>
    </row>
    <row r="6358" spans="6:7" x14ac:dyDescent="0.35">
      <c r="F6358">
        <v>6353</v>
      </c>
      <c r="G6358" s="102">
        <f t="shared" ca="1" si="103"/>
        <v>2.7308008506748988E-2</v>
      </c>
    </row>
    <row r="6359" spans="6:7" x14ac:dyDescent="0.35">
      <c r="F6359">
        <v>6354</v>
      </c>
      <c r="G6359" s="102">
        <f t="shared" ca="1" si="103"/>
        <v>-4.3377571465736805E-3</v>
      </c>
    </row>
    <row r="6360" spans="6:7" x14ac:dyDescent="0.35">
      <c r="F6360">
        <v>6355</v>
      </c>
      <c r="G6360" s="102">
        <f t="shared" ca="1" si="103"/>
        <v>-1.9900389220227493E-2</v>
      </c>
    </row>
    <row r="6361" spans="6:7" x14ac:dyDescent="0.35">
      <c r="F6361">
        <v>6356</v>
      </c>
      <c r="G6361" s="102">
        <f t="shared" ca="1" si="103"/>
        <v>-7.3108951939577005E-2</v>
      </c>
    </row>
    <row r="6362" spans="6:7" x14ac:dyDescent="0.35">
      <c r="F6362">
        <v>6357</v>
      </c>
      <c r="G6362" s="102">
        <f t="shared" ca="1" si="103"/>
        <v>-4.2533876143801372E-2</v>
      </c>
    </row>
    <row r="6363" spans="6:7" x14ac:dyDescent="0.35">
      <c r="F6363">
        <v>6358</v>
      </c>
      <c r="G6363" s="102">
        <f t="shared" ca="1" si="103"/>
        <v>-0.14241267064154586</v>
      </c>
    </row>
    <row r="6364" spans="6:7" x14ac:dyDescent="0.35">
      <c r="F6364">
        <v>6359</v>
      </c>
      <c r="G6364" s="102">
        <f t="shared" ca="1" si="103"/>
        <v>-8.547548146923491E-3</v>
      </c>
    </row>
    <row r="6365" spans="6:7" x14ac:dyDescent="0.35">
      <c r="F6365">
        <v>6360</v>
      </c>
      <c r="G6365" s="102">
        <f t="shared" ca="1" si="103"/>
        <v>-2.6136676249026242E-2</v>
      </c>
    </row>
    <row r="6366" spans="6:7" x14ac:dyDescent="0.35">
      <c r="F6366">
        <v>6361</v>
      </c>
      <c r="G6366" s="102">
        <f t="shared" ca="1" si="103"/>
        <v>-1.0088799901770567E-2</v>
      </c>
    </row>
    <row r="6367" spans="6:7" x14ac:dyDescent="0.35">
      <c r="F6367">
        <v>6362</v>
      </c>
      <c r="G6367" s="102">
        <f t="shared" ca="1" si="103"/>
        <v>8.8580802016907961E-2</v>
      </c>
    </row>
    <row r="6368" spans="6:7" x14ac:dyDescent="0.35">
      <c r="F6368">
        <v>6363</v>
      </c>
      <c r="G6368" s="102">
        <f t="shared" ca="1" si="103"/>
        <v>3.2086443283683305E-2</v>
      </c>
    </row>
    <row r="6369" spans="6:7" x14ac:dyDescent="0.35">
      <c r="F6369">
        <v>6364</v>
      </c>
      <c r="G6369" s="102">
        <f t="shared" ca="1" si="103"/>
        <v>3.8235736348140228E-3</v>
      </c>
    </row>
    <row r="6370" spans="6:7" x14ac:dyDescent="0.35">
      <c r="F6370">
        <v>6365</v>
      </c>
      <c r="G6370" s="102">
        <f t="shared" ca="1" si="103"/>
        <v>-1.8518969609965137E-2</v>
      </c>
    </row>
    <row r="6371" spans="6:7" x14ac:dyDescent="0.35">
      <c r="F6371">
        <v>6366</v>
      </c>
      <c r="G6371" s="102">
        <f t="shared" ca="1" si="103"/>
        <v>-8.6824389953749734E-2</v>
      </c>
    </row>
    <row r="6372" spans="6:7" x14ac:dyDescent="0.35">
      <c r="F6372">
        <v>6367</v>
      </c>
      <c r="G6372" s="102">
        <f t="shared" ca="1" si="103"/>
        <v>2.8053001210578066E-2</v>
      </c>
    </row>
    <row r="6373" spans="6:7" x14ac:dyDescent="0.35">
      <c r="F6373">
        <v>6368</v>
      </c>
      <c r="G6373" s="102">
        <f t="shared" ca="1" si="103"/>
        <v>6.9905015073876975E-2</v>
      </c>
    </row>
    <row r="6374" spans="6:7" x14ac:dyDescent="0.35">
      <c r="F6374">
        <v>6369</v>
      </c>
      <c r="G6374" s="102">
        <f t="shared" ca="1" si="103"/>
        <v>5.8547868059678158E-4</v>
      </c>
    </row>
    <row r="6375" spans="6:7" x14ac:dyDescent="0.35">
      <c r="F6375">
        <v>6370</v>
      </c>
      <c r="G6375" s="102">
        <f t="shared" ca="1" si="103"/>
        <v>3.3847729074164695E-2</v>
      </c>
    </row>
    <row r="6376" spans="6:7" x14ac:dyDescent="0.35">
      <c r="F6376">
        <v>6371</v>
      </c>
      <c r="G6376" s="102">
        <f t="shared" ca="1" si="103"/>
        <v>-6.122813257037929E-2</v>
      </c>
    </row>
    <row r="6377" spans="6:7" x14ac:dyDescent="0.35">
      <c r="F6377">
        <v>6372</v>
      </c>
      <c r="G6377" s="102">
        <f t="shared" ca="1" si="103"/>
        <v>-2.468164665682742E-2</v>
      </c>
    </row>
    <row r="6378" spans="6:7" x14ac:dyDescent="0.35">
      <c r="F6378">
        <v>6373</v>
      </c>
      <c r="G6378" s="102">
        <f t="shared" ca="1" si="103"/>
        <v>0.1066883417894164</v>
      </c>
    </row>
    <row r="6379" spans="6:7" x14ac:dyDescent="0.35">
      <c r="F6379">
        <v>6374</v>
      </c>
      <c r="G6379" s="102">
        <f t="shared" ca="1" si="103"/>
        <v>-5.412892658695645E-2</v>
      </c>
    </row>
    <row r="6380" spans="6:7" x14ac:dyDescent="0.35">
      <c r="F6380">
        <v>6375</v>
      </c>
      <c r="G6380" s="102">
        <f t="shared" ca="1" si="103"/>
        <v>5.3094432812112943E-2</v>
      </c>
    </row>
    <row r="6381" spans="6:7" x14ac:dyDescent="0.35">
      <c r="F6381">
        <v>6376</v>
      </c>
      <c r="G6381" s="102">
        <f t="shared" ca="1" si="103"/>
        <v>-0.10305178289873075</v>
      </c>
    </row>
    <row r="6382" spans="6:7" x14ac:dyDescent="0.35">
      <c r="F6382">
        <v>6377</v>
      </c>
      <c r="G6382" s="102">
        <f t="shared" ca="1" si="103"/>
        <v>5.8810647626686682E-2</v>
      </c>
    </row>
    <row r="6383" spans="6:7" x14ac:dyDescent="0.35">
      <c r="F6383">
        <v>6378</v>
      </c>
      <c r="G6383" s="102">
        <f t="shared" ca="1" si="103"/>
        <v>9.8649470507542001E-3</v>
      </c>
    </row>
    <row r="6384" spans="6:7" x14ac:dyDescent="0.35">
      <c r="F6384">
        <v>6379</v>
      </c>
      <c r="G6384" s="102">
        <f t="shared" ca="1" si="103"/>
        <v>-4.4762175753818773E-2</v>
      </c>
    </row>
    <row r="6385" spans="6:7" x14ac:dyDescent="0.35">
      <c r="F6385">
        <v>6380</v>
      </c>
      <c r="G6385" s="102">
        <f t="shared" ca="1" si="103"/>
        <v>-2.7762138113262131E-2</v>
      </c>
    </row>
    <row r="6386" spans="6:7" x14ac:dyDescent="0.35">
      <c r="F6386">
        <v>6381</v>
      </c>
      <c r="G6386" s="102">
        <f t="shared" ca="1" si="103"/>
        <v>-8.3005853569111873E-2</v>
      </c>
    </row>
    <row r="6387" spans="6:7" x14ac:dyDescent="0.35">
      <c r="F6387">
        <v>6382</v>
      </c>
      <c r="G6387" s="102">
        <f t="shared" ca="1" si="103"/>
        <v>2.2862468820171584E-2</v>
      </c>
    </row>
    <row r="6388" spans="6:7" x14ac:dyDescent="0.35">
      <c r="F6388">
        <v>6383</v>
      </c>
      <c r="G6388" s="102">
        <f t="shared" ca="1" si="103"/>
        <v>2.4686307636739711E-2</v>
      </c>
    </row>
    <row r="6389" spans="6:7" x14ac:dyDescent="0.35">
      <c r="F6389">
        <v>6384</v>
      </c>
      <c r="G6389" s="102">
        <f t="shared" ca="1" si="103"/>
        <v>-0.1552754100601349</v>
      </c>
    </row>
    <row r="6390" spans="6:7" x14ac:dyDescent="0.35">
      <c r="F6390">
        <v>6385</v>
      </c>
      <c r="G6390" s="102">
        <f t="shared" ca="1" si="103"/>
        <v>3.9975146626104099E-3</v>
      </c>
    </row>
    <row r="6391" spans="6:7" x14ac:dyDescent="0.35">
      <c r="F6391">
        <v>6386</v>
      </c>
      <c r="G6391" s="102">
        <f t="shared" ca="1" si="103"/>
        <v>-4.4090541371591449E-2</v>
      </c>
    </row>
    <row r="6392" spans="6:7" x14ac:dyDescent="0.35">
      <c r="F6392">
        <v>6387</v>
      </c>
      <c r="G6392" s="102">
        <f t="shared" ca="1" si="103"/>
        <v>-2.9324561064210004E-3</v>
      </c>
    </row>
    <row r="6393" spans="6:7" x14ac:dyDescent="0.35">
      <c r="F6393">
        <v>6388</v>
      </c>
      <c r="G6393" s="102">
        <f t="shared" ca="1" si="103"/>
        <v>-7.3376626289435976E-2</v>
      </c>
    </row>
    <row r="6394" spans="6:7" x14ac:dyDescent="0.35">
      <c r="F6394">
        <v>6389</v>
      </c>
      <c r="G6394" s="102">
        <f t="shared" ca="1" si="103"/>
        <v>-6.5958692026059126E-2</v>
      </c>
    </row>
    <row r="6395" spans="6:7" x14ac:dyDescent="0.35">
      <c r="F6395">
        <v>6390</v>
      </c>
      <c r="G6395" s="102">
        <f t="shared" ca="1" si="103"/>
        <v>5.0224914579433996E-2</v>
      </c>
    </row>
    <row r="6396" spans="6:7" x14ac:dyDescent="0.35">
      <c r="F6396">
        <v>6391</v>
      </c>
      <c r="G6396" s="102">
        <f t="shared" ca="1" si="103"/>
        <v>-2.0786283700702585E-2</v>
      </c>
    </row>
    <row r="6397" spans="6:7" x14ac:dyDescent="0.35">
      <c r="F6397">
        <v>6392</v>
      </c>
      <c r="G6397" s="102">
        <f t="shared" ca="1" si="103"/>
        <v>-3.6978538132231648E-2</v>
      </c>
    </row>
    <row r="6398" spans="6:7" x14ac:dyDescent="0.35">
      <c r="F6398">
        <v>6393</v>
      </c>
      <c r="G6398" s="102">
        <f t="shared" ca="1" si="103"/>
        <v>7.7878618795131083E-2</v>
      </c>
    </row>
    <row r="6399" spans="6:7" x14ac:dyDescent="0.35">
      <c r="F6399">
        <v>6394</v>
      </c>
      <c r="G6399" s="102">
        <f t="shared" ca="1" si="103"/>
        <v>1.0392381404938585E-2</v>
      </c>
    </row>
    <row r="6400" spans="6:7" x14ac:dyDescent="0.35">
      <c r="F6400">
        <v>6395</v>
      </c>
      <c r="G6400" s="102">
        <f t="shared" ca="1" si="103"/>
        <v>-5.7598177213482898E-2</v>
      </c>
    </row>
    <row r="6401" spans="6:7" x14ac:dyDescent="0.35">
      <c r="F6401">
        <v>6396</v>
      </c>
      <c r="G6401" s="102">
        <f t="shared" ca="1" si="103"/>
        <v>5.7786318699462186E-2</v>
      </c>
    </row>
    <row r="6402" spans="6:7" x14ac:dyDescent="0.35">
      <c r="F6402">
        <v>6397</v>
      </c>
      <c r="G6402" s="102">
        <f t="shared" ca="1" si="103"/>
        <v>3.3628734243426106E-2</v>
      </c>
    </row>
    <row r="6403" spans="6:7" x14ac:dyDescent="0.35">
      <c r="F6403">
        <v>6398</v>
      </c>
      <c r="G6403" s="102">
        <f t="shared" ca="1" si="103"/>
        <v>3.0542952914766584E-2</v>
      </c>
    </row>
    <row r="6404" spans="6:7" x14ac:dyDescent="0.35">
      <c r="F6404">
        <v>6399</v>
      </c>
      <c r="G6404" s="102">
        <f t="shared" ca="1" si="103"/>
        <v>2.038046557615858E-2</v>
      </c>
    </row>
    <row r="6405" spans="6:7" x14ac:dyDescent="0.35">
      <c r="F6405">
        <v>6400</v>
      </c>
      <c r="G6405" s="102">
        <f t="shared" ca="1" si="103"/>
        <v>6.5309625059370366E-2</v>
      </c>
    </row>
    <row r="6406" spans="6:7" x14ac:dyDescent="0.35">
      <c r="F6406">
        <v>6401</v>
      </c>
      <c r="G6406" s="102">
        <f t="shared" ca="1" si="103"/>
        <v>3.8778881141959654E-2</v>
      </c>
    </row>
    <row r="6407" spans="6:7" x14ac:dyDescent="0.35">
      <c r="F6407">
        <v>6402</v>
      </c>
      <c r="G6407" s="102">
        <f t="shared" ref="G6407:G6470" ca="1" si="104">_xlfn.NORM.INV(RAND(),M$9,M$10)</f>
        <v>-9.7971858160123673E-2</v>
      </c>
    </row>
    <row r="6408" spans="6:7" x14ac:dyDescent="0.35">
      <c r="F6408">
        <v>6403</v>
      </c>
      <c r="G6408" s="102">
        <f t="shared" ca="1" si="104"/>
        <v>-2.4335487993201368E-2</v>
      </c>
    </row>
    <row r="6409" spans="6:7" x14ac:dyDescent="0.35">
      <c r="F6409">
        <v>6404</v>
      </c>
      <c r="G6409" s="102">
        <f t="shared" ca="1" si="104"/>
        <v>-5.5512100094181699E-2</v>
      </c>
    </row>
    <row r="6410" spans="6:7" x14ac:dyDescent="0.35">
      <c r="F6410">
        <v>6405</v>
      </c>
      <c r="G6410" s="102">
        <f t="shared" ca="1" si="104"/>
        <v>-4.9572738241723105E-2</v>
      </c>
    </row>
    <row r="6411" spans="6:7" x14ac:dyDescent="0.35">
      <c r="F6411">
        <v>6406</v>
      </c>
      <c r="G6411" s="102">
        <f t="shared" ca="1" si="104"/>
        <v>3.9553355826316278E-2</v>
      </c>
    </row>
    <row r="6412" spans="6:7" x14ac:dyDescent="0.35">
      <c r="F6412">
        <v>6407</v>
      </c>
      <c r="G6412" s="102">
        <f t="shared" ca="1" si="104"/>
        <v>-0.14403685760999296</v>
      </c>
    </row>
    <row r="6413" spans="6:7" x14ac:dyDescent="0.35">
      <c r="F6413">
        <v>6408</v>
      </c>
      <c r="G6413" s="102">
        <f t="shared" ca="1" si="104"/>
        <v>-1.7059731150776303E-2</v>
      </c>
    </row>
    <row r="6414" spans="6:7" x14ac:dyDescent="0.35">
      <c r="F6414">
        <v>6409</v>
      </c>
      <c r="G6414" s="102">
        <f t="shared" ca="1" si="104"/>
        <v>1.972083180533649E-2</v>
      </c>
    </row>
    <row r="6415" spans="6:7" x14ac:dyDescent="0.35">
      <c r="F6415">
        <v>6410</v>
      </c>
      <c r="G6415" s="102">
        <f t="shared" ca="1" si="104"/>
        <v>-4.5830410583739684E-2</v>
      </c>
    </row>
    <row r="6416" spans="6:7" x14ac:dyDescent="0.35">
      <c r="F6416">
        <v>6411</v>
      </c>
      <c r="G6416" s="102">
        <f t="shared" ca="1" si="104"/>
        <v>-3.3381809312883516E-2</v>
      </c>
    </row>
    <row r="6417" spans="6:7" x14ac:dyDescent="0.35">
      <c r="F6417">
        <v>6412</v>
      </c>
      <c r="G6417" s="102">
        <f t="shared" ca="1" si="104"/>
        <v>4.3430925851959137E-2</v>
      </c>
    </row>
    <row r="6418" spans="6:7" x14ac:dyDescent="0.35">
      <c r="F6418">
        <v>6413</v>
      </c>
      <c r="G6418" s="102">
        <f t="shared" ca="1" si="104"/>
        <v>-0.10676151534034817</v>
      </c>
    </row>
    <row r="6419" spans="6:7" x14ac:dyDescent="0.35">
      <c r="F6419">
        <v>6414</v>
      </c>
      <c r="G6419" s="102">
        <f t="shared" ca="1" si="104"/>
        <v>8.9655804135329968E-3</v>
      </c>
    </row>
    <row r="6420" spans="6:7" x14ac:dyDescent="0.35">
      <c r="F6420">
        <v>6415</v>
      </c>
      <c r="G6420" s="102">
        <f t="shared" ca="1" si="104"/>
        <v>4.8510847356723119E-2</v>
      </c>
    </row>
    <row r="6421" spans="6:7" x14ac:dyDescent="0.35">
      <c r="F6421">
        <v>6416</v>
      </c>
      <c r="G6421" s="102">
        <f t="shared" ca="1" si="104"/>
        <v>-4.693159913890603E-2</v>
      </c>
    </row>
    <row r="6422" spans="6:7" x14ac:dyDescent="0.35">
      <c r="F6422">
        <v>6417</v>
      </c>
      <c r="G6422" s="102">
        <f t="shared" ca="1" si="104"/>
        <v>-9.868650332569566E-2</v>
      </c>
    </row>
    <row r="6423" spans="6:7" x14ac:dyDescent="0.35">
      <c r="F6423">
        <v>6418</v>
      </c>
      <c r="G6423" s="102">
        <f t="shared" ca="1" si="104"/>
        <v>3.025582465726832E-2</v>
      </c>
    </row>
    <row r="6424" spans="6:7" x14ac:dyDescent="0.35">
      <c r="F6424">
        <v>6419</v>
      </c>
      <c r="G6424" s="102">
        <f t="shared" ca="1" si="104"/>
        <v>-0.12030361806346647</v>
      </c>
    </row>
    <row r="6425" spans="6:7" x14ac:dyDescent="0.35">
      <c r="F6425">
        <v>6420</v>
      </c>
      <c r="G6425" s="102">
        <f t="shared" ca="1" si="104"/>
        <v>-7.1777343898321591E-2</v>
      </c>
    </row>
    <row r="6426" spans="6:7" x14ac:dyDescent="0.35">
      <c r="F6426">
        <v>6421</v>
      </c>
      <c r="G6426" s="102">
        <f t="shared" ca="1" si="104"/>
        <v>-2.3814798256738157E-2</v>
      </c>
    </row>
    <row r="6427" spans="6:7" x14ac:dyDescent="0.35">
      <c r="F6427">
        <v>6422</v>
      </c>
      <c r="G6427" s="102">
        <f t="shared" ca="1" si="104"/>
        <v>2.7690554567609309E-2</v>
      </c>
    </row>
    <row r="6428" spans="6:7" x14ac:dyDescent="0.35">
      <c r="F6428">
        <v>6423</v>
      </c>
      <c r="G6428" s="102">
        <f t="shared" ca="1" si="104"/>
        <v>5.2015430365341606E-2</v>
      </c>
    </row>
    <row r="6429" spans="6:7" x14ac:dyDescent="0.35">
      <c r="F6429">
        <v>6424</v>
      </c>
      <c r="G6429" s="102">
        <f t="shared" ca="1" si="104"/>
        <v>-5.904454488321921E-2</v>
      </c>
    </row>
    <row r="6430" spans="6:7" x14ac:dyDescent="0.35">
      <c r="F6430">
        <v>6425</v>
      </c>
      <c r="G6430" s="102">
        <f t="shared" ca="1" si="104"/>
        <v>-5.3150478043455879E-2</v>
      </c>
    </row>
    <row r="6431" spans="6:7" x14ac:dyDescent="0.35">
      <c r="F6431">
        <v>6426</v>
      </c>
      <c r="G6431" s="102">
        <f t="shared" ca="1" si="104"/>
        <v>-6.2304556278745876E-3</v>
      </c>
    </row>
    <row r="6432" spans="6:7" x14ac:dyDescent="0.35">
      <c r="F6432">
        <v>6427</v>
      </c>
      <c r="G6432" s="102">
        <f t="shared" ca="1" si="104"/>
        <v>-3.4961446693803924E-2</v>
      </c>
    </row>
    <row r="6433" spans="6:7" x14ac:dyDescent="0.35">
      <c r="F6433">
        <v>6428</v>
      </c>
      <c r="G6433" s="102">
        <f t="shared" ca="1" si="104"/>
        <v>-1.166845575246094E-2</v>
      </c>
    </row>
    <row r="6434" spans="6:7" x14ac:dyDescent="0.35">
      <c r="F6434">
        <v>6429</v>
      </c>
      <c r="G6434" s="102">
        <f t="shared" ca="1" si="104"/>
        <v>3.4676250666414637E-2</v>
      </c>
    </row>
    <row r="6435" spans="6:7" x14ac:dyDescent="0.35">
      <c r="F6435">
        <v>6430</v>
      </c>
      <c r="G6435" s="102">
        <f t="shared" ca="1" si="104"/>
        <v>-4.3441941384263286E-2</v>
      </c>
    </row>
    <row r="6436" spans="6:7" x14ac:dyDescent="0.35">
      <c r="F6436">
        <v>6431</v>
      </c>
      <c r="G6436" s="102">
        <f t="shared" ca="1" si="104"/>
        <v>-3.3672638846753474E-3</v>
      </c>
    </row>
    <row r="6437" spans="6:7" x14ac:dyDescent="0.35">
      <c r="F6437">
        <v>6432</v>
      </c>
      <c r="G6437" s="102">
        <f t="shared" ca="1" si="104"/>
        <v>-4.7941441873226756E-2</v>
      </c>
    </row>
    <row r="6438" spans="6:7" x14ac:dyDescent="0.35">
      <c r="F6438">
        <v>6433</v>
      </c>
      <c r="G6438" s="102">
        <f t="shared" ca="1" si="104"/>
        <v>-1.0633224570934269E-2</v>
      </c>
    </row>
    <row r="6439" spans="6:7" x14ac:dyDescent="0.35">
      <c r="F6439">
        <v>6434</v>
      </c>
      <c r="G6439" s="102">
        <f t="shared" ca="1" si="104"/>
        <v>-1.4282580668696294E-2</v>
      </c>
    </row>
    <row r="6440" spans="6:7" x14ac:dyDescent="0.35">
      <c r="F6440">
        <v>6435</v>
      </c>
      <c r="G6440" s="102">
        <f t="shared" ca="1" si="104"/>
        <v>-2.4949480909088297E-2</v>
      </c>
    </row>
    <row r="6441" spans="6:7" x14ac:dyDescent="0.35">
      <c r="F6441">
        <v>6436</v>
      </c>
      <c r="G6441" s="102">
        <f t="shared" ca="1" si="104"/>
        <v>-1.8145357627377928E-2</v>
      </c>
    </row>
    <row r="6442" spans="6:7" x14ac:dyDescent="0.35">
      <c r="F6442">
        <v>6437</v>
      </c>
      <c r="G6442" s="102">
        <f t="shared" ca="1" si="104"/>
        <v>0.1466046509389751</v>
      </c>
    </row>
    <row r="6443" spans="6:7" x14ac:dyDescent="0.35">
      <c r="F6443">
        <v>6438</v>
      </c>
      <c r="G6443" s="102">
        <f t="shared" ca="1" si="104"/>
        <v>-6.1142629514353744E-2</v>
      </c>
    </row>
    <row r="6444" spans="6:7" x14ac:dyDescent="0.35">
      <c r="F6444">
        <v>6439</v>
      </c>
      <c r="G6444" s="102">
        <f t="shared" ca="1" si="104"/>
        <v>-2.5254596190840705E-2</v>
      </c>
    </row>
    <row r="6445" spans="6:7" x14ac:dyDescent="0.35">
      <c r="F6445">
        <v>6440</v>
      </c>
      <c r="G6445" s="102">
        <f t="shared" ca="1" si="104"/>
        <v>-3.1049595578045826E-2</v>
      </c>
    </row>
    <row r="6446" spans="6:7" x14ac:dyDescent="0.35">
      <c r="F6446">
        <v>6441</v>
      </c>
      <c r="G6446" s="102">
        <f t="shared" ca="1" si="104"/>
        <v>0.10632042926625854</v>
      </c>
    </row>
    <row r="6447" spans="6:7" x14ac:dyDescent="0.35">
      <c r="F6447">
        <v>6442</v>
      </c>
      <c r="G6447" s="102">
        <f t="shared" ca="1" si="104"/>
        <v>-1.5629353890332695E-2</v>
      </c>
    </row>
    <row r="6448" spans="6:7" x14ac:dyDescent="0.35">
      <c r="F6448">
        <v>6443</v>
      </c>
      <c r="G6448" s="102">
        <f t="shared" ca="1" si="104"/>
        <v>9.7830327578690909E-2</v>
      </c>
    </row>
    <row r="6449" spans="6:7" x14ac:dyDescent="0.35">
      <c r="F6449">
        <v>6444</v>
      </c>
      <c r="G6449" s="102">
        <f t="shared" ca="1" si="104"/>
        <v>3.4999204681886664E-2</v>
      </c>
    </row>
    <row r="6450" spans="6:7" x14ac:dyDescent="0.35">
      <c r="F6450">
        <v>6445</v>
      </c>
      <c r="G6450" s="102">
        <f t="shared" ca="1" si="104"/>
        <v>1.7816227044870157E-2</v>
      </c>
    </row>
    <row r="6451" spans="6:7" x14ac:dyDescent="0.35">
      <c r="F6451">
        <v>6446</v>
      </c>
      <c r="G6451" s="102">
        <f t="shared" ca="1" si="104"/>
        <v>-3.3426818059948356E-2</v>
      </c>
    </row>
    <row r="6452" spans="6:7" x14ac:dyDescent="0.35">
      <c r="F6452">
        <v>6447</v>
      </c>
      <c r="G6452" s="102">
        <f t="shared" ca="1" si="104"/>
        <v>-6.4749131330208903E-2</v>
      </c>
    </row>
    <row r="6453" spans="6:7" x14ac:dyDescent="0.35">
      <c r="F6453">
        <v>6448</v>
      </c>
      <c r="G6453" s="102">
        <f t="shared" ca="1" si="104"/>
        <v>-2.0061812330403515E-2</v>
      </c>
    </row>
    <row r="6454" spans="6:7" x14ac:dyDescent="0.35">
      <c r="F6454">
        <v>6449</v>
      </c>
      <c r="G6454" s="102">
        <f t="shared" ca="1" si="104"/>
        <v>-2.99612790822892E-2</v>
      </c>
    </row>
    <row r="6455" spans="6:7" x14ac:dyDescent="0.35">
      <c r="F6455">
        <v>6450</v>
      </c>
      <c r="G6455" s="102">
        <f t="shared" ca="1" si="104"/>
        <v>8.1266248218563562E-4</v>
      </c>
    </row>
    <row r="6456" spans="6:7" x14ac:dyDescent="0.35">
      <c r="F6456">
        <v>6451</v>
      </c>
      <c r="G6456" s="102">
        <f t="shared" ca="1" si="104"/>
        <v>1.1735156394335845E-2</v>
      </c>
    </row>
    <row r="6457" spans="6:7" x14ac:dyDescent="0.35">
      <c r="F6457">
        <v>6452</v>
      </c>
      <c r="G6457" s="102">
        <f t="shared" ca="1" si="104"/>
        <v>8.1187329467723349E-2</v>
      </c>
    </row>
    <row r="6458" spans="6:7" x14ac:dyDescent="0.35">
      <c r="F6458">
        <v>6453</v>
      </c>
      <c r="G6458" s="102">
        <f t="shared" ca="1" si="104"/>
        <v>4.5380321253880154E-2</v>
      </c>
    </row>
    <row r="6459" spans="6:7" x14ac:dyDescent="0.35">
      <c r="F6459">
        <v>6454</v>
      </c>
      <c r="G6459" s="102">
        <f t="shared" ca="1" si="104"/>
        <v>3.7729899452810065E-2</v>
      </c>
    </row>
    <row r="6460" spans="6:7" x14ac:dyDescent="0.35">
      <c r="F6460">
        <v>6455</v>
      </c>
      <c r="G6460" s="102">
        <f t="shared" ca="1" si="104"/>
        <v>-6.6125754901076014E-2</v>
      </c>
    </row>
    <row r="6461" spans="6:7" x14ac:dyDescent="0.35">
      <c r="F6461">
        <v>6456</v>
      </c>
      <c r="G6461" s="102">
        <f t="shared" ca="1" si="104"/>
        <v>6.5306983851295811E-2</v>
      </c>
    </row>
    <row r="6462" spans="6:7" x14ac:dyDescent="0.35">
      <c r="F6462">
        <v>6457</v>
      </c>
      <c r="G6462" s="102">
        <f t="shared" ca="1" si="104"/>
        <v>-6.2445140703278001E-2</v>
      </c>
    </row>
    <row r="6463" spans="6:7" x14ac:dyDescent="0.35">
      <c r="F6463">
        <v>6458</v>
      </c>
      <c r="G6463" s="102">
        <f t="shared" ca="1" si="104"/>
        <v>3.6494429409154025E-2</v>
      </c>
    </row>
    <row r="6464" spans="6:7" x14ac:dyDescent="0.35">
      <c r="F6464">
        <v>6459</v>
      </c>
      <c r="G6464" s="102">
        <f t="shared" ca="1" si="104"/>
        <v>1.6100619324759473E-2</v>
      </c>
    </row>
    <row r="6465" spans="6:7" x14ac:dyDescent="0.35">
      <c r="F6465">
        <v>6460</v>
      </c>
      <c r="G6465" s="102">
        <f t="shared" ca="1" si="104"/>
        <v>2.9924222923650417E-3</v>
      </c>
    </row>
    <row r="6466" spans="6:7" x14ac:dyDescent="0.35">
      <c r="F6466">
        <v>6461</v>
      </c>
      <c r="G6466" s="102">
        <f t="shared" ca="1" si="104"/>
        <v>-2.1915395948155281E-2</v>
      </c>
    </row>
    <row r="6467" spans="6:7" x14ac:dyDescent="0.35">
      <c r="F6467">
        <v>6462</v>
      </c>
      <c r="G6467" s="102">
        <f t="shared" ca="1" si="104"/>
        <v>6.8665698308860448E-2</v>
      </c>
    </row>
    <row r="6468" spans="6:7" x14ac:dyDescent="0.35">
      <c r="F6468">
        <v>6463</v>
      </c>
      <c r="G6468" s="102">
        <f t="shared" ca="1" si="104"/>
        <v>7.8427958683398007E-3</v>
      </c>
    </row>
    <row r="6469" spans="6:7" x14ac:dyDescent="0.35">
      <c r="F6469">
        <v>6464</v>
      </c>
      <c r="G6469" s="102">
        <f t="shared" ca="1" si="104"/>
        <v>-6.3306160628115948E-2</v>
      </c>
    </row>
    <row r="6470" spans="6:7" x14ac:dyDescent="0.35">
      <c r="F6470">
        <v>6465</v>
      </c>
      <c r="G6470" s="102">
        <f t="shared" ca="1" si="104"/>
        <v>7.5529345653450888E-2</v>
      </c>
    </row>
    <row r="6471" spans="6:7" x14ac:dyDescent="0.35">
      <c r="F6471">
        <v>6466</v>
      </c>
      <c r="G6471" s="102">
        <f t="shared" ref="G6471:G6534" ca="1" si="105">_xlfn.NORM.INV(RAND(),M$9,M$10)</f>
        <v>-4.7478291029046632E-2</v>
      </c>
    </row>
    <row r="6472" spans="6:7" x14ac:dyDescent="0.35">
      <c r="F6472">
        <v>6467</v>
      </c>
      <c r="G6472" s="102">
        <f t="shared" ca="1" si="105"/>
        <v>-3.5878493085911636E-2</v>
      </c>
    </row>
    <row r="6473" spans="6:7" x14ac:dyDescent="0.35">
      <c r="F6473">
        <v>6468</v>
      </c>
      <c r="G6473" s="102">
        <f t="shared" ca="1" si="105"/>
        <v>-1.4381413981486625E-2</v>
      </c>
    </row>
    <row r="6474" spans="6:7" x14ac:dyDescent="0.35">
      <c r="F6474">
        <v>6469</v>
      </c>
      <c r="G6474" s="102">
        <f t="shared" ca="1" si="105"/>
        <v>-3.3085930403174278E-2</v>
      </c>
    </row>
    <row r="6475" spans="6:7" x14ac:dyDescent="0.35">
      <c r="F6475">
        <v>6470</v>
      </c>
      <c r="G6475" s="102">
        <f t="shared" ca="1" si="105"/>
        <v>2.800836834820743E-3</v>
      </c>
    </row>
    <row r="6476" spans="6:7" x14ac:dyDescent="0.35">
      <c r="F6476">
        <v>6471</v>
      </c>
      <c r="G6476" s="102">
        <f t="shared" ca="1" si="105"/>
        <v>1.2497259297870079E-2</v>
      </c>
    </row>
    <row r="6477" spans="6:7" x14ac:dyDescent="0.35">
      <c r="F6477">
        <v>6472</v>
      </c>
      <c r="G6477" s="102">
        <f t="shared" ca="1" si="105"/>
        <v>2.89292286154979E-2</v>
      </c>
    </row>
    <row r="6478" spans="6:7" x14ac:dyDescent="0.35">
      <c r="F6478">
        <v>6473</v>
      </c>
      <c r="G6478" s="102">
        <f t="shared" ca="1" si="105"/>
        <v>-4.2288970534905018E-2</v>
      </c>
    </row>
    <row r="6479" spans="6:7" x14ac:dyDescent="0.35">
      <c r="F6479">
        <v>6474</v>
      </c>
      <c r="G6479" s="102">
        <f t="shared" ca="1" si="105"/>
        <v>-7.206658706443117E-2</v>
      </c>
    </row>
    <row r="6480" spans="6:7" x14ac:dyDescent="0.35">
      <c r="F6480">
        <v>6475</v>
      </c>
      <c r="G6480" s="102">
        <f t="shared" ca="1" si="105"/>
        <v>0.12038753942393947</v>
      </c>
    </row>
    <row r="6481" spans="6:7" x14ac:dyDescent="0.35">
      <c r="F6481">
        <v>6476</v>
      </c>
      <c r="G6481" s="102">
        <f t="shared" ca="1" si="105"/>
        <v>-4.0465847780662201E-2</v>
      </c>
    </row>
    <row r="6482" spans="6:7" x14ac:dyDescent="0.35">
      <c r="F6482">
        <v>6477</v>
      </c>
      <c r="G6482" s="102">
        <f t="shared" ca="1" si="105"/>
        <v>-4.4285211640228042E-2</v>
      </c>
    </row>
    <row r="6483" spans="6:7" x14ac:dyDescent="0.35">
      <c r="F6483">
        <v>6478</v>
      </c>
      <c r="G6483" s="102">
        <f t="shared" ca="1" si="105"/>
        <v>8.2763470912710496E-2</v>
      </c>
    </row>
    <row r="6484" spans="6:7" x14ac:dyDescent="0.35">
      <c r="F6484">
        <v>6479</v>
      </c>
      <c r="G6484" s="102">
        <f t="shared" ca="1" si="105"/>
        <v>6.4538758077310202E-2</v>
      </c>
    </row>
    <row r="6485" spans="6:7" x14ac:dyDescent="0.35">
      <c r="F6485">
        <v>6480</v>
      </c>
      <c r="G6485" s="102">
        <f t="shared" ca="1" si="105"/>
        <v>4.970878695294452E-3</v>
      </c>
    </row>
    <row r="6486" spans="6:7" x14ac:dyDescent="0.35">
      <c r="F6486">
        <v>6481</v>
      </c>
      <c r="G6486" s="102">
        <f t="shared" ca="1" si="105"/>
        <v>0.12079749191309012</v>
      </c>
    </row>
    <row r="6487" spans="6:7" x14ac:dyDescent="0.35">
      <c r="F6487">
        <v>6482</v>
      </c>
      <c r="G6487" s="102">
        <f t="shared" ca="1" si="105"/>
        <v>2.2609956886866105E-2</v>
      </c>
    </row>
    <row r="6488" spans="6:7" x14ac:dyDescent="0.35">
      <c r="F6488">
        <v>6483</v>
      </c>
      <c r="G6488" s="102">
        <f t="shared" ca="1" si="105"/>
        <v>-0.10496987065462185</v>
      </c>
    </row>
    <row r="6489" spans="6:7" x14ac:dyDescent="0.35">
      <c r="F6489">
        <v>6484</v>
      </c>
      <c r="G6489" s="102">
        <f t="shared" ca="1" si="105"/>
        <v>-2.2090618774285215E-2</v>
      </c>
    </row>
    <row r="6490" spans="6:7" x14ac:dyDescent="0.35">
      <c r="F6490">
        <v>6485</v>
      </c>
      <c r="G6490" s="102">
        <f t="shared" ca="1" si="105"/>
        <v>8.1011816707232953E-3</v>
      </c>
    </row>
    <row r="6491" spans="6:7" x14ac:dyDescent="0.35">
      <c r="F6491">
        <v>6486</v>
      </c>
      <c r="G6491" s="102">
        <f t="shared" ca="1" si="105"/>
        <v>-1.1401270985728938E-2</v>
      </c>
    </row>
    <row r="6492" spans="6:7" x14ac:dyDescent="0.35">
      <c r="F6492">
        <v>6487</v>
      </c>
      <c r="G6492" s="102">
        <f t="shared" ca="1" si="105"/>
        <v>1.0959434319298314E-2</v>
      </c>
    </row>
    <row r="6493" spans="6:7" x14ac:dyDescent="0.35">
      <c r="F6493">
        <v>6488</v>
      </c>
      <c r="G6493" s="102">
        <f t="shared" ca="1" si="105"/>
        <v>-7.8540796687504646E-2</v>
      </c>
    </row>
    <row r="6494" spans="6:7" x14ac:dyDescent="0.35">
      <c r="F6494">
        <v>6489</v>
      </c>
      <c r="G6494" s="102">
        <f t="shared" ca="1" si="105"/>
        <v>1.5093337468807529E-2</v>
      </c>
    </row>
    <row r="6495" spans="6:7" x14ac:dyDescent="0.35">
      <c r="F6495">
        <v>6490</v>
      </c>
      <c r="G6495" s="102">
        <f t="shared" ca="1" si="105"/>
        <v>3.4052017295646761E-3</v>
      </c>
    </row>
    <row r="6496" spans="6:7" x14ac:dyDescent="0.35">
      <c r="F6496">
        <v>6491</v>
      </c>
      <c r="G6496" s="102">
        <f t="shared" ca="1" si="105"/>
        <v>-4.666032174161055E-3</v>
      </c>
    </row>
    <row r="6497" spans="6:7" x14ac:dyDescent="0.35">
      <c r="F6497">
        <v>6492</v>
      </c>
      <c r="G6497" s="102">
        <f t="shared" ca="1" si="105"/>
        <v>-5.3977154676517758E-2</v>
      </c>
    </row>
    <row r="6498" spans="6:7" x14ac:dyDescent="0.35">
      <c r="F6498">
        <v>6493</v>
      </c>
      <c r="G6498" s="102">
        <f t="shared" ca="1" si="105"/>
        <v>5.835839692944161E-3</v>
      </c>
    </row>
    <row r="6499" spans="6:7" x14ac:dyDescent="0.35">
      <c r="F6499">
        <v>6494</v>
      </c>
      <c r="G6499" s="102">
        <f t="shared" ca="1" si="105"/>
        <v>-5.5891249039674906E-2</v>
      </c>
    </row>
    <row r="6500" spans="6:7" x14ac:dyDescent="0.35">
      <c r="F6500">
        <v>6495</v>
      </c>
      <c r="G6500" s="102">
        <f t="shared" ca="1" si="105"/>
        <v>5.7561791542000557E-3</v>
      </c>
    </row>
    <row r="6501" spans="6:7" x14ac:dyDescent="0.35">
      <c r="F6501">
        <v>6496</v>
      </c>
      <c r="G6501" s="102">
        <f t="shared" ca="1" si="105"/>
        <v>2.5667770453726771E-2</v>
      </c>
    </row>
    <row r="6502" spans="6:7" x14ac:dyDescent="0.35">
      <c r="F6502">
        <v>6497</v>
      </c>
      <c r="G6502" s="102">
        <f t="shared" ca="1" si="105"/>
        <v>0.13730291144173723</v>
      </c>
    </row>
    <row r="6503" spans="6:7" x14ac:dyDescent="0.35">
      <c r="F6503">
        <v>6498</v>
      </c>
      <c r="G6503" s="102">
        <f t="shared" ca="1" si="105"/>
        <v>0.15649901354560719</v>
      </c>
    </row>
    <row r="6504" spans="6:7" x14ac:dyDescent="0.35">
      <c r="F6504">
        <v>6499</v>
      </c>
      <c r="G6504" s="102">
        <f t="shared" ca="1" si="105"/>
        <v>-4.1926336710697756E-3</v>
      </c>
    </row>
    <row r="6505" spans="6:7" x14ac:dyDescent="0.35">
      <c r="F6505">
        <v>6500</v>
      </c>
      <c r="G6505" s="102">
        <f t="shared" ca="1" si="105"/>
        <v>-0.10474252456752678</v>
      </c>
    </row>
    <row r="6506" spans="6:7" x14ac:dyDescent="0.35">
      <c r="F6506">
        <v>6501</v>
      </c>
      <c r="G6506" s="102">
        <f t="shared" ca="1" si="105"/>
        <v>-1.5801821025711985E-2</v>
      </c>
    </row>
    <row r="6507" spans="6:7" x14ac:dyDescent="0.35">
      <c r="F6507">
        <v>6502</v>
      </c>
      <c r="G6507" s="102">
        <f t="shared" ca="1" si="105"/>
        <v>2.1083864170687742E-2</v>
      </c>
    </row>
    <row r="6508" spans="6:7" x14ac:dyDescent="0.35">
      <c r="F6508">
        <v>6503</v>
      </c>
      <c r="G6508" s="102">
        <f t="shared" ca="1" si="105"/>
        <v>6.7837353147583192E-3</v>
      </c>
    </row>
    <row r="6509" spans="6:7" x14ac:dyDescent="0.35">
      <c r="F6509">
        <v>6504</v>
      </c>
      <c r="G6509" s="102">
        <f t="shared" ca="1" si="105"/>
        <v>4.1994870682083713E-2</v>
      </c>
    </row>
    <row r="6510" spans="6:7" x14ac:dyDescent="0.35">
      <c r="F6510">
        <v>6505</v>
      </c>
      <c r="G6510" s="102">
        <f t="shared" ca="1" si="105"/>
        <v>1.2298046589459693E-2</v>
      </c>
    </row>
    <row r="6511" spans="6:7" x14ac:dyDescent="0.35">
      <c r="F6511">
        <v>6506</v>
      </c>
      <c r="G6511" s="102">
        <f t="shared" ca="1" si="105"/>
        <v>-9.7532893396381944E-3</v>
      </c>
    </row>
    <row r="6512" spans="6:7" x14ac:dyDescent="0.35">
      <c r="F6512">
        <v>6507</v>
      </c>
      <c r="G6512" s="102">
        <f t="shared" ca="1" si="105"/>
        <v>8.205473129147256E-2</v>
      </c>
    </row>
    <row r="6513" spans="6:7" x14ac:dyDescent="0.35">
      <c r="F6513">
        <v>6508</v>
      </c>
      <c r="G6513" s="102">
        <f t="shared" ca="1" si="105"/>
        <v>6.2798961719884527E-2</v>
      </c>
    </row>
    <row r="6514" spans="6:7" x14ac:dyDescent="0.35">
      <c r="F6514">
        <v>6509</v>
      </c>
      <c r="G6514" s="102">
        <f t="shared" ca="1" si="105"/>
        <v>-0.10447712344656902</v>
      </c>
    </row>
    <row r="6515" spans="6:7" x14ac:dyDescent="0.35">
      <c r="F6515">
        <v>6510</v>
      </c>
      <c r="G6515" s="102">
        <f t="shared" ca="1" si="105"/>
        <v>-3.1527877553387026E-2</v>
      </c>
    </row>
    <row r="6516" spans="6:7" x14ac:dyDescent="0.35">
      <c r="F6516">
        <v>6511</v>
      </c>
      <c r="G6516" s="102">
        <f t="shared" ca="1" si="105"/>
        <v>-8.3729196219844509E-2</v>
      </c>
    </row>
    <row r="6517" spans="6:7" x14ac:dyDescent="0.35">
      <c r="F6517">
        <v>6512</v>
      </c>
      <c r="G6517" s="102">
        <f t="shared" ca="1" si="105"/>
        <v>-1.2543165063121794E-2</v>
      </c>
    </row>
    <row r="6518" spans="6:7" x14ac:dyDescent="0.35">
      <c r="F6518">
        <v>6513</v>
      </c>
      <c r="G6518" s="102">
        <f t="shared" ca="1" si="105"/>
        <v>7.880151988983343E-2</v>
      </c>
    </row>
    <row r="6519" spans="6:7" x14ac:dyDescent="0.35">
      <c r="F6519">
        <v>6514</v>
      </c>
      <c r="G6519" s="102">
        <f t="shared" ca="1" si="105"/>
        <v>2.077270450042701E-3</v>
      </c>
    </row>
    <row r="6520" spans="6:7" x14ac:dyDescent="0.35">
      <c r="F6520">
        <v>6515</v>
      </c>
      <c r="G6520" s="102">
        <f t="shared" ca="1" si="105"/>
        <v>4.8059181747691748E-2</v>
      </c>
    </row>
    <row r="6521" spans="6:7" x14ac:dyDescent="0.35">
      <c r="F6521">
        <v>6516</v>
      </c>
      <c r="G6521" s="102">
        <f t="shared" ca="1" si="105"/>
        <v>-7.7062324983308172E-2</v>
      </c>
    </row>
    <row r="6522" spans="6:7" x14ac:dyDescent="0.35">
      <c r="F6522">
        <v>6517</v>
      </c>
      <c r="G6522" s="102">
        <f t="shared" ca="1" si="105"/>
        <v>-5.8784685898149072E-2</v>
      </c>
    </row>
    <row r="6523" spans="6:7" x14ac:dyDescent="0.35">
      <c r="F6523">
        <v>6518</v>
      </c>
      <c r="G6523" s="102">
        <f t="shared" ca="1" si="105"/>
        <v>-8.292465017494613E-2</v>
      </c>
    </row>
    <row r="6524" spans="6:7" x14ac:dyDescent="0.35">
      <c r="F6524">
        <v>6519</v>
      </c>
      <c r="G6524" s="102">
        <f t="shared" ca="1" si="105"/>
        <v>-0.13320760025482511</v>
      </c>
    </row>
    <row r="6525" spans="6:7" x14ac:dyDescent="0.35">
      <c r="F6525">
        <v>6520</v>
      </c>
      <c r="G6525" s="102">
        <f t="shared" ca="1" si="105"/>
        <v>8.4055607271729289E-3</v>
      </c>
    </row>
    <row r="6526" spans="6:7" x14ac:dyDescent="0.35">
      <c r="F6526">
        <v>6521</v>
      </c>
      <c r="G6526" s="102">
        <f t="shared" ca="1" si="105"/>
        <v>-4.8951806397696945E-2</v>
      </c>
    </row>
    <row r="6527" spans="6:7" x14ac:dyDescent="0.35">
      <c r="F6527">
        <v>6522</v>
      </c>
      <c r="G6527" s="102">
        <f t="shared" ca="1" si="105"/>
        <v>1.2269729777249688E-2</v>
      </c>
    </row>
    <row r="6528" spans="6:7" x14ac:dyDescent="0.35">
      <c r="F6528">
        <v>6523</v>
      </c>
      <c r="G6528" s="102">
        <f t="shared" ca="1" si="105"/>
        <v>7.7796330969752636E-2</v>
      </c>
    </row>
    <row r="6529" spans="6:7" x14ac:dyDescent="0.35">
      <c r="F6529">
        <v>6524</v>
      </c>
      <c r="G6529" s="102">
        <f t="shared" ca="1" si="105"/>
        <v>2.5207585891186979E-2</v>
      </c>
    </row>
    <row r="6530" spans="6:7" x14ac:dyDescent="0.35">
      <c r="F6530">
        <v>6525</v>
      </c>
      <c r="G6530" s="102">
        <f t="shared" ca="1" si="105"/>
        <v>-0.10496598722506779</v>
      </c>
    </row>
    <row r="6531" spans="6:7" x14ac:dyDescent="0.35">
      <c r="F6531">
        <v>6526</v>
      </c>
      <c r="G6531" s="102">
        <f t="shared" ca="1" si="105"/>
        <v>0.11809377100120443</v>
      </c>
    </row>
    <row r="6532" spans="6:7" x14ac:dyDescent="0.35">
      <c r="F6532">
        <v>6527</v>
      </c>
      <c r="G6532" s="102">
        <f t="shared" ca="1" si="105"/>
        <v>8.9739730282047181E-2</v>
      </c>
    </row>
    <row r="6533" spans="6:7" x14ac:dyDescent="0.35">
      <c r="F6533">
        <v>6528</v>
      </c>
      <c r="G6533" s="102">
        <f t="shared" ca="1" si="105"/>
        <v>-1.1792118892244545E-2</v>
      </c>
    </row>
    <row r="6534" spans="6:7" x14ac:dyDescent="0.35">
      <c r="F6534">
        <v>6529</v>
      </c>
      <c r="G6534" s="102">
        <f t="shared" ca="1" si="105"/>
        <v>-9.8651268693803432E-2</v>
      </c>
    </row>
    <row r="6535" spans="6:7" x14ac:dyDescent="0.35">
      <c r="F6535">
        <v>6530</v>
      </c>
      <c r="G6535" s="102">
        <f t="shared" ref="G6535:G6598" ca="1" si="106">_xlfn.NORM.INV(RAND(),M$9,M$10)</f>
        <v>6.6211603697900925E-2</v>
      </c>
    </row>
    <row r="6536" spans="6:7" x14ac:dyDescent="0.35">
      <c r="F6536">
        <v>6531</v>
      </c>
      <c r="G6536" s="102">
        <f t="shared" ca="1" si="106"/>
        <v>5.2356234630263673E-4</v>
      </c>
    </row>
    <row r="6537" spans="6:7" x14ac:dyDescent="0.35">
      <c r="F6537">
        <v>6532</v>
      </c>
      <c r="G6537" s="102">
        <f t="shared" ca="1" si="106"/>
        <v>1.0419208098029514E-2</v>
      </c>
    </row>
    <row r="6538" spans="6:7" x14ac:dyDescent="0.35">
      <c r="F6538">
        <v>6533</v>
      </c>
      <c r="G6538" s="102">
        <f t="shared" ca="1" si="106"/>
        <v>5.4243886473783864E-2</v>
      </c>
    </row>
    <row r="6539" spans="6:7" x14ac:dyDescent="0.35">
      <c r="F6539">
        <v>6534</v>
      </c>
      <c r="G6539" s="102">
        <f t="shared" ca="1" si="106"/>
        <v>-4.8924203804295879E-2</v>
      </c>
    </row>
    <row r="6540" spans="6:7" x14ac:dyDescent="0.35">
      <c r="F6540">
        <v>6535</v>
      </c>
      <c r="G6540" s="102">
        <f t="shared" ca="1" si="106"/>
        <v>-7.4988681004888202E-2</v>
      </c>
    </row>
    <row r="6541" spans="6:7" x14ac:dyDescent="0.35">
      <c r="F6541">
        <v>6536</v>
      </c>
      <c r="G6541" s="102">
        <f t="shared" ca="1" si="106"/>
        <v>-3.2648345076763791E-3</v>
      </c>
    </row>
    <row r="6542" spans="6:7" x14ac:dyDescent="0.35">
      <c r="F6542">
        <v>6537</v>
      </c>
      <c r="G6542" s="102">
        <f t="shared" ca="1" si="106"/>
        <v>-5.1794160508085288E-2</v>
      </c>
    </row>
    <row r="6543" spans="6:7" x14ac:dyDescent="0.35">
      <c r="F6543">
        <v>6538</v>
      </c>
      <c r="G6543" s="102">
        <f t="shared" ca="1" si="106"/>
        <v>2.2414770148779517E-2</v>
      </c>
    </row>
    <row r="6544" spans="6:7" x14ac:dyDescent="0.35">
      <c r="F6544">
        <v>6539</v>
      </c>
      <c r="G6544" s="102">
        <f t="shared" ca="1" si="106"/>
        <v>-0.1003082021030276</v>
      </c>
    </row>
    <row r="6545" spans="6:7" x14ac:dyDescent="0.35">
      <c r="F6545">
        <v>6540</v>
      </c>
      <c r="G6545" s="102">
        <f t="shared" ca="1" si="106"/>
        <v>-2.2928870628917016E-2</v>
      </c>
    </row>
    <row r="6546" spans="6:7" x14ac:dyDescent="0.35">
      <c r="F6546">
        <v>6541</v>
      </c>
      <c r="G6546" s="102">
        <f t="shared" ca="1" si="106"/>
        <v>-2.264840345874294E-2</v>
      </c>
    </row>
    <row r="6547" spans="6:7" x14ac:dyDescent="0.35">
      <c r="F6547">
        <v>6542</v>
      </c>
      <c r="G6547" s="102">
        <f t="shared" ca="1" si="106"/>
        <v>-4.4053630084161827E-2</v>
      </c>
    </row>
    <row r="6548" spans="6:7" x14ac:dyDescent="0.35">
      <c r="F6548">
        <v>6543</v>
      </c>
      <c r="G6548" s="102">
        <f t="shared" ca="1" si="106"/>
        <v>0.11262235819269262</v>
      </c>
    </row>
    <row r="6549" spans="6:7" x14ac:dyDescent="0.35">
      <c r="F6549">
        <v>6544</v>
      </c>
      <c r="G6549" s="102">
        <f t="shared" ca="1" si="106"/>
        <v>4.1288233930461809E-4</v>
      </c>
    </row>
    <row r="6550" spans="6:7" x14ac:dyDescent="0.35">
      <c r="F6550">
        <v>6545</v>
      </c>
      <c r="G6550" s="102">
        <f t="shared" ca="1" si="106"/>
        <v>-7.6145405649251263E-2</v>
      </c>
    </row>
    <row r="6551" spans="6:7" x14ac:dyDescent="0.35">
      <c r="F6551">
        <v>6546</v>
      </c>
      <c r="G6551" s="102">
        <f t="shared" ca="1" si="106"/>
        <v>9.525864962774698E-2</v>
      </c>
    </row>
    <row r="6552" spans="6:7" x14ac:dyDescent="0.35">
      <c r="F6552">
        <v>6547</v>
      </c>
      <c r="G6552" s="102">
        <f t="shared" ca="1" si="106"/>
        <v>6.4907458595985009E-3</v>
      </c>
    </row>
    <row r="6553" spans="6:7" x14ac:dyDescent="0.35">
      <c r="F6553">
        <v>6548</v>
      </c>
      <c r="G6553" s="102">
        <f t="shared" ca="1" si="106"/>
        <v>-9.0699250080768512E-2</v>
      </c>
    </row>
    <row r="6554" spans="6:7" x14ac:dyDescent="0.35">
      <c r="F6554">
        <v>6549</v>
      </c>
      <c r="G6554" s="102">
        <f t="shared" ca="1" si="106"/>
        <v>-2.7970369887757522E-2</v>
      </c>
    </row>
    <row r="6555" spans="6:7" x14ac:dyDescent="0.35">
      <c r="F6555">
        <v>6550</v>
      </c>
      <c r="G6555" s="102">
        <f t="shared" ca="1" si="106"/>
        <v>-1.5862397188850463E-2</v>
      </c>
    </row>
    <row r="6556" spans="6:7" x14ac:dyDescent="0.35">
      <c r="F6556">
        <v>6551</v>
      </c>
      <c r="G6556" s="102">
        <f t="shared" ca="1" si="106"/>
        <v>7.4842729515626968E-2</v>
      </c>
    </row>
    <row r="6557" spans="6:7" x14ac:dyDescent="0.35">
      <c r="F6557">
        <v>6552</v>
      </c>
      <c r="G6557" s="102">
        <f t="shared" ca="1" si="106"/>
        <v>3.4253026830680169E-2</v>
      </c>
    </row>
    <row r="6558" spans="6:7" x14ac:dyDescent="0.35">
      <c r="F6558">
        <v>6553</v>
      </c>
      <c r="G6558" s="102">
        <f t="shared" ca="1" si="106"/>
        <v>-2.5601550017194845E-3</v>
      </c>
    </row>
    <row r="6559" spans="6:7" x14ac:dyDescent="0.35">
      <c r="F6559">
        <v>6554</v>
      </c>
      <c r="G6559" s="102">
        <f t="shared" ca="1" si="106"/>
        <v>8.7820555206619119E-2</v>
      </c>
    </row>
    <row r="6560" spans="6:7" x14ac:dyDescent="0.35">
      <c r="F6560">
        <v>6555</v>
      </c>
      <c r="G6560" s="102">
        <f t="shared" ca="1" si="106"/>
        <v>-4.1101551613819245E-2</v>
      </c>
    </row>
    <row r="6561" spans="6:7" x14ac:dyDescent="0.35">
      <c r="F6561">
        <v>6556</v>
      </c>
      <c r="G6561" s="102">
        <f t="shared" ca="1" si="106"/>
        <v>2.1994337513625471E-2</v>
      </c>
    </row>
    <row r="6562" spans="6:7" x14ac:dyDescent="0.35">
      <c r="F6562">
        <v>6557</v>
      </c>
      <c r="G6562" s="102">
        <f t="shared" ca="1" si="106"/>
        <v>5.5403561118592196E-2</v>
      </c>
    </row>
    <row r="6563" spans="6:7" x14ac:dyDescent="0.35">
      <c r="F6563">
        <v>6558</v>
      </c>
      <c r="G6563" s="102">
        <f t="shared" ca="1" si="106"/>
        <v>-3.7785384852555226E-2</v>
      </c>
    </row>
    <row r="6564" spans="6:7" x14ac:dyDescent="0.35">
      <c r="F6564">
        <v>6559</v>
      </c>
      <c r="G6564" s="102">
        <f t="shared" ca="1" si="106"/>
        <v>-5.8716231984988779E-2</v>
      </c>
    </row>
    <row r="6565" spans="6:7" x14ac:dyDescent="0.35">
      <c r="F6565">
        <v>6560</v>
      </c>
      <c r="G6565" s="102">
        <f t="shared" ca="1" si="106"/>
        <v>1.9454301763203716E-2</v>
      </c>
    </row>
    <row r="6566" spans="6:7" x14ac:dyDescent="0.35">
      <c r="F6566">
        <v>6561</v>
      </c>
      <c r="G6566" s="102">
        <f t="shared" ca="1" si="106"/>
        <v>-5.0053839790191396E-3</v>
      </c>
    </row>
    <row r="6567" spans="6:7" x14ac:dyDescent="0.35">
      <c r="F6567">
        <v>6562</v>
      </c>
      <c r="G6567" s="102">
        <f t="shared" ca="1" si="106"/>
        <v>-9.6762706996935816E-2</v>
      </c>
    </row>
    <row r="6568" spans="6:7" x14ac:dyDescent="0.35">
      <c r="F6568">
        <v>6563</v>
      </c>
      <c r="G6568" s="102">
        <f t="shared" ca="1" si="106"/>
        <v>-0.10598892788898928</v>
      </c>
    </row>
    <row r="6569" spans="6:7" x14ac:dyDescent="0.35">
      <c r="F6569">
        <v>6564</v>
      </c>
      <c r="G6569" s="102">
        <f t="shared" ca="1" si="106"/>
        <v>7.8051508036367078E-3</v>
      </c>
    </row>
    <row r="6570" spans="6:7" x14ac:dyDescent="0.35">
      <c r="F6570">
        <v>6565</v>
      </c>
      <c r="G6570" s="102">
        <f t="shared" ca="1" si="106"/>
        <v>1.0168467792073532E-2</v>
      </c>
    </row>
    <row r="6571" spans="6:7" x14ac:dyDescent="0.35">
      <c r="F6571">
        <v>6566</v>
      </c>
      <c r="G6571" s="102">
        <f t="shared" ca="1" si="106"/>
        <v>-2.4656079832740152E-2</v>
      </c>
    </row>
    <row r="6572" spans="6:7" x14ac:dyDescent="0.35">
      <c r="F6572">
        <v>6567</v>
      </c>
      <c r="G6572" s="102">
        <f t="shared" ca="1" si="106"/>
        <v>5.3003434119310994E-2</v>
      </c>
    </row>
    <row r="6573" spans="6:7" x14ac:dyDescent="0.35">
      <c r="F6573">
        <v>6568</v>
      </c>
      <c r="G6573" s="102">
        <f t="shared" ca="1" si="106"/>
        <v>5.601859650733941E-2</v>
      </c>
    </row>
    <row r="6574" spans="6:7" x14ac:dyDescent="0.35">
      <c r="F6574">
        <v>6569</v>
      </c>
      <c r="G6574" s="102">
        <f t="shared" ca="1" si="106"/>
        <v>5.0418047903575375E-2</v>
      </c>
    </row>
    <row r="6575" spans="6:7" x14ac:dyDescent="0.35">
      <c r="F6575">
        <v>6570</v>
      </c>
      <c r="G6575" s="102">
        <f t="shared" ca="1" si="106"/>
        <v>-7.0163287704173086E-2</v>
      </c>
    </row>
    <row r="6576" spans="6:7" x14ac:dyDescent="0.35">
      <c r="F6576">
        <v>6571</v>
      </c>
      <c r="G6576" s="102">
        <f t="shared" ca="1" si="106"/>
        <v>4.2681755598941978E-3</v>
      </c>
    </row>
    <row r="6577" spans="6:7" x14ac:dyDescent="0.35">
      <c r="F6577">
        <v>6572</v>
      </c>
      <c r="G6577" s="102">
        <f t="shared" ca="1" si="106"/>
        <v>-7.2918545022096506E-2</v>
      </c>
    </row>
    <row r="6578" spans="6:7" x14ac:dyDescent="0.35">
      <c r="F6578">
        <v>6573</v>
      </c>
      <c r="G6578" s="102">
        <f t="shared" ca="1" si="106"/>
        <v>-5.513014612270295E-2</v>
      </c>
    </row>
    <row r="6579" spans="6:7" x14ac:dyDescent="0.35">
      <c r="F6579">
        <v>6574</v>
      </c>
      <c r="G6579" s="102">
        <f t="shared" ca="1" si="106"/>
        <v>-5.3485218423707528E-2</v>
      </c>
    </row>
    <row r="6580" spans="6:7" x14ac:dyDescent="0.35">
      <c r="F6580">
        <v>6575</v>
      </c>
      <c r="G6580" s="102">
        <f t="shared" ca="1" si="106"/>
        <v>5.2374901895515746E-2</v>
      </c>
    </row>
    <row r="6581" spans="6:7" x14ac:dyDescent="0.35">
      <c r="F6581">
        <v>6576</v>
      </c>
      <c r="G6581" s="102">
        <f t="shared" ca="1" si="106"/>
        <v>-1.6487957411646E-2</v>
      </c>
    </row>
    <row r="6582" spans="6:7" x14ac:dyDescent="0.35">
      <c r="F6582">
        <v>6577</v>
      </c>
      <c r="G6582" s="102">
        <f t="shared" ca="1" si="106"/>
        <v>2.8242693247506199E-2</v>
      </c>
    </row>
    <row r="6583" spans="6:7" x14ac:dyDescent="0.35">
      <c r="F6583">
        <v>6578</v>
      </c>
      <c r="G6583" s="102">
        <f t="shared" ca="1" si="106"/>
        <v>3.3656407470521177E-2</v>
      </c>
    </row>
    <row r="6584" spans="6:7" x14ac:dyDescent="0.35">
      <c r="F6584">
        <v>6579</v>
      </c>
      <c r="G6584" s="102">
        <f t="shared" ca="1" si="106"/>
        <v>-3.6900055936190737E-2</v>
      </c>
    </row>
    <row r="6585" spans="6:7" x14ac:dyDescent="0.35">
      <c r="F6585">
        <v>6580</v>
      </c>
      <c r="G6585" s="102">
        <f t="shared" ca="1" si="106"/>
        <v>-3.4317908499255256E-2</v>
      </c>
    </row>
    <row r="6586" spans="6:7" x14ac:dyDescent="0.35">
      <c r="F6586">
        <v>6581</v>
      </c>
      <c r="G6586" s="102">
        <f t="shared" ca="1" si="106"/>
        <v>-1.7971936170532322E-2</v>
      </c>
    </row>
    <row r="6587" spans="6:7" x14ac:dyDescent="0.35">
      <c r="F6587">
        <v>6582</v>
      </c>
      <c r="G6587" s="102">
        <f t="shared" ca="1" si="106"/>
        <v>4.3831697882704385E-2</v>
      </c>
    </row>
    <row r="6588" spans="6:7" x14ac:dyDescent="0.35">
      <c r="F6588">
        <v>6583</v>
      </c>
      <c r="G6588" s="102">
        <f t="shared" ca="1" si="106"/>
        <v>-5.1657543903017009E-2</v>
      </c>
    </row>
    <row r="6589" spans="6:7" x14ac:dyDescent="0.35">
      <c r="F6589">
        <v>6584</v>
      </c>
      <c r="G6589" s="102">
        <f t="shared" ca="1" si="106"/>
        <v>-1.237850877979001E-2</v>
      </c>
    </row>
    <row r="6590" spans="6:7" x14ac:dyDescent="0.35">
      <c r="F6590">
        <v>6585</v>
      </c>
      <c r="G6590" s="102">
        <f t="shared" ca="1" si="106"/>
        <v>1.2478460907086368E-2</v>
      </c>
    </row>
    <row r="6591" spans="6:7" x14ac:dyDescent="0.35">
      <c r="F6591">
        <v>6586</v>
      </c>
      <c r="G6591" s="102">
        <f t="shared" ca="1" si="106"/>
        <v>-8.6602138465866011E-3</v>
      </c>
    </row>
    <row r="6592" spans="6:7" x14ac:dyDescent="0.35">
      <c r="F6592">
        <v>6587</v>
      </c>
      <c r="G6592" s="102">
        <f t="shared" ca="1" si="106"/>
        <v>7.5779793607753956E-2</v>
      </c>
    </row>
    <row r="6593" spans="6:7" x14ac:dyDescent="0.35">
      <c r="F6593">
        <v>6588</v>
      </c>
      <c r="G6593" s="102">
        <f t="shared" ca="1" si="106"/>
        <v>2.8959146984687132E-2</v>
      </c>
    </row>
    <row r="6594" spans="6:7" x14ac:dyDescent="0.35">
      <c r="F6594">
        <v>6589</v>
      </c>
      <c r="G6594" s="102">
        <f t="shared" ca="1" si="106"/>
        <v>0.12065583934066808</v>
      </c>
    </row>
    <row r="6595" spans="6:7" x14ac:dyDescent="0.35">
      <c r="F6595">
        <v>6590</v>
      </c>
      <c r="G6595" s="102">
        <f t="shared" ca="1" si="106"/>
        <v>5.6157006235716761E-2</v>
      </c>
    </row>
    <row r="6596" spans="6:7" x14ac:dyDescent="0.35">
      <c r="F6596">
        <v>6591</v>
      </c>
      <c r="G6596" s="102">
        <f t="shared" ca="1" si="106"/>
        <v>-0.13668352880068424</v>
      </c>
    </row>
    <row r="6597" spans="6:7" x14ac:dyDescent="0.35">
      <c r="F6597">
        <v>6592</v>
      </c>
      <c r="G6597" s="102">
        <f t="shared" ca="1" si="106"/>
        <v>-3.07903442756692E-2</v>
      </c>
    </row>
    <row r="6598" spans="6:7" x14ac:dyDescent="0.35">
      <c r="F6598">
        <v>6593</v>
      </c>
      <c r="G6598" s="102">
        <f t="shared" ca="1" si="106"/>
        <v>-4.2367643619373063E-2</v>
      </c>
    </row>
    <row r="6599" spans="6:7" x14ac:dyDescent="0.35">
      <c r="F6599">
        <v>6594</v>
      </c>
      <c r="G6599" s="102">
        <f t="shared" ref="G6599:G6662" ca="1" si="107">_xlfn.NORM.INV(RAND(),M$9,M$10)</f>
        <v>1.9779926474048574E-2</v>
      </c>
    </row>
    <row r="6600" spans="6:7" x14ac:dyDescent="0.35">
      <c r="F6600">
        <v>6595</v>
      </c>
      <c r="G6600" s="102">
        <f t="shared" ca="1" si="107"/>
        <v>8.2867335113725973E-2</v>
      </c>
    </row>
    <row r="6601" spans="6:7" x14ac:dyDescent="0.35">
      <c r="F6601">
        <v>6596</v>
      </c>
      <c r="G6601" s="102">
        <f t="shared" ca="1" si="107"/>
        <v>-5.2353710018389135E-2</v>
      </c>
    </row>
    <row r="6602" spans="6:7" x14ac:dyDescent="0.35">
      <c r="F6602">
        <v>6597</v>
      </c>
      <c r="G6602" s="102">
        <f t="shared" ca="1" si="107"/>
        <v>-5.0018701044605762E-2</v>
      </c>
    </row>
    <row r="6603" spans="6:7" x14ac:dyDescent="0.35">
      <c r="F6603">
        <v>6598</v>
      </c>
      <c r="G6603" s="102">
        <f t="shared" ca="1" si="107"/>
        <v>5.1195242999887008E-2</v>
      </c>
    </row>
    <row r="6604" spans="6:7" x14ac:dyDescent="0.35">
      <c r="F6604">
        <v>6599</v>
      </c>
      <c r="G6604" s="102">
        <f t="shared" ca="1" si="107"/>
        <v>2.762592045917223E-2</v>
      </c>
    </row>
    <row r="6605" spans="6:7" x14ac:dyDescent="0.35">
      <c r="F6605">
        <v>6600</v>
      </c>
      <c r="G6605" s="102">
        <f t="shared" ca="1" si="107"/>
        <v>-0.11507841557095409</v>
      </c>
    </row>
    <row r="6606" spans="6:7" x14ac:dyDescent="0.35">
      <c r="F6606">
        <v>6601</v>
      </c>
      <c r="G6606" s="102">
        <f t="shared" ca="1" si="107"/>
        <v>-4.4705951017334489E-2</v>
      </c>
    </row>
    <row r="6607" spans="6:7" x14ac:dyDescent="0.35">
      <c r="F6607">
        <v>6602</v>
      </c>
      <c r="G6607" s="102">
        <f t="shared" ca="1" si="107"/>
        <v>-1.8936130639378778E-2</v>
      </c>
    </row>
    <row r="6608" spans="6:7" x14ac:dyDescent="0.35">
      <c r="F6608">
        <v>6603</v>
      </c>
      <c r="G6608" s="102">
        <f t="shared" ca="1" si="107"/>
        <v>3.579294198930387E-2</v>
      </c>
    </row>
    <row r="6609" spans="6:7" x14ac:dyDescent="0.35">
      <c r="F6609">
        <v>6604</v>
      </c>
      <c r="G6609" s="102">
        <f t="shared" ca="1" si="107"/>
        <v>-1.1458961711103846E-2</v>
      </c>
    </row>
    <row r="6610" spans="6:7" x14ac:dyDescent="0.35">
      <c r="F6610">
        <v>6605</v>
      </c>
      <c r="G6610" s="102">
        <f t="shared" ca="1" si="107"/>
        <v>2.0697258676419136E-2</v>
      </c>
    </row>
    <row r="6611" spans="6:7" x14ac:dyDescent="0.35">
      <c r="F6611">
        <v>6606</v>
      </c>
      <c r="G6611" s="102">
        <f t="shared" ca="1" si="107"/>
        <v>-6.177288657029277E-2</v>
      </c>
    </row>
    <row r="6612" spans="6:7" x14ac:dyDescent="0.35">
      <c r="F6612">
        <v>6607</v>
      </c>
      <c r="G6612" s="102">
        <f t="shared" ca="1" si="107"/>
        <v>-2.9548198524421859E-3</v>
      </c>
    </row>
    <row r="6613" spans="6:7" x14ac:dyDescent="0.35">
      <c r="F6613">
        <v>6608</v>
      </c>
      <c r="G6613" s="102">
        <f t="shared" ca="1" si="107"/>
        <v>2.6867292014927577E-2</v>
      </c>
    </row>
    <row r="6614" spans="6:7" x14ac:dyDescent="0.35">
      <c r="F6614">
        <v>6609</v>
      </c>
      <c r="G6614" s="102">
        <f t="shared" ca="1" si="107"/>
        <v>0.13340404852101945</v>
      </c>
    </row>
    <row r="6615" spans="6:7" x14ac:dyDescent="0.35">
      <c r="F6615">
        <v>6610</v>
      </c>
      <c r="G6615" s="102">
        <f t="shared" ca="1" si="107"/>
        <v>1.2093797821789719E-2</v>
      </c>
    </row>
    <row r="6616" spans="6:7" x14ac:dyDescent="0.35">
      <c r="F6616">
        <v>6611</v>
      </c>
      <c r="G6616" s="102">
        <f t="shared" ca="1" si="107"/>
        <v>7.6361136915294128E-2</v>
      </c>
    </row>
    <row r="6617" spans="6:7" x14ac:dyDescent="0.35">
      <c r="F6617">
        <v>6612</v>
      </c>
      <c r="G6617" s="102">
        <f t="shared" ca="1" si="107"/>
        <v>5.892064205618161E-2</v>
      </c>
    </row>
    <row r="6618" spans="6:7" x14ac:dyDescent="0.35">
      <c r="F6618">
        <v>6613</v>
      </c>
      <c r="G6618" s="102">
        <f t="shared" ca="1" si="107"/>
        <v>-0.15680813497831883</v>
      </c>
    </row>
    <row r="6619" spans="6:7" x14ac:dyDescent="0.35">
      <c r="F6619">
        <v>6614</v>
      </c>
      <c r="G6619" s="102">
        <f t="shared" ca="1" si="107"/>
        <v>-2.6396883480240244E-3</v>
      </c>
    </row>
    <row r="6620" spans="6:7" x14ac:dyDescent="0.35">
      <c r="F6620">
        <v>6615</v>
      </c>
      <c r="G6620" s="102">
        <f t="shared" ca="1" si="107"/>
        <v>-2.4165648883892336E-2</v>
      </c>
    </row>
    <row r="6621" spans="6:7" x14ac:dyDescent="0.35">
      <c r="F6621">
        <v>6616</v>
      </c>
      <c r="G6621" s="102">
        <f t="shared" ca="1" si="107"/>
        <v>-5.8891603890196223E-2</v>
      </c>
    </row>
    <row r="6622" spans="6:7" x14ac:dyDescent="0.35">
      <c r="F6622">
        <v>6617</v>
      </c>
      <c r="G6622" s="102">
        <f t="shared" ca="1" si="107"/>
        <v>-6.7651052690228364E-2</v>
      </c>
    </row>
    <row r="6623" spans="6:7" x14ac:dyDescent="0.35">
      <c r="F6623">
        <v>6618</v>
      </c>
      <c r="G6623" s="102">
        <f t="shared" ca="1" si="107"/>
        <v>-2.6886788659746863E-2</v>
      </c>
    </row>
    <row r="6624" spans="6:7" x14ac:dyDescent="0.35">
      <c r="F6624">
        <v>6619</v>
      </c>
      <c r="G6624" s="102">
        <f t="shared" ca="1" si="107"/>
        <v>6.1598372556465691E-2</v>
      </c>
    </row>
    <row r="6625" spans="6:7" x14ac:dyDescent="0.35">
      <c r="F6625">
        <v>6620</v>
      </c>
      <c r="G6625" s="102">
        <f t="shared" ca="1" si="107"/>
        <v>8.0760240628964641E-2</v>
      </c>
    </row>
    <row r="6626" spans="6:7" x14ac:dyDescent="0.35">
      <c r="F6626">
        <v>6621</v>
      </c>
      <c r="G6626" s="102">
        <f t="shared" ca="1" si="107"/>
        <v>-7.0901327139132941E-2</v>
      </c>
    </row>
    <row r="6627" spans="6:7" x14ac:dyDescent="0.35">
      <c r="F6627">
        <v>6622</v>
      </c>
      <c r="G6627" s="102">
        <f t="shared" ca="1" si="107"/>
        <v>7.7874966760230424E-2</v>
      </c>
    </row>
    <row r="6628" spans="6:7" x14ac:dyDescent="0.35">
      <c r="F6628">
        <v>6623</v>
      </c>
      <c r="G6628" s="102">
        <f t="shared" ca="1" si="107"/>
        <v>-3.9657874207936608E-2</v>
      </c>
    </row>
    <row r="6629" spans="6:7" x14ac:dyDescent="0.35">
      <c r="F6629">
        <v>6624</v>
      </c>
      <c r="G6629" s="102">
        <f t="shared" ca="1" si="107"/>
        <v>-1.459471318741434E-2</v>
      </c>
    </row>
    <row r="6630" spans="6:7" x14ac:dyDescent="0.35">
      <c r="F6630">
        <v>6625</v>
      </c>
      <c r="G6630" s="102">
        <f t="shared" ca="1" si="107"/>
        <v>-3.8692483154403795E-2</v>
      </c>
    </row>
    <row r="6631" spans="6:7" x14ac:dyDescent="0.35">
      <c r="F6631">
        <v>6626</v>
      </c>
      <c r="G6631" s="102">
        <f t="shared" ca="1" si="107"/>
        <v>1.6431582714440299E-2</v>
      </c>
    </row>
    <row r="6632" spans="6:7" x14ac:dyDescent="0.35">
      <c r="F6632">
        <v>6627</v>
      </c>
      <c r="G6632" s="102">
        <f t="shared" ca="1" si="107"/>
        <v>-2.9952491432195812E-2</v>
      </c>
    </row>
    <row r="6633" spans="6:7" x14ac:dyDescent="0.35">
      <c r="F6633">
        <v>6628</v>
      </c>
      <c r="G6633" s="102">
        <f t="shared" ca="1" si="107"/>
        <v>-6.1086171624139651E-2</v>
      </c>
    </row>
    <row r="6634" spans="6:7" x14ac:dyDescent="0.35">
      <c r="F6634">
        <v>6629</v>
      </c>
      <c r="G6634" s="102">
        <f t="shared" ca="1" si="107"/>
        <v>-4.1513677954948622E-3</v>
      </c>
    </row>
    <row r="6635" spans="6:7" x14ac:dyDescent="0.35">
      <c r="F6635">
        <v>6630</v>
      </c>
      <c r="G6635" s="102">
        <f t="shared" ca="1" si="107"/>
        <v>-4.7018623414865762E-2</v>
      </c>
    </row>
    <row r="6636" spans="6:7" x14ac:dyDescent="0.35">
      <c r="F6636">
        <v>6631</v>
      </c>
      <c r="G6636" s="102">
        <f t="shared" ca="1" si="107"/>
        <v>-3.3312750507879567E-2</v>
      </c>
    </row>
    <row r="6637" spans="6:7" x14ac:dyDescent="0.35">
      <c r="F6637">
        <v>6632</v>
      </c>
      <c r="G6637" s="102">
        <f t="shared" ca="1" si="107"/>
        <v>-2.3380874663772162E-2</v>
      </c>
    </row>
    <row r="6638" spans="6:7" x14ac:dyDescent="0.35">
      <c r="F6638">
        <v>6633</v>
      </c>
      <c r="G6638" s="102">
        <f t="shared" ca="1" si="107"/>
        <v>3.2798371262220891E-2</v>
      </c>
    </row>
    <row r="6639" spans="6:7" x14ac:dyDescent="0.35">
      <c r="F6639">
        <v>6634</v>
      </c>
      <c r="G6639" s="102">
        <f t="shared" ca="1" si="107"/>
        <v>3.1798286333572803E-2</v>
      </c>
    </row>
    <row r="6640" spans="6:7" x14ac:dyDescent="0.35">
      <c r="F6640">
        <v>6635</v>
      </c>
      <c r="G6640" s="102">
        <f t="shared" ca="1" si="107"/>
        <v>1.9032863607607167E-2</v>
      </c>
    </row>
    <row r="6641" spans="6:7" x14ac:dyDescent="0.35">
      <c r="F6641">
        <v>6636</v>
      </c>
      <c r="G6641" s="102">
        <f t="shared" ca="1" si="107"/>
        <v>5.9357699628622987E-2</v>
      </c>
    </row>
    <row r="6642" spans="6:7" x14ac:dyDescent="0.35">
      <c r="F6642">
        <v>6637</v>
      </c>
      <c r="G6642" s="102">
        <f t="shared" ca="1" si="107"/>
        <v>9.3110985000152705E-2</v>
      </c>
    </row>
    <row r="6643" spans="6:7" x14ac:dyDescent="0.35">
      <c r="F6643">
        <v>6638</v>
      </c>
      <c r="G6643" s="102">
        <f t="shared" ca="1" si="107"/>
        <v>-5.8033211532168907E-2</v>
      </c>
    </row>
    <row r="6644" spans="6:7" x14ac:dyDescent="0.35">
      <c r="F6644">
        <v>6639</v>
      </c>
      <c r="G6644" s="102">
        <f t="shared" ca="1" si="107"/>
        <v>-3.3931275864133434E-3</v>
      </c>
    </row>
    <row r="6645" spans="6:7" x14ac:dyDescent="0.35">
      <c r="F6645">
        <v>6640</v>
      </c>
      <c r="G6645" s="102">
        <f t="shared" ca="1" si="107"/>
        <v>4.062655219103152E-2</v>
      </c>
    </row>
    <row r="6646" spans="6:7" x14ac:dyDescent="0.35">
      <c r="F6646">
        <v>6641</v>
      </c>
      <c r="G6646" s="102">
        <f t="shared" ca="1" si="107"/>
        <v>1.5576382087871096E-2</v>
      </c>
    </row>
    <row r="6647" spans="6:7" x14ac:dyDescent="0.35">
      <c r="F6647">
        <v>6642</v>
      </c>
      <c r="G6647" s="102">
        <f t="shared" ca="1" si="107"/>
        <v>7.3478246621257556E-2</v>
      </c>
    </row>
    <row r="6648" spans="6:7" x14ac:dyDescent="0.35">
      <c r="F6648">
        <v>6643</v>
      </c>
      <c r="G6648" s="102">
        <f t="shared" ca="1" si="107"/>
        <v>9.5040614959381424E-3</v>
      </c>
    </row>
    <row r="6649" spans="6:7" x14ac:dyDescent="0.35">
      <c r="F6649">
        <v>6644</v>
      </c>
      <c r="G6649" s="102">
        <f t="shared" ca="1" si="107"/>
        <v>-2.9028697669962782E-2</v>
      </c>
    </row>
    <row r="6650" spans="6:7" x14ac:dyDescent="0.35">
      <c r="F6650">
        <v>6645</v>
      </c>
      <c r="G6650" s="102">
        <f t="shared" ca="1" si="107"/>
        <v>4.0974334322647771E-2</v>
      </c>
    </row>
    <row r="6651" spans="6:7" x14ac:dyDescent="0.35">
      <c r="F6651">
        <v>6646</v>
      </c>
      <c r="G6651" s="102">
        <f t="shared" ca="1" si="107"/>
        <v>-6.9114176830841298E-2</v>
      </c>
    </row>
    <row r="6652" spans="6:7" x14ac:dyDescent="0.35">
      <c r="F6652">
        <v>6647</v>
      </c>
      <c r="G6652" s="102">
        <f t="shared" ca="1" si="107"/>
        <v>4.3724879905863157E-2</v>
      </c>
    </row>
    <row r="6653" spans="6:7" x14ac:dyDescent="0.35">
      <c r="F6653">
        <v>6648</v>
      </c>
      <c r="G6653" s="102">
        <f t="shared" ca="1" si="107"/>
        <v>-3.5675035482999509E-2</v>
      </c>
    </row>
    <row r="6654" spans="6:7" x14ac:dyDescent="0.35">
      <c r="F6654">
        <v>6649</v>
      </c>
      <c r="G6654" s="102">
        <f t="shared" ca="1" si="107"/>
        <v>6.9842758578504541E-2</v>
      </c>
    </row>
    <row r="6655" spans="6:7" x14ac:dyDescent="0.35">
      <c r="F6655">
        <v>6650</v>
      </c>
      <c r="G6655" s="102">
        <f t="shared" ca="1" si="107"/>
        <v>-3.2898408494122428E-2</v>
      </c>
    </row>
    <row r="6656" spans="6:7" x14ac:dyDescent="0.35">
      <c r="F6656">
        <v>6651</v>
      </c>
      <c r="G6656" s="102">
        <f t="shared" ca="1" si="107"/>
        <v>-1.6639274493326112E-2</v>
      </c>
    </row>
    <row r="6657" spans="6:7" x14ac:dyDescent="0.35">
      <c r="F6657">
        <v>6652</v>
      </c>
      <c r="G6657" s="102">
        <f t="shared" ca="1" si="107"/>
        <v>1.2237623686128525E-2</v>
      </c>
    </row>
    <row r="6658" spans="6:7" x14ac:dyDescent="0.35">
      <c r="F6658">
        <v>6653</v>
      </c>
      <c r="G6658" s="102">
        <f t="shared" ca="1" si="107"/>
        <v>5.2290354337275774E-2</v>
      </c>
    </row>
    <row r="6659" spans="6:7" x14ac:dyDescent="0.35">
      <c r="F6659">
        <v>6654</v>
      </c>
      <c r="G6659" s="102">
        <f t="shared" ca="1" si="107"/>
        <v>-5.4238879046393962E-2</v>
      </c>
    </row>
    <row r="6660" spans="6:7" x14ac:dyDescent="0.35">
      <c r="F6660">
        <v>6655</v>
      </c>
      <c r="G6660" s="102">
        <f t="shared" ca="1" si="107"/>
        <v>-9.1130290625133694E-3</v>
      </c>
    </row>
    <row r="6661" spans="6:7" x14ac:dyDescent="0.35">
      <c r="F6661">
        <v>6656</v>
      </c>
      <c r="G6661" s="102">
        <f t="shared" ca="1" si="107"/>
        <v>3.5441266703697585E-2</v>
      </c>
    </row>
    <row r="6662" spans="6:7" x14ac:dyDescent="0.35">
      <c r="F6662">
        <v>6657</v>
      </c>
      <c r="G6662" s="102">
        <f t="shared" ca="1" si="107"/>
        <v>-1.9516721074012193E-2</v>
      </c>
    </row>
    <row r="6663" spans="6:7" x14ac:dyDescent="0.35">
      <c r="F6663">
        <v>6658</v>
      </c>
      <c r="G6663" s="102">
        <f t="shared" ref="G6663:G6726" ca="1" si="108">_xlfn.NORM.INV(RAND(),M$9,M$10)</f>
        <v>-9.5940691106726483E-2</v>
      </c>
    </row>
    <row r="6664" spans="6:7" x14ac:dyDescent="0.35">
      <c r="F6664">
        <v>6659</v>
      </c>
      <c r="G6664" s="102">
        <f t="shared" ca="1" si="108"/>
        <v>-0.13714297861725308</v>
      </c>
    </row>
    <row r="6665" spans="6:7" x14ac:dyDescent="0.35">
      <c r="F6665">
        <v>6660</v>
      </c>
      <c r="G6665" s="102">
        <f t="shared" ca="1" si="108"/>
        <v>-4.1389266577902567E-2</v>
      </c>
    </row>
    <row r="6666" spans="6:7" x14ac:dyDescent="0.35">
      <c r="F6666">
        <v>6661</v>
      </c>
      <c r="G6666" s="102">
        <f t="shared" ca="1" si="108"/>
        <v>-8.6343243005901085E-2</v>
      </c>
    </row>
    <row r="6667" spans="6:7" x14ac:dyDescent="0.35">
      <c r="F6667">
        <v>6662</v>
      </c>
      <c r="G6667" s="102">
        <f t="shared" ca="1" si="108"/>
        <v>-5.7751945138553126E-2</v>
      </c>
    </row>
    <row r="6668" spans="6:7" x14ac:dyDescent="0.35">
      <c r="F6668">
        <v>6663</v>
      </c>
      <c r="G6668" s="102">
        <f t="shared" ca="1" si="108"/>
        <v>7.45321743576636E-2</v>
      </c>
    </row>
    <row r="6669" spans="6:7" x14ac:dyDescent="0.35">
      <c r="F6669">
        <v>6664</v>
      </c>
      <c r="G6669" s="102">
        <f t="shared" ca="1" si="108"/>
        <v>7.0134661705183052E-2</v>
      </c>
    </row>
    <row r="6670" spans="6:7" x14ac:dyDescent="0.35">
      <c r="F6670">
        <v>6665</v>
      </c>
      <c r="G6670" s="102">
        <f t="shared" ca="1" si="108"/>
        <v>-1.6276191050849959E-2</v>
      </c>
    </row>
    <row r="6671" spans="6:7" x14ac:dyDescent="0.35">
      <c r="F6671">
        <v>6666</v>
      </c>
      <c r="G6671" s="102">
        <f t="shared" ca="1" si="108"/>
        <v>1.8161787238354429E-2</v>
      </c>
    </row>
    <row r="6672" spans="6:7" x14ac:dyDescent="0.35">
      <c r="F6672">
        <v>6667</v>
      </c>
      <c r="G6672" s="102">
        <f t="shared" ca="1" si="108"/>
        <v>-1.5027831714802268E-2</v>
      </c>
    </row>
    <row r="6673" spans="6:7" x14ac:dyDescent="0.35">
      <c r="F6673">
        <v>6668</v>
      </c>
      <c r="G6673" s="102">
        <f t="shared" ca="1" si="108"/>
        <v>6.4850562319916635E-2</v>
      </c>
    </row>
    <row r="6674" spans="6:7" x14ac:dyDescent="0.35">
      <c r="F6674">
        <v>6669</v>
      </c>
      <c r="G6674" s="102">
        <f t="shared" ca="1" si="108"/>
        <v>-6.7984413687806777E-2</v>
      </c>
    </row>
    <row r="6675" spans="6:7" x14ac:dyDescent="0.35">
      <c r="F6675">
        <v>6670</v>
      </c>
      <c r="G6675" s="102">
        <f t="shared" ca="1" si="108"/>
        <v>-4.5761938384437692E-2</v>
      </c>
    </row>
    <row r="6676" spans="6:7" x14ac:dyDescent="0.35">
      <c r="F6676">
        <v>6671</v>
      </c>
      <c r="G6676" s="102">
        <f t="shared" ca="1" si="108"/>
        <v>-9.1151741909508699E-2</v>
      </c>
    </row>
    <row r="6677" spans="6:7" x14ac:dyDescent="0.35">
      <c r="F6677">
        <v>6672</v>
      </c>
      <c r="G6677" s="102">
        <f t="shared" ca="1" si="108"/>
        <v>2.2766070734264114E-2</v>
      </c>
    </row>
    <row r="6678" spans="6:7" x14ac:dyDescent="0.35">
      <c r="F6678">
        <v>6673</v>
      </c>
      <c r="G6678" s="102">
        <f t="shared" ca="1" si="108"/>
        <v>-4.184274783496035E-2</v>
      </c>
    </row>
    <row r="6679" spans="6:7" x14ac:dyDescent="0.35">
      <c r="F6679">
        <v>6674</v>
      </c>
      <c r="G6679" s="102">
        <f t="shared" ca="1" si="108"/>
        <v>-8.4793661655125849E-2</v>
      </c>
    </row>
    <row r="6680" spans="6:7" x14ac:dyDescent="0.35">
      <c r="F6680">
        <v>6675</v>
      </c>
      <c r="G6680" s="102">
        <f t="shared" ca="1" si="108"/>
        <v>6.0209535228827521E-2</v>
      </c>
    </row>
    <row r="6681" spans="6:7" x14ac:dyDescent="0.35">
      <c r="F6681">
        <v>6676</v>
      </c>
      <c r="G6681" s="102">
        <f t="shared" ca="1" si="108"/>
        <v>-0.13317094632910137</v>
      </c>
    </row>
    <row r="6682" spans="6:7" x14ac:dyDescent="0.35">
      <c r="F6682">
        <v>6677</v>
      </c>
      <c r="G6682" s="102">
        <f t="shared" ca="1" si="108"/>
        <v>3.4056942454806394E-2</v>
      </c>
    </row>
    <row r="6683" spans="6:7" x14ac:dyDescent="0.35">
      <c r="F6683">
        <v>6678</v>
      </c>
      <c r="G6683" s="102">
        <f t="shared" ca="1" si="108"/>
        <v>-0.13732414576026403</v>
      </c>
    </row>
    <row r="6684" spans="6:7" x14ac:dyDescent="0.35">
      <c r="F6684">
        <v>6679</v>
      </c>
      <c r="G6684" s="102">
        <f t="shared" ca="1" si="108"/>
        <v>-2.2404220892512004E-2</v>
      </c>
    </row>
    <row r="6685" spans="6:7" x14ac:dyDescent="0.35">
      <c r="F6685">
        <v>6680</v>
      </c>
      <c r="G6685" s="102">
        <f t="shared" ca="1" si="108"/>
        <v>-4.8220495314912973E-2</v>
      </c>
    </row>
    <row r="6686" spans="6:7" x14ac:dyDescent="0.35">
      <c r="F6686">
        <v>6681</v>
      </c>
      <c r="G6686" s="102">
        <f t="shared" ca="1" si="108"/>
        <v>-3.4237221620719842E-2</v>
      </c>
    </row>
    <row r="6687" spans="6:7" x14ac:dyDescent="0.35">
      <c r="F6687">
        <v>6682</v>
      </c>
      <c r="G6687" s="102">
        <f t="shared" ca="1" si="108"/>
        <v>9.6725647063556963E-2</v>
      </c>
    </row>
    <row r="6688" spans="6:7" x14ac:dyDescent="0.35">
      <c r="F6688">
        <v>6683</v>
      </c>
      <c r="G6688" s="102">
        <f t="shared" ca="1" si="108"/>
        <v>1.3787979253674903E-3</v>
      </c>
    </row>
    <row r="6689" spans="6:7" x14ac:dyDescent="0.35">
      <c r="F6689">
        <v>6684</v>
      </c>
      <c r="G6689" s="102">
        <f t="shared" ca="1" si="108"/>
        <v>1.1333431851768038E-3</v>
      </c>
    </row>
    <row r="6690" spans="6:7" x14ac:dyDescent="0.35">
      <c r="F6690">
        <v>6685</v>
      </c>
      <c r="G6690" s="102">
        <f t="shared" ca="1" si="108"/>
        <v>6.61119303558865E-2</v>
      </c>
    </row>
    <row r="6691" spans="6:7" x14ac:dyDescent="0.35">
      <c r="F6691">
        <v>6686</v>
      </c>
      <c r="G6691" s="102">
        <f t="shared" ca="1" si="108"/>
        <v>-3.2959920742991117E-2</v>
      </c>
    </row>
    <row r="6692" spans="6:7" x14ac:dyDescent="0.35">
      <c r="F6692">
        <v>6687</v>
      </c>
      <c r="G6692" s="102">
        <f t="shared" ca="1" si="108"/>
        <v>4.5045381024795356E-2</v>
      </c>
    </row>
    <row r="6693" spans="6:7" x14ac:dyDescent="0.35">
      <c r="F6693">
        <v>6688</v>
      </c>
      <c r="G6693" s="102">
        <f t="shared" ca="1" si="108"/>
        <v>2.2458901432758478E-2</v>
      </c>
    </row>
    <row r="6694" spans="6:7" x14ac:dyDescent="0.35">
      <c r="F6694">
        <v>6689</v>
      </c>
      <c r="G6694" s="102">
        <f t="shared" ca="1" si="108"/>
        <v>0.12011213140000922</v>
      </c>
    </row>
    <row r="6695" spans="6:7" x14ac:dyDescent="0.35">
      <c r="F6695">
        <v>6690</v>
      </c>
      <c r="G6695" s="102">
        <f t="shared" ca="1" si="108"/>
        <v>-3.978159590824111E-2</v>
      </c>
    </row>
    <row r="6696" spans="6:7" x14ac:dyDescent="0.35">
      <c r="F6696">
        <v>6691</v>
      </c>
      <c r="G6696" s="102">
        <f t="shared" ca="1" si="108"/>
        <v>-3.8993382691543649E-2</v>
      </c>
    </row>
    <row r="6697" spans="6:7" x14ac:dyDescent="0.35">
      <c r="F6697">
        <v>6692</v>
      </c>
      <c r="G6697" s="102">
        <f t="shared" ca="1" si="108"/>
        <v>3.8226135933735125E-2</v>
      </c>
    </row>
    <row r="6698" spans="6:7" x14ac:dyDescent="0.35">
      <c r="F6698">
        <v>6693</v>
      </c>
      <c r="G6698" s="102">
        <f t="shared" ca="1" si="108"/>
        <v>2.7147119093158766E-2</v>
      </c>
    </row>
    <row r="6699" spans="6:7" x14ac:dyDescent="0.35">
      <c r="F6699">
        <v>6694</v>
      </c>
      <c r="G6699" s="102">
        <f t="shared" ca="1" si="108"/>
        <v>6.2327962717858454E-2</v>
      </c>
    </row>
    <row r="6700" spans="6:7" x14ac:dyDescent="0.35">
      <c r="F6700">
        <v>6695</v>
      </c>
      <c r="G6700" s="102">
        <f t="shared" ca="1" si="108"/>
        <v>7.3670967480760255E-2</v>
      </c>
    </row>
    <row r="6701" spans="6:7" x14ac:dyDescent="0.35">
      <c r="F6701">
        <v>6696</v>
      </c>
      <c r="G6701" s="102">
        <f t="shared" ca="1" si="108"/>
        <v>-4.2541034385582793E-2</v>
      </c>
    </row>
    <row r="6702" spans="6:7" x14ac:dyDescent="0.35">
      <c r="F6702">
        <v>6697</v>
      </c>
      <c r="G6702" s="102">
        <f t="shared" ca="1" si="108"/>
        <v>-2.0795255528551403E-2</v>
      </c>
    </row>
    <row r="6703" spans="6:7" x14ac:dyDescent="0.35">
      <c r="F6703">
        <v>6698</v>
      </c>
      <c r="G6703" s="102">
        <f t="shared" ca="1" si="108"/>
        <v>3.1394484169683587E-2</v>
      </c>
    </row>
    <row r="6704" spans="6:7" x14ac:dyDescent="0.35">
      <c r="F6704">
        <v>6699</v>
      </c>
      <c r="G6704" s="102">
        <f t="shared" ca="1" si="108"/>
        <v>2.9012371147627943E-2</v>
      </c>
    </row>
    <row r="6705" spans="6:7" x14ac:dyDescent="0.35">
      <c r="F6705">
        <v>6700</v>
      </c>
      <c r="G6705" s="102">
        <f t="shared" ca="1" si="108"/>
        <v>-5.8600290855736203E-3</v>
      </c>
    </row>
    <row r="6706" spans="6:7" x14ac:dyDescent="0.35">
      <c r="F6706">
        <v>6701</v>
      </c>
      <c r="G6706" s="102">
        <f t="shared" ca="1" si="108"/>
        <v>-0.17062560070610278</v>
      </c>
    </row>
    <row r="6707" spans="6:7" x14ac:dyDescent="0.35">
      <c r="F6707">
        <v>6702</v>
      </c>
      <c r="G6707" s="102">
        <f t="shared" ca="1" si="108"/>
        <v>4.2171809788742742E-2</v>
      </c>
    </row>
    <row r="6708" spans="6:7" x14ac:dyDescent="0.35">
      <c r="F6708">
        <v>6703</v>
      </c>
      <c r="G6708" s="102">
        <f t="shared" ca="1" si="108"/>
        <v>6.7002023017351489E-2</v>
      </c>
    </row>
    <row r="6709" spans="6:7" x14ac:dyDescent="0.35">
      <c r="F6709">
        <v>6704</v>
      </c>
      <c r="G6709" s="102">
        <f t="shared" ca="1" si="108"/>
        <v>8.4054166994546833E-2</v>
      </c>
    </row>
    <row r="6710" spans="6:7" x14ac:dyDescent="0.35">
      <c r="F6710">
        <v>6705</v>
      </c>
      <c r="G6710" s="102">
        <f t="shared" ca="1" si="108"/>
        <v>4.4729953798885308E-2</v>
      </c>
    </row>
    <row r="6711" spans="6:7" x14ac:dyDescent="0.35">
      <c r="F6711">
        <v>6706</v>
      </c>
      <c r="G6711" s="102">
        <f t="shared" ca="1" si="108"/>
        <v>0.13692491128596077</v>
      </c>
    </row>
    <row r="6712" spans="6:7" x14ac:dyDescent="0.35">
      <c r="F6712">
        <v>6707</v>
      </c>
      <c r="G6712" s="102">
        <f t="shared" ca="1" si="108"/>
        <v>3.7711933370176406E-2</v>
      </c>
    </row>
    <row r="6713" spans="6:7" x14ac:dyDescent="0.35">
      <c r="F6713">
        <v>6708</v>
      </c>
      <c r="G6713" s="102">
        <f t="shared" ca="1" si="108"/>
        <v>-5.2102326788291353E-2</v>
      </c>
    </row>
    <row r="6714" spans="6:7" x14ac:dyDescent="0.35">
      <c r="F6714">
        <v>6709</v>
      </c>
      <c r="G6714" s="102">
        <f t="shared" ca="1" si="108"/>
        <v>1.0275976747812256E-2</v>
      </c>
    </row>
    <row r="6715" spans="6:7" x14ac:dyDescent="0.35">
      <c r="F6715">
        <v>6710</v>
      </c>
      <c r="G6715" s="102">
        <f t="shared" ca="1" si="108"/>
        <v>5.5394185720559805E-2</v>
      </c>
    </row>
    <row r="6716" spans="6:7" x14ac:dyDescent="0.35">
      <c r="F6716">
        <v>6711</v>
      </c>
      <c r="G6716" s="102">
        <f t="shared" ca="1" si="108"/>
        <v>9.4474308156060616E-2</v>
      </c>
    </row>
    <row r="6717" spans="6:7" x14ac:dyDescent="0.35">
      <c r="F6717">
        <v>6712</v>
      </c>
      <c r="G6717" s="102">
        <f t="shared" ca="1" si="108"/>
        <v>-1.1421679844249414E-2</v>
      </c>
    </row>
    <row r="6718" spans="6:7" x14ac:dyDescent="0.35">
      <c r="F6718">
        <v>6713</v>
      </c>
      <c r="G6718" s="102">
        <f t="shared" ca="1" si="108"/>
        <v>9.7899881517638593E-2</v>
      </c>
    </row>
    <row r="6719" spans="6:7" x14ac:dyDescent="0.35">
      <c r="F6719">
        <v>6714</v>
      </c>
      <c r="G6719" s="102">
        <f t="shared" ca="1" si="108"/>
        <v>-6.2743868602400291E-2</v>
      </c>
    </row>
    <row r="6720" spans="6:7" x14ac:dyDescent="0.35">
      <c r="F6720">
        <v>6715</v>
      </c>
      <c r="G6720" s="102">
        <f t="shared" ca="1" si="108"/>
        <v>0.11544867475004453</v>
      </c>
    </row>
    <row r="6721" spans="6:7" x14ac:dyDescent="0.35">
      <c r="F6721">
        <v>6716</v>
      </c>
      <c r="G6721" s="102">
        <f t="shared" ca="1" si="108"/>
        <v>-7.1896926680650577E-2</v>
      </c>
    </row>
    <row r="6722" spans="6:7" x14ac:dyDescent="0.35">
      <c r="F6722">
        <v>6717</v>
      </c>
      <c r="G6722" s="102">
        <f t="shared" ca="1" si="108"/>
        <v>-7.3050530372071543E-2</v>
      </c>
    </row>
    <row r="6723" spans="6:7" x14ac:dyDescent="0.35">
      <c r="F6723">
        <v>6718</v>
      </c>
      <c r="G6723" s="102">
        <f t="shared" ca="1" si="108"/>
        <v>-0.11331530854644435</v>
      </c>
    </row>
    <row r="6724" spans="6:7" x14ac:dyDescent="0.35">
      <c r="F6724">
        <v>6719</v>
      </c>
      <c r="G6724" s="102">
        <f t="shared" ca="1" si="108"/>
        <v>9.4524647719016267E-2</v>
      </c>
    </row>
    <row r="6725" spans="6:7" x14ac:dyDescent="0.35">
      <c r="F6725">
        <v>6720</v>
      </c>
      <c r="G6725" s="102">
        <f t="shared" ca="1" si="108"/>
        <v>-8.986057082735234E-4</v>
      </c>
    </row>
    <row r="6726" spans="6:7" x14ac:dyDescent="0.35">
      <c r="F6726">
        <v>6721</v>
      </c>
      <c r="G6726" s="102">
        <f t="shared" ca="1" si="108"/>
        <v>-5.4526445532757747E-2</v>
      </c>
    </row>
    <row r="6727" spans="6:7" x14ac:dyDescent="0.35">
      <c r="F6727">
        <v>6722</v>
      </c>
      <c r="G6727" s="102">
        <f t="shared" ref="G6727:G6790" ca="1" si="109">_xlfn.NORM.INV(RAND(),M$9,M$10)</f>
        <v>-0.10122365662875445</v>
      </c>
    </row>
    <row r="6728" spans="6:7" x14ac:dyDescent="0.35">
      <c r="F6728">
        <v>6723</v>
      </c>
      <c r="G6728" s="102">
        <f t="shared" ca="1" si="109"/>
        <v>-1.4117701883128981E-2</v>
      </c>
    </row>
    <row r="6729" spans="6:7" x14ac:dyDescent="0.35">
      <c r="F6729">
        <v>6724</v>
      </c>
      <c r="G6729" s="102">
        <f t="shared" ca="1" si="109"/>
        <v>2.1405791456542193E-2</v>
      </c>
    </row>
    <row r="6730" spans="6:7" x14ac:dyDescent="0.35">
      <c r="F6730">
        <v>6725</v>
      </c>
      <c r="G6730" s="102">
        <f t="shared" ca="1" si="109"/>
        <v>2.8273361693175146E-3</v>
      </c>
    </row>
    <row r="6731" spans="6:7" x14ac:dyDescent="0.35">
      <c r="F6731">
        <v>6726</v>
      </c>
      <c r="G6731" s="102">
        <f t="shared" ca="1" si="109"/>
        <v>5.7317144763288641E-2</v>
      </c>
    </row>
    <row r="6732" spans="6:7" x14ac:dyDescent="0.35">
      <c r="F6732">
        <v>6727</v>
      </c>
      <c r="G6732" s="102">
        <f t="shared" ca="1" si="109"/>
        <v>7.1983628972065616E-2</v>
      </c>
    </row>
    <row r="6733" spans="6:7" x14ac:dyDescent="0.35">
      <c r="F6733">
        <v>6728</v>
      </c>
      <c r="G6733" s="102">
        <f t="shared" ca="1" si="109"/>
        <v>-2.7953600941439716E-2</v>
      </c>
    </row>
    <row r="6734" spans="6:7" x14ac:dyDescent="0.35">
      <c r="F6734">
        <v>6729</v>
      </c>
      <c r="G6734" s="102">
        <f t="shared" ca="1" si="109"/>
        <v>-2.1209698695593308E-2</v>
      </c>
    </row>
    <row r="6735" spans="6:7" x14ac:dyDescent="0.35">
      <c r="F6735">
        <v>6730</v>
      </c>
      <c r="G6735" s="102">
        <f t="shared" ca="1" si="109"/>
        <v>-5.2284726613589273E-4</v>
      </c>
    </row>
    <row r="6736" spans="6:7" x14ac:dyDescent="0.35">
      <c r="F6736">
        <v>6731</v>
      </c>
      <c r="G6736" s="102">
        <f t="shared" ca="1" si="109"/>
        <v>-7.1782392970970194E-2</v>
      </c>
    </row>
    <row r="6737" spans="6:7" x14ac:dyDescent="0.35">
      <c r="F6737">
        <v>6732</v>
      </c>
      <c r="G6737" s="102">
        <f t="shared" ca="1" si="109"/>
        <v>-2.4019425948249795E-2</v>
      </c>
    </row>
    <row r="6738" spans="6:7" x14ac:dyDescent="0.35">
      <c r="F6738">
        <v>6733</v>
      </c>
      <c r="G6738" s="102">
        <f t="shared" ca="1" si="109"/>
        <v>0.14816726203539068</v>
      </c>
    </row>
    <row r="6739" spans="6:7" x14ac:dyDescent="0.35">
      <c r="F6739">
        <v>6734</v>
      </c>
      <c r="G6739" s="102">
        <f t="shared" ca="1" si="109"/>
        <v>4.4222864580830468E-2</v>
      </c>
    </row>
    <row r="6740" spans="6:7" x14ac:dyDescent="0.35">
      <c r="F6740">
        <v>6735</v>
      </c>
      <c r="G6740" s="102">
        <f t="shared" ca="1" si="109"/>
        <v>3.762693285994935E-2</v>
      </c>
    </row>
    <row r="6741" spans="6:7" x14ac:dyDescent="0.35">
      <c r="F6741">
        <v>6736</v>
      </c>
      <c r="G6741" s="102">
        <f t="shared" ca="1" si="109"/>
        <v>-4.5338676104023132E-2</v>
      </c>
    </row>
    <row r="6742" spans="6:7" x14ac:dyDescent="0.35">
      <c r="F6742">
        <v>6737</v>
      </c>
      <c r="G6742" s="102">
        <f t="shared" ca="1" si="109"/>
        <v>-6.4668575088400584E-2</v>
      </c>
    </row>
    <row r="6743" spans="6:7" x14ac:dyDescent="0.35">
      <c r="F6743">
        <v>6738</v>
      </c>
      <c r="G6743" s="102">
        <f t="shared" ca="1" si="109"/>
        <v>5.7888883716269504E-2</v>
      </c>
    </row>
    <row r="6744" spans="6:7" x14ac:dyDescent="0.35">
      <c r="F6744">
        <v>6739</v>
      </c>
      <c r="G6744" s="102">
        <f t="shared" ca="1" si="109"/>
        <v>-3.0932635344911235E-2</v>
      </c>
    </row>
    <row r="6745" spans="6:7" x14ac:dyDescent="0.35">
      <c r="F6745">
        <v>6740</v>
      </c>
      <c r="G6745" s="102">
        <f t="shared" ca="1" si="109"/>
        <v>2.8421717390835974E-3</v>
      </c>
    </row>
    <row r="6746" spans="6:7" x14ac:dyDescent="0.35">
      <c r="F6746">
        <v>6741</v>
      </c>
      <c r="G6746" s="102">
        <f t="shared" ca="1" si="109"/>
        <v>-1.5542825598006019E-2</v>
      </c>
    </row>
    <row r="6747" spans="6:7" x14ac:dyDescent="0.35">
      <c r="F6747">
        <v>6742</v>
      </c>
      <c r="G6747" s="102">
        <f t="shared" ca="1" si="109"/>
        <v>-1.6259713900125487E-3</v>
      </c>
    </row>
    <row r="6748" spans="6:7" x14ac:dyDescent="0.35">
      <c r="F6748">
        <v>6743</v>
      </c>
      <c r="G6748" s="102">
        <f t="shared" ca="1" si="109"/>
        <v>-1.0825293100028437E-2</v>
      </c>
    </row>
    <row r="6749" spans="6:7" x14ac:dyDescent="0.35">
      <c r="F6749">
        <v>6744</v>
      </c>
      <c r="G6749" s="102">
        <f t="shared" ca="1" si="109"/>
        <v>2.5558012175588059E-3</v>
      </c>
    </row>
    <row r="6750" spans="6:7" x14ac:dyDescent="0.35">
      <c r="F6750">
        <v>6745</v>
      </c>
      <c r="G6750" s="102">
        <f t="shared" ca="1" si="109"/>
        <v>-0.13156431405943525</v>
      </c>
    </row>
    <row r="6751" spans="6:7" x14ac:dyDescent="0.35">
      <c r="F6751">
        <v>6746</v>
      </c>
      <c r="G6751" s="102">
        <f t="shared" ca="1" si="109"/>
        <v>4.4532666284083991E-2</v>
      </c>
    </row>
    <row r="6752" spans="6:7" x14ac:dyDescent="0.35">
      <c r="F6752">
        <v>6747</v>
      </c>
      <c r="G6752" s="102">
        <f t="shared" ca="1" si="109"/>
        <v>-9.4086653430591957E-3</v>
      </c>
    </row>
    <row r="6753" spans="6:7" x14ac:dyDescent="0.35">
      <c r="F6753">
        <v>6748</v>
      </c>
      <c r="G6753" s="102">
        <f t="shared" ca="1" si="109"/>
        <v>3.5570276911596393E-2</v>
      </c>
    </row>
    <row r="6754" spans="6:7" x14ac:dyDescent="0.35">
      <c r="F6754">
        <v>6749</v>
      </c>
      <c r="G6754" s="102">
        <f t="shared" ca="1" si="109"/>
        <v>-2.959618025058413E-2</v>
      </c>
    </row>
    <row r="6755" spans="6:7" x14ac:dyDescent="0.35">
      <c r="F6755">
        <v>6750</v>
      </c>
      <c r="G6755" s="102">
        <f t="shared" ca="1" si="109"/>
        <v>8.2818332021624731E-3</v>
      </c>
    </row>
    <row r="6756" spans="6:7" x14ac:dyDescent="0.35">
      <c r="F6756">
        <v>6751</v>
      </c>
      <c r="G6756" s="102">
        <f t="shared" ca="1" si="109"/>
        <v>-1.5687588009781961E-3</v>
      </c>
    </row>
    <row r="6757" spans="6:7" x14ac:dyDescent="0.35">
      <c r="F6757">
        <v>6752</v>
      </c>
      <c r="G6757" s="102">
        <f t="shared" ca="1" si="109"/>
        <v>0.14237746276442159</v>
      </c>
    </row>
    <row r="6758" spans="6:7" x14ac:dyDescent="0.35">
      <c r="F6758">
        <v>6753</v>
      </c>
      <c r="G6758" s="102">
        <f t="shared" ca="1" si="109"/>
        <v>7.938803942225206E-2</v>
      </c>
    </row>
    <row r="6759" spans="6:7" x14ac:dyDescent="0.35">
      <c r="F6759">
        <v>6754</v>
      </c>
      <c r="G6759" s="102">
        <f t="shared" ca="1" si="109"/>
        <v>5.1768493852237685E-3</v>
      </c>
    </row>
    <row r="6760" spans="6:7" x14ac:dyDescent="0.35">
      <c r="F6760">
        <v>6755</v>
      </c>
      <c r="G6760" s="102">
        <f t="shared" ca="1" si="109"/>
        <v>-2.9754843608103182E-2</v>
      </c>
    </row>
    <row r="6761" spans="6:7" x14ac:dyDescent="0.35">
      <c r="F6761">
        <v>6756</v>
      </c>
      <c r="G6761" s="102">
        <f t="shared" ca="1" si="109"/>
        <v>-7.8014364673650471E-2</v>
      </c>
    </row>
    <row r="6762" spans="6:7" x14ac:dyDescent="0.35">
      <c r="F6762">
        <v>6757</v>
      </c>
      <c r="G6762" s="102">
        <f t="shared" ca="1" si="109"/>
        <v>4.1015570787639399E-2</v>
      </c>
    </row>
    <row r="6763" spans="6:7" x14ac:dyDescent="0.35">
      <c r="F6763">
        <v>6758</v>
      </c>
      <c r="G6763" s="102">
        <f t="shared" ca="1" si="109"/>
        <v>-0.10357358818201887</v>
      </c>
    </row>
    <row r="6764" spans="6:7" x14ac:dyDescent="0.35">
      <c r="F6764">
        <v>6759</v>
      </c>
      <c r="G6764" s="102">
        <f t="shared" ca="1" si="109"/>
        <v>3.2766460749307461E-2</v>
      </c>
    </row>
    <row r="6765" spans="6:7" x14ac:dyDescent="0.35">
      <c r="F6765">
        <v>6760</v>
      </c>
      <c r="G6765" s="102">
        <f t="shared" ca="1" si="109"/>
        <v>-3.2212449736736128E-2</v>
      </c>
    </row>
    <row r="6766" spans="6:7" x14ac:dyDescent="0.35">
      <c r="F6766">
        <v>6761</v>
      </c>
      <c r="G6766" s="102">
        <f t="shared" ca="1" si="109"/>
        <v>-7.3480345590627258E-2</v>
      </c>
    </row>
    <row r="6767" spans="6:7" x14ac:dyDescent="0.35">
      <c r="F6767">
        <v>6762</v>
      </c>
      <c r="G6767" s="102">
        <f t="shared" ca="1" si="109"/>
        <v>6.6200299711249314E-2</v>
      </c>
    </row>
    <row r="6768" spans="6:7" x14ac:dyDescent="0.35">
      <c r="F6768">
        <v>6763</v>
      </c>
      <c r="G6768" s="102">
        <f t="shared" ca="1" si="109"/>
        <v>3.5316764948779597E-2</v>
      </c>
    </row>
    <row r="6769" spans="6:7" x14ac:dyDescent="0.35">
      <c r="F6769">
        <v>6764</v>
      </c>
      <c r="G6769" s="102">
        <f t="shared" ca="1" si="109"/>
        <v>-7.1642781286586632E-2</v>
      </c>
    </row>
    <row r="6770" spans="6:7" x14ac:dyDescent="0.35">
      <c r="F6770">
        <v>6765</v>
      </c>
      <c r="G6770" s="102">
        <f t="shared" ca="1" si="109"/>
        <v>-5.0149787293516129E-2</v>
      </c>
    </row>
    <row r="6771" spans="6:7" x14ac:dyDescent="0.35">
      <c r="F6771">
        <v>6766</v>
      </c>
      <c r="G6771" s="102">
        <f t="shared" ca="1" si="109"/>
        <v>-2.8189269185216258E-2</v>
      </c>
    </row>
    <row r="6772" spans="6:7" x14ac:dyDescent="0.35">
      <c r="F6772">
        <v>6767</v>
      </c>
      <c r="G6772" s="102">
        <f t="shared" ca="1" si="109"/>
        <v>6.8290047494238195E-3</v>
      </c>
    </row>
    <row r="6773" spans="6:7" x14ac:dyDescent="0.35">
      <c r="F6773">
        <v>6768</v>
      </c>
      <c r="G6773" s="102">
        <f t="shared" ca="1" si="109"/>
        <v>3.5077871810648406E-2</v>
      </c>
    </row>
    <row r="6774" spans="6:7" x14ac:dyDescent="0.35">
      <c r="F6774">
        <v>6769</v>
      </c>
      <c r="G6774" s="102">
        <f t="shared" ca="1" si="109"/>
        <v>-3.9923822365823272E-2</v>
      </c>
    </row>
    <row r="6775" spans="6:7" x14ac:dyDescent="0.35">
      <c r="F6775">
        <v>6770</v>
      </c>
      <c r="G6775" s="102">
        <f t="shared" ca="1" si="109"/>
        <v>-6.5715035223690432E-2</v>
      </c>
    </row>
    <row r="6776" spans="6:7" x14ac:dyDescent="0.35">
      <c r="F6776">
        <v>6771</v>
      </c>
      <c r="G6776" s="102">
        <f t="shared" ca="1" si="109"/>
        <v>-3.1139231155782866E-2</v>
      </c>
    </row>
    <row r="6777" spans="6:7" x14ac:dyDescent="0.35">
      <c r="F6777">
        <v>6772</v>
      </c>
      <c r="G6777" s="102">
        <f t="shared" ca="1" si="109"/>
        <v>-7.9876180648930872E-2</v>
      </c>
    </row>
    <row r="6778" spans="6:7" x14ac:dyDescent="0.35">
      <c r="F6778">
        <v>6773</v>
      </c>
      <c r="G6778" s="102">
        <f t="shared" ca="1" si="109"/>
        <v>-2.4425600085741662E-2</v>
      </c>
    </row>
    <row r="6779" spans="6:7" x14ac:dyDescent="0.35">
      <c r="F6779">
        <v>6774</v>
      </c>
      <c r="G6779" s="102">
        <f t="shared" ca="1" si="109"/>
        <v>-5.9971076026143141E-2</v>
      </c>
    </row>
    <row r="6780" spans="6:7" x14ac:dyDescent="0.35">
      <c r="F6780">
        <v>6775</v>
      </c>
      <c r="G6780" s="102">
        <f t="shared" ca="1" si="109"/>
        <v>4.1295917054193554E-2</v>
      </c>
    </row>
    <row r="6781" spans="6:7" x14ac:dyDescent="0.35">
      <c r="F6781">
        <v>6776</v>
      </c>
      <c r="G6781" s="102">
        <f t="shared" ca="1" si="109"/>
        <v>5.0952080280257089E-3</v>
      </c>
    </row>
    <row r="6782" spans="6:7" x14ac:dyDescent="0.35">
      <c r="F6782">
        <v>6777</v>
      </c>
      <c r="G6782" s="102">
        <f t="shared" ca="1" si="109"/>
        <v>-3.7360522682096553E-2</v>
      </c>
    </row>
    <row r="6783" spans="6:7" x14ac:dyDescent="0.35">
      <c r="F6783">
        <v>6778</v>
      </c>
      <c r="G6783" s="102">
        <f t="shared" ca="1" si="109"/>
        <v>-4.6397546822217972E-2</v>
      </c>
    </row>
    <row r="6784" spans="6:7" x14ac:dyDescent="0.35">
      <c r="F6784">
        <v>6779</v>
      </c>
      <c r="G6784" s="102">
        <f t="shared" ca="1" si="109"/>
        <v>-6.8282611737038645E-2</v>
      </c>
    </row>
    <row r="6785" spans="6:7" x14ac:dyDescent="0.35">
      <c r="F6785">
        <v>6780</v>
      </c>
      <c r="G6785" s="102">
        <f t="shared" ca="1" si="109"/>
        <v>8.8222874085088054E-2</v>
      </c>
    </row>
    <row r="6786" spans="6:7" x14ac:dyDescent="0.35">
      <c r="F6786">
        <v>6781</v>
      </c>
      <c r="G6786" s="102">
        <f t="shared" ca="1" si="109"/>
        <v>-1.8284277668269431E-2</v>
      </c>
    </row>
    <row r="6787" spans="6:7" x14ac:dyDescent="0.35">
      <c r="F6787">
        <v>6782</v>
      </c>
      <c r="G6787" s="102">
        <f t="shared" ca="1" si="109"/>
        <v>-5.0949102927063242E-2</v>
      </c>
    </row>
    <row r="6788" spans="6:7" x14ac:dyDescent="0.35">
      <c r="F6788">
        <v>6783</v>
      </c>
      <c r="G6788" s="102">
        <f t="shared" ca="1" si="109"/>
        <v>7.2203037544690957E-2</v>
      </c>
    </row>
    <row r="6789" spans="6:7" x14ac:dyDescent="0.35">
      <c r="F6789">
        <v>6784</v>
      </c>
      <c r="G6789" s="102">
        <f t="shared" ca="1" si="109"/>
        <v>-0.16808719369461117</v>
      </c>
    </row>
    <row r="6790" spans="6:7" x14ac:dyDescent="0.35">
      <c r="F6790">
        <v>6785</v>
      </c>
      <c r="G6790" s="102">
        <f t="shared" ca="1" si="109"/>
        <v>-4.385264046050232E-3</v>
      </c>
    </row>
    <row r="6791" spans="6:7" x14ac:dyDescent="0.35">
      <c r="F6791">
        <v>6786</v>
      </c>
      <c r="G6791" s="102">
        <f t="shared" ref="G6791:G6854" ca="1" si="110">_xlfn.NORM.INV(RAND(),M$9,M$10)</f>
        <v>-7.9286984157303925E-2</v>
      </c>
    </row>
    <row r="6792" spans="6:7" x14ac:dyDescent="0.35">
      <c r="F6792">
        <v>6787</v>
      </c>
      <c r="G6792" s="102">
        <f t="shared" ca="1" si="110"/>
        <v>5.0011032123717936E-2</v>
      </c>
    </row>
    <row r="6793" spans="6:7" x14ac:dyDescent="0.35">
      <c r="F6793">
        <v>6788</v>
      </c>
      <c r="G6793" s="102">
        <f t="shared" ca="1" si="110"/>
        <v>6.0184938233915464E-2</v>
      </c>
    </row>
    <row r="6794" spans="6:7" x14ac:dyDescent="0.35">
      <c r="F6794">
        <v>6789</v>
      </c>
      <c r="G6794" s="102">
        <f t="shared" ca="1" si="110"/>
        <v>3.549073812327691E-3</v>
      </c>
    </row>
    <row r="6795" spans="6:7" x14ac:dyDescent="0.35">
      <c r="F6795">
        <v>6790</v>
      </c>
      <c r="G6795" s="102">
        <f t="shared" ca="1" si="110"/>
        <v>-1.0115462476371909E-2</v>
      </c>
    </row>
    <row r="6796" spans="6:7" x14ac:dyDescent="0.35">
      <c r="F6796">
        <v>6791</v>
      </c>
      <c r="G6796" s="102">
        <f t="shared" ca="1" si="110"/>
        <v>4.3092534427103951E-2</v>
      </c>
    </row>
    <row r="6797" spans="6:7" x14ac:dyDescent="0.35">
      <c r="F6797">
        <v>6792</v>
      </c>
      <c r="G6797" s="102">
        <f t="shared" ca="1" si="110"/>
        <v>-1.6968300898302036E-2</v>
      </c>
    </row>
    <row r="6798" spans="6:7" x14ac:dyDescent="0.35">
      <c r="F6798">
        <v>6793</v>
      </c>
      <c r="G6798" s="102">
        <f t="shared" ca="1" si="110"/>
        <v>-6.5805199282600417E-3</v>
      </c>
    </row>
    <row r="6799" spans="6:7" x14ac:dyDescent="0.35">
      <c r="F6799">
        <v>6794</v>
      </c>
      <c r="G6799" s="102">
        <f t="shared" ca="1" si="110"/>
        <v>6.2549778362849778E-2</v>
      </c>
    </row>
    <row r="6800" spans="6:7" x14ac:dyDescent="0.35">
      <c r="F6800">
        <v>6795</v>
      </c>
      <c r="G6800" s="102">
        <f t="shared" ca="1" si="110"/>
        <v>2.9155071557761623E-2</v>
      </c>
    </row>
    <row r="6801" spans="6:7" x14ac:dyDescent="0.35">
      <c r="F6801">
        <v>6796</v>
      </c>
      <c r="G6801" s="102">
        <f t="shared" ca="1" si="110"/>
        <v>2.6229135135934136E-2</v>
      </c>
    </row>
    <row r="6802" spans="6:7" x14ac:dyDescent="0.35">
      <c r="F6802">
        <v>6797</v>
      </c>
      <c r="G6802" s="102">
        <f t="shared" ca="1" si="110"/>
        <v>6.3235763020369085E-3</v>
      </c>
    </row>
    <row r="6803" spans="6:7" x14ac:dyDescent="0.35">
      <c r="F6803">
        <v>6798</v>
      </c>
      <c r="G6803" s="102">
        <f t="shared" ca="1" si="110"/>
        <v>-2.7658147679514106E-2</v>
      </c>
    </row>
    <row r="6804" spans="6:7" x14ac:dyDescent="0.35">
      <c r="F6804">
        <v>6799</v>
      </c>
      <c r="G6804" s="102">
        <f t="shared" ca="1" si="110"/>
        <v>-5.1479933155137523E-3</v>
      </c>
    </row>
    <row r="6805" spans="6:7" x14ac:dyDescent="0.35">
      <c r="F6805">
        <v>6800</v>
      </c>
      <c r="G6805" s="102">
        <f t="shared" ca="1" si="110"/>
        <v>-4.5559441620940735E-2</v>
      </c>
    </row>
    <row r="6806" spans="6:7" x14ac:dyDescent="0.35">
      <c r="F6806">
        <v>6801</v>
      </c>
      <c r="G6806" s="102">
        <f t="shared" ca="1" si="110"/>
        <v>-2.052542622711916E-2</v>
      </c>
    </row>
    <row r="6807" spans="6:7" x14ac:dyDescent="0.35">
      <c r="F6807">
        <v>6802</v>
      </c>
      <c r="G6807" s="102">
        <f t="shared" ca="1" si="110"/>
        <v>-0.12925103497628063</v>
      </c>
    </row>
    <row r="6808" spans="6:7" x14ac:dyDescent="0.35">
      <c r="F6808">
        <v>6803</v>
      </c>
      <c r="G6808" s="102">
        <f t="shared" ca="1" si="110"/>
        <v>0.1328589233926207</v>
      </c>
    </row>
    <row r="6809" spans="6:7" x14ac:dyDescent="0.35">
      <c r="F6809">
        <v>6804</v>
      </c>
      <c r="G6809" s="102">
        <f t="shared" ca="1" si="110"/>
        <v>2.9025574083850706E-2</v>
      </c>
    </row>
    <row r="6810" spans="6:7" x14ac:dyDescent="0.35">
      <c r="F6810">
        <v>6805</v>
      </c>
      <c r="G6810" s="102">
        <f t="shared" ca="1" si="110"/>
        <v>-4.468042072022399E-2</v>
      </c>
    </row>
    <row r="6811" spans="6:7" x14ac:dyDescent="0.35">
      <c r="F6811">
        <v>6806</v>
      </c>
      <c r="G6811" s="102">
        <f t="shared" ca="1" si="110"/>
        <v>7.0399492638830198E-3</v>
      </c>
    </row>
    <row r="6812" spans="6:7" x14ac:dyDescent="0.35">
      <c r="F6812">
        <v>6807</v>
      </c>
      <c r="G6812" s="102">
        <f t="shared" ca="1" si="110"/>
        <v>4.7647909506439753E-2</v>
      </c>
    </row>
    <row r="6813" spans="6:7" x14ac:dyDescent="0.35">
      <c r="F6813">
        <v>6808</v>
      </c>
      <c r="G6813" s="102">
        <f t="shared" ca="1" si="110"/>
        <v>1.3283770015112519E-2</v>
      </c>
    </row>
    <row r="6814" spans="6:7" x14ac:dyDescent="0.35">
      <c r="F6814">
        <v>6809</v>
      </c>
      <c r="G6814" s="102">
        <f t="shared" ca="1" si="110"/>
        <v>7.4706661018146658E-2</v>
      </c>
    </row>
    <row r="6815" spans="6:7" x14ac:dyDescent="0.35">
      <c r="F6815">
        <v>6810</v>
      </c>
      <c r="G6815" s="102">
        <f t="shared" ca="1" si="110"/>
        <v>-4.6421022327202424E-2</v>
      </c>
    </row>
    <row r="6816" spans="6:7" x14ac:dyDescent="0.35">
      <c r="F6816">
        <v>6811</v>
      </c>
      <c r="G6816" s="102">
        <f t="shared" ca="1" si="110"/>
        <v>-1.8208696515760122E-2</v>
      </c>
    </row>
    <row r="6817" spans="6:7" x14ac:dyDescent="0.35">
      <c r="F6817">
        <v>6812</v>
      </c>
      <c r="G6817" s="102">
        <f t="shared" ca="1" si="110"/>
        <v>-1.3329563863746447E-2</v>
      </c>
    </row>
    <row r="6818" spans="6:7" x14ac:dyDescent="0.35">
      <c r="F6818">
        <v>6813</v>
      </c>
      <c r="G6818" s="102">
        <f t="shared" ca="1" si="110"/>
        <v>-1.4862228732691319E-2</v>
      </c>
    </row>
    <row r="6819" spans="6:7" x14ac:dyDescent="0.35">
      <c r="F6819">
        <v>6814</v>
      </c>
      <c r="G6819" s="102">
        <f t="shared" ca="1" si="110"/>
        <v>-4.4800712011334801E-2</v>
      </c>
    </row>
    <row r="6820" spans="6:7" x14ac:dyDescent="0.35">
      <c r="F6820">
        <v>6815</v>
      </c>
      <c r="G6820" s="102">
        <f t="shared" ca="1" si="110"/>
        <v>-3.2231679133944424E-2</v>
      </c>
    </row>
    <row r="6821" spans="6:7" x14ac:dyDescent="0.35">
      <c r="F6821">
        <v>6816</v>
      </c>
      <c r="G6821" s="102">
        <f t="shared" ca="1" si="110"/>
        <v>-9.988169236310232E-2</v>
      </c>
    </row>
    <row r="6822" spans="6:7" x14ac:dyDescent="0.35">
      <c r="F6822">
        <v>6817</v>
      </c>
      <c r="G6822" s="102">
        <f t="shared" ca="1" si="110"/>
        <v>-5.7134117162686834E-2</v>
      </c>
    </row>
    <row r="6823" spans="6:7" x14ac:dyDescent="0.35">
      <c r="F6823">
        <v>6818</v>
      </c>
      <c r="G6823" s="102">
        <f t="shared" ca="1" si="110"/>
        <v>-4.4291333988677753E-2</v>
      </c>
    </row>
    <row r="6824" spans="6:7" x14ac:dyDescent="0.35">
      <c r="F6824">
        <v>6819</v>
      </c>
      <c r="G6824" s="102">
        <f t="shared" ca="1" si="110"/>
        <v>7.0406043419403899E-3</v>
      </c>
    </row>
    <row r="6825" spans="6:7" x14ac:dyDescent="0.35">
      <c r="F6825">
        <v>6820</v>
      </c>
      <c r="G6825" s="102">
        <f t="shared" ca="1" si="110"/>
        <v>-4.9264821618180202E-2</v>
      </c>
    </row>
    <row r="6826" spans="6:7" x14ac:dyDescent="0.35">
      <c r="F6826">
        <v>6821</v>
      </c>
      <c r="G6826" s="102">
        <f t="shared" ca="1" si="110"/>
        <v>6.674091841841652E-2</v>
      </c>
    </row>
    <row r="6827" spans="6:7" x14ac:dyDescent="0.35">
      <c r="F6827">
        <v>6822</v>
      </c>
      <c r="G6827" s="102">
        <f t="shared" ca="1" si="110"/>
        <v>-5.5182342306640805E-2</v>
      </c>
    </row>
    <row r="6828" spans="6:7" x14ac:dyDescent="0.35">
      <c r="F6828">
        <v>6823</v>
      </c>
      <c r="G6828" s="102">
        <f t="shared" ca="1" si="110"/>
        <v>-7.9155643724829347E-2</v>
      </c>
    </row>
    <row r="6829" spans="6:7" x14ac:dyDescent="0.35">
      <c r="F6829">
        <v>6824</v>
      </c>
      <c r="G6829" s="102">
        <f t="shared" ca="1" si="110"/>
        <v>-5.6867587634062151E-3</v>
      </c>
    </row>
    <row r="6830" spans="6:7" x14ac:dyDescent="0.35">
      <c r="F6830">
        <v>6825</v>
      </c>
      <c r="G6830" s="102">
        <f t="shared" ca="1" si="110"/>
        <v>-1.7081911193282645E-2</v>
      </c>
    </row>
    <row r="6831" spans="6:7" x14ac:dyDescent="0.35">
      <c r="F6831">
        <v>6826</v>
      </c>
      <c r="G6831" s="102">
        <f t="shared" ca="1" si="110"/>
        <v>7.1176729741692021E-2</v>
      </c>
    </row>
    <row r="6832" spans="6:7" x14ac:dyDescent="0.35">
      <c r="F6832">
        <v>6827</v>
      </c>
      <c r="G6832" s="102">
        <f t="shared" ca="1" si="110"/>
        <v>-3.6539715263189207E-2</v>
      </c>
    </row>
    <row r="6833" spans="6:7" x14ac:dyDescent="0.35">
      <c r="F6833">
        <v>6828</v>
      </c>
      <c r="G6833" s="102">
        <f t="shared" ca="1" si="110"/>
        <v>5.4993734088556026E-2</v>
      </c>
    </row>
    <row r="6834" spans="6:7" x14ac:dyDescent="0.35">
      <c r="F6834">
        <v>6829</v>
      </c>
      <c r="G6834" s="102">
        <f t="shared" ca="1" si="110"/>
        <v>-5.1088726791671951E-2</v>
      </c>
    </row>
    <row r="6835" spans="6:7" x14ac:dyDescent="0.35">
      <c r="F6835">
        <v>6830</v>
      </c>
      <c r="G6835" s="102">
        <f t="shared" ca="1" si="110"/>
        <v>7.6905441203136138E-2</v>
      </c>
    </row>
    <row r="6836" spans="6:7" x14ac:dyDescent="0.35">
      <c r="F6836">
        <v>6831</v>
      </c>
      <c r="G6836" s="102">
        <f t="shared" ca="1" si="110"/>
        <v>3.5057701384953399E-2</v>
      </c>
    </row>
    <row r="6837" spans="6:7" x14ac:dyDescent="0.35">
      <c r="F6837">
        <v>6832</v>
      </c>
      <c r="G6837" s="102">
        <f t="shared" ca="1" si="110"/>
        <v>-4.4070080622563929E-2</v>
      </c>
    </row>
    <row r="6838" spans="6:7" x14ac:dyDescent="0.35">
      <c r="F6838">
        <v>6833</v>
      </c>
      <c r="G6838" s="102">
        <f t="shared" ca="1" si="110"/>
        <v>7.2244604546774616E-2</v>
      </c>
    </row>
    <row r="6839" spans="6:7" x14ac:dyDescent="0.35">
      <c r="F6839">
        <v>6834</v>
      </c>
      <c r="G6839" s="102">
        <f t="shared" ca="1" si="110"/>
        <v>-6.3016588966210804E-2</v>
      </c>
    </row>
    <row r="6840" spans="6:7" x14ac:dyDescent="0.35">
      <c r="F6840">
        <v>6835</v>
      </c>
      <c r="G6840" s="102">
        <f t="shared" ca="1" si="110"/>
        <v>1.1073884055251672E-3</v>
      </c>
    </row>
    <row r="6841" spans="6:7" x14ac:dyDescent="0.35">
      <c r="F6841">
        <v>6836</v>
      </c>
      <c r="G6841" s="102">
        <f t="shared" ca="1" si="110"/>
        <v>-9.0749171764091738E-2</v>
      </c>
    </row>
    <row r="6842" spans="6:7" x14ac:dyDescent="0.35">
      <c r="F6842">
        <v>6837</v>
      </c>
      <c r="G6842" s="102">
        <f t="shared" ca="1" si="110"/>
        <v>-6.9541615568082846E-2</v>
      </c>
    </row>
    <row r="6843" spans="6:7" x14ac:dyDescent="0.35">
      <c r="F6843">
        <v>6838</v>
      </c>
      <c r="G6843" s="102">
        <f t="shared" ca="1" si="110"/>
        <v>-9.6035241447254185E-2</v>
      </c>
    </row>
    <row r="6844" spans="6:7" x14ac:dyDescent="0.35">
      <c r="F6844">
        <v>6839</v>
      </c>
      <c r="G6844" s="102">
        <f t="shared" ca="1" si="110"/>
        <v>3.2662896737874647E-2</v>
      </c>
    </row>
    <row r="6845" spans="6:7" x14ac:dyDescent="0.35">
      <c r="F6845">
        <v>6840</v>
      </c>
      <c r="G6845" s="102">
        <f t="shared" ca="1" si="110"/>
        <v>-4.2314733568883281E-2</v>
      </c>
    </row>
    <row r="6846" spans="6:7" x14ac:dyDescent="0.35">
      <c r="F6846">
        <v>6841</v>
      </c>
      <c r="G6846" s="102">
        <f t="shared" ca="1" si="110"/>
        <v>5.0761666045558942E-2</v>
      </c>
    </row>
    <row r="6847" spans="6:7" x14ac:dyDescent="0.35">
      <c r="F6847">
        <v>6842</v>
      </c>
      <c r="G6847" s="102">
        <f t="shared" ca="1" si="110"/>
        <v>0.11166317853516722</v>
      </c>
    </row>
    <row r="6848" spans="6:7" x14ac:dyDescent="0.35">
      <c r="F6848">
        <v>6843</v>
      </c>
      <c r="G6848" s="102">
        <f t="shared" ca="1" si="110"/>
        <v>5.7807259394572152E-2</v>
      </c>
    </row>
    <row r="6849" spans="6:7" x14ac:dyDescent="0.35">
      <c r="F6849">
        <v>6844</v>
      </c>
      <c r="G6849" s="102">
        <f t="shared" ca="1" si="110"/>
        <v>-3.6600802600079516E-2</v>
      </c>
    </row>
    <row r="6850" spans="6:7" x14ac:dyDescent="0.35">
      <c r="F6850">
        <v>6845</v>
      </c>
      <c r="G6850" s="102">
        <f t="shared" ca="1" si="110"/>
        <v>-2.8994300124236851E-3</v>
      </c>
    </row>
    <row r="6851" spans="6:7" x14ac:dyDescent="0.35">
      <c r="F6851">
        <v>6846</v>
      </c>
      <c r="G6851" s="102">
        <f t="shared" ca="1" si="110"/>
        <v>-0.13625076260671415</v>
      </c>
    </row>
    <row r="6852" spans="6:7" x14ac:dyDescent="0.35">
      <c r="F6852">
        <v>6847</v>
      </c>
      <c r="G6852" s="102">
        <f t="shared" ca="1" si="110"/>
        <v>-8.3519502993989359E-2</v>
      </c>
    </row>
    <row r="6853" spans="6:7" x14ac:dyDescent="0.35">
      <c r="F6853">
        <v>6848</v>
      </c>
      <c r="G6853" s="102">
        <f t="shared" ca="1" si="110"/>
        <v>-0.15080662500667108</v>
      </c>
    </row>
    <row r="6854" spans="6:7" x14ac:dyDescent="0.35">
      <c r="F6854">
        <v>6849</v>
      </c>
      <c r="G6854" s="102">
        <f t="shared" ca="1" si="110"/>
        <v>-3.4114650534304743E-2</v>
      </c>
    </row>
    <row r="6855" spans="6:7" x14ac:dyDescent="0.35">
      <c r="F6855">
        <v>6850</v>
      </c>
      <c r="G6855" s="102">
        <f t="shared" ref="G6855:G6918" ca="1" si="111">_xlfn.NORM.INV(RAND(),M$9,M$10)</f>
        <v>8.8594612918565435E-2</v>
      </c>
    </row>
    <row r="6856" spans="6:7" x14ac:dyDescent="0.35">
      <c r="F6856">
        <v>6851</v>
      </c>
      <c r="G6856" s="102">
        <f t="shared" ca="1" si="111"/>
        <v>1.9679905572392496E-2</v>
      </c>
    </row>
    <row r="6857" spans="6:7" x14ac:dyDescent="0.35">
      <c r="F6857">
        <v>6852</v>
      </c>
      <c r="G6857" s="102">
        <f t="shared" ca="1" si="111"/>
        <v>2.7691462366499216E-2</v>
      </c>
    </row>
    <row r="6858" spans="6:7" x14ac:dyDescent="0.35">
      <c r="F6858">
        <v>6853</v>
      </c>
      <c r="G6858" s="102">
        <f t="shared" ca="1" si="111"/>
        <v>-1.7898278318475052E-2</v>
      </c>
    </row>
    <row r="6859" spans="6:7" x14ac:dyDescent="0.35">
      <c r="F6859">
        <v>6854</v>
      </c>
      <c r="G6859" s="102">
        <f t="shared" ca="1" si="111"/>
        <v>0.10003584016240008</v>
      </c>
    </row>
    <row r="6860" spans="6:7" x14ac:dyDescent="0.35">
      <c r="F6860">
        <v>6855</v>
      </c>
      <c r="G6860" s="102">
        <f t="shared" ca="1" si="111"/>
        <v>2.0093764008963188E-2</v>
      </c>
    </row>
    <row r="6861" spans="6:7" x14ac:dyDescent="0.35">
      <c r="F6861">
        <v>6856</v>
      </c>
      <c r="G6861" s="102">
        <f t="shared" ca="1" si="111"/>
        <v>-0.11110075473264272</v>
      </c>
    </row>
    <row r="6862" spans="6:7" x14ac:dyDescent="0.35">
      <c r="F6862">
        <v>6857</v>
      </c>
      <c r="G6862" s="102">
        <f t="shared" ca="1" si="111"/>
        <v>3.8919790715080768E-2</v>
      </c>
    </row>
    <row r="6863" spans="6:7" x14ac:dyDescent="0.35">
      <c r="F6863">
        <v>6858</v>
      </c>
      <c r="G6863" s="102">
        <f t="shared" ca="1" si="111"/>
        <v>-5.3927276162227603E-2</v>
      </c>
    </row>
    <row r="6864" spans="6:7" x14ac:dyDescent="0.35">
      <c r="F6864">
        <v>6859</v>
      </c>
      <c r="G6864" s="102">
        <f t="shared" ca="1" si="111"/>
        <v>-6.454658948388434E-3</v>
      </c>
    </row>
    <row r="6865" spans="6:7" x14ac:dyDescent="0.35">
      <c r="F6865">
        <v>6860</v>
      </c>
      <c r="G6865" s="102">
        <f t="shared" ca="1" si="111"/>
        <v>2.6791305107833865E-2</v>
      </c>
    </row>
    <row r="6866" spans="6:7" x14ac:dyDescent="0.35">
      <c r="F6866">
        <v>6861</v>
      </c>
      <c r="G6866" s="102">
        <f t="shared" ca="1" si="111"/>
        <v>-1.4900630743939941E-2</v>
      </c>
    </row>
    <row r="6867" spans="6:7" x14ac:dyDescent="0.35">
      <c r="F6867">
        <v>6862</v>
      </c>
      <c r="G6867" s="102">
        <f t="shared" ca="1" si="111"/>
        <v>-0.11793869871080621</v>
      </c>
    </row>
    <row r="6868" spans="6:7" x14ac:dyDescent="0.35">
      <c r="F6868">
        <v>6863</v>
      </c>
      <c r="G6868" s="102">
        <f t="shared" ca="1" si="111"/>
        <v>-1.1964346254210004E-2</v>
      </c>
    </row>
    <row r="6869" spans="6:7" x14ac:dyDescent="0.35">
      <c r="F6869">
        <v>6864</v>
      </c>
      <c r="G6869" s="102">
        <f t="shared" ca="1" si="111"/>
        <v>-5.6900171313670658E-2</v>
      </c>
    </row>
    <row r="6870" spans="6:7" x14ac:dyDescent="0.35">
      <c r="F6870">
        <v>6865</v>
      </c>
      <c r="G6870" s="102">
        <f t="shared" ca="1" si="111"/>
        <v>3.869405311523319E-2</v>
      </c>
    </row>
    <row r="6871" spans="6:7" x14ac:dyDescent="0.35">
      <c r="F6871">
        <v>6866</v>
      </c>
      <c r="G6871" s="102">
        <f t="shared" ca="1" si="111"/>
        <v>-9.3403016254189647E-2</v>
      </c>
    </row>
    <row r="6872" spans="6:7" x14ac:dyDescent="0.35">
      <c r="F6872">
        <v>6867</v>
      </c>
      <c r="G6872" s="102">
        <f t="shared" ca="1" si="111"/>
        <v>-3.2195789049653145E-2</v>
      </c>
    </row>
    <row r="6873" spans="6:7" x14ac:dyDescent="0.35">
      <c r="F6873">
        <v>6868</v>
      </c>
      <c r="G6873" s="102">
        <f t="shared" ca="1" si="111"/>
        <v>2.5040396565967262E-2</v>
      </c>
    </row>
    <row r="6874" spans="6:7" x14ac:dyDescent="0.35">
      <c r="F6874">
        <v>6869</v>
      </c>
      <c r="G6874" s="102">
        <f t="shared" ca="1" si="111"/>
        <v>-4.7119094401144021E-2</v>
      </c>
    </row>
    <row r="6875" spans="6:7" x14ac:dyDescent="0.35">
      <c r="F6875">
        <v>6870</v>
      </c>
      <c r="G6875" s="102">
        <f t="shared" ca="1" si="111"/>
        <v>-1.9422458188410045E-2</v>
      </c>
    </row>
    <row r="6876" spans="6:7" x14ac:dyDescent="0.35">
      <c r="F6876">
        <v>6871</v>
      </c>
      <c r="G6876" s="102">
        <f t="shared" ca="1" si="111"/>
        <v>2.9702486567561196E-2</v>
      </c>
    </row>
    <row r="6877" spans="6:7" x14ac:dyDescent="0.35">
      <c r="F6877">
        <v>6872</v>
      </c>
      <c r="G6877" s="102">
        <f t="shared" ca="1" si="111"/>
        <v>-1.9950883458816127E-2</v>
      </c>
    </row>
    <row r="6878" spans="6:7" x14ac:dyDescent="0.35">
      <c r="F6878">
        <v>6873</v>
      </c>
      <c r="G6878" s="102">
        <f t="shared" ca="1" si="111"/>
        <v>2.3087653895745653E-3</v>
      </c>
    </row>
    <row r="6879" spans="6:7" x14ac:dyDescent="0.35">
      <c r="F6879">
        <v>6874</v>
      </c>
      <c r="G6879" s="102">
        <f t="shared" ca="1" si="111"/>
        <v>9.3498988300591071E-2</v>
      </c>
    </row>
    <row r="6880" spans="6:7" x14ac:dyDescent="0.35">
      <c r="F6880">
        <v>6875</v>
      </c>
      <c r="G6880" s="102">
        <f t="shared" ca="1" si="111"/>
        <v>8.4753438659519245E-2</v>
      </c>
    </row>
    <row r="6881" spans="6:7" x14ac:dyDescent="0.35">
      <c r="F6881">
        <v>6876</v>
      </c>
      <c r="G6881" s="102">
        <f t="shared" ca="1" si="111"/>
        <v>-4.9045024157166217E-2</v>
      </c>
    </row>
    <row r="6882" spans="6:7" x14ac:dyDescent="0.35">
      <c r="F6882">
        <v>6877</v>
      </c>
      <c r="G6882" s="102">
        <f t="shared" ca="1" si="111"/>
        <v>-6.3630131497148787E-2</v>
      </c>
    </row>
    <row r="6883" spans="6:7" x14ac:dyDescent="0.35">
      <c r="F6883">
        <v>6878</v>
      </c>
      <c r="G6883" s="102">
        <f t="shared" ca="1" si="111"/>
        <v>-0.14641028168653494</v>
      </c>
    </row>
    <row r="6884" spans="6:7" x14ac:dyDescent="0.35">
      <c r="F6884">
        <v>6879</v>
      </c>
      <c r="G6884" s="102">
        <f t="shared" ca="1" si="111"/>
        <v>-9.7783929696093168E-3</v>
      </c>
    </row>
    <row r="6885" spans="6:7" x14ac:dyDescent="0.35">
      <c r="F6885">
        <v>6880</v>
      </c>
      <c r="G6885" s="102">
        <f t="shared" ca="1" si="111"/>
        <v>9.0608520149964317E-2</v>
      </c>
    </row>
    <row r="6886" spans="6:7" x14ac:dyDescent="0.35">
      <c r="F6886">
        <v>6881</v>
      </c>
      <c r="G6886" s="102">
        <f t="shared" ca="1" si="111"/>
        <v>-6.4682387802325852E-2</v>
      </c>
    </row>
    <row r="6887" spans="6:7" x14ac:dyDescent="0.35">
      <c r="F6887">
        <v>6882</v>
      </c>
      <c r="G6887" s="102">
        <f t="shared" ca="1" si="111"/>
        <v>4.5935067217547143E-2</v>
      </c>
    </row>
    <row r="6888" spans="6:7" x14ac:dyDescent="0.35">
      <c r="F6888">
        <v>6883</v>
      </c>
      <c r="G6888" s="102">
        <f t="shared" ca="1" si="111"/>
        <v>-1.7292542112435687E-2</v>
      </c>
    </row>
    <row r="6889" spans="6:7" x14ac:dyDescent="0.35">
      <c r="F6889">
        <v>6884</v>
      </c>
      <c r="G6889" s="102">
        <f t="shared" ca="1" si="111"/>
        <v>-9.8693773314985106E-2</v>
      </c>
    </row>
    <row r="6890" spans="6:7" x14ac:dyDescent="0.35">
      <c r="F6890">
        <v>6885</v>
      </c>
      <c r="G6890" s="102">
        <f t="shared" ca="1" si="111"/>
        <v>1.6532958564462494E-2</v>
      </c>
    </row>
    <row r="6891" spans="6:7" x14ac:dyDescent="0.35">
      <c r="F6891">
        <v>6886</v>
      </c>
      <c r="G6891" s="102">
        <f t="shared" ca="1" si="111"/>
        <v>-5.3713778602060044E-2</v>
      </c>
    </row>
    <row r="6892" spans="6:7" x14ac:dyDescent="0.35">
      <c r="F6892">
        <v>6887</v>
      </c>
      <c r="G6892" s="102">
        <f t="shared" ca="1" si="111"/>
        <v>-0.15745055013334733</v>
      </c>
    </row>
    <row r="6893" spans="6:7" x14ac:dyDescent="0.35">
      <c r="F6893">
        <v>6888</v>
      </c>
      <c r="G6893" s="102">
        <f t="shared" ca="1" si="111"/>
        <v>4.8013292645885164E-2</v>
      </c>
    </row>
    <row r="6894" spans="6:7" x14ac:dyDescent="0.35">
      <c r="F6894">
        <v>6889</v>
      </c>
      <c r="G6894" s="102">
        <f t="shared" ca="1" si="111"/>
        <v>-2.977080498950524E-2</v>
      </c>
    </row>
    <row r="6895" spans="6:7" x14ac:dyDescent="0.35">
      <c r="F6895">
        <v>6890</v>
      </c>
      <c r="G6895" s="102">
        <f t="shared" ca="1" si="111"/>
        <v>-8.7632366755489022E-2</v>
      </c>
    </row>
    <row r="6896" spans="6:7" x14ac:dyDescent="0.35">
      <c r="F6896">
        <v>6891</v>
      </c>
      <c r="G6896" s="102">
        <f t="shared" ca="1" si="111"/>
        <v>4.0596862771085901E-2</v>
      </c>
    </row>
    <row r="6897" spans="6:7" x14ac:dyDescent="0.35">
      <c r="F6897">
        <v>6892</v>
      </c>
      <c r="G6897" s="102">
        <f t="shared" ca="1" si="111"/>
        <v>7.1567926187559028E-2</v>
      </c>
    </row>
    <row r="6898" spans="6:7" x14ac:dyDescent="0.35">
      <c r="F6898">
        <v>6893</v>
      </c>
      <c r="G6898" s="102">
        <f t="shared" ca="1" si="111"/>
        <v>-8.2421951017510889E-2</v>
      </c>
    </row>
    <row r="6899" spans="6:7" x14ac:dyDescent="0.35">
      <c r="F6899">
        <v>6894</v>
      </c>
      <c r="G6899" s="102">
        <f t="shared" ca="1" si="111"/>
        <v>-5.5050249029694229E-2</v>
      </c>
    </row>
    <row r="6900" spans="6:7" x14ac:dyDescent="0.35">
      <c r="F6900">
        <v>6895</v>
      </c>
      <c r="G6900" s="102">
        <f t="shared" ca="1" si="111"/>
        <v>-8.8800673082064671E-2</v>
      </c>
    </row>
    <row r="6901" spans="6:7" x14ac:dyDescent="0.35">
      <c r="F6901">
        <v>6896</v>
      </c>
      <c r="G6901" s="102">
        <f t="shared" ca="1" si="111"/>
        <v>5.1065567528027725E-2</v>
      </c>
    </row>
    <row r="6902" spans="6:7" x14ac:dyDescent="0.35">
      <c r="F6902">
        <v>6897</v>
      </c>
      <c r="G6902" s="102">
        <f t="shared" ca="1" si="111"/>
        <v>-7.7806112664092777E-2</v>
      </c>
    </row>
    <row r="6903" spans="6:7" x14ac:dyDescent="0.35">
      <c r="F6903">
        <v>6898</v>
      </c>
      <c r="G6903" s="102">
        <f t="shared" ca="1" si="111"/>
        <v>-6.1587761747261188E-2</v>
      </c>
    </row>
    <row r="6904" spans="6:7" x14ac:dyDescent="0.35">
      <c r="F6904">
        <v>6899</v>
      </c>
      <c r="G6904" s="102">
        <f t="shared" ca="1" si="111"/>
        <v>3.1335237501366534E-2</v>
      </c>
    </row>
    <row r="6905" spans="6:7" x14ac:dyDescent="0.35">
      <c r="F6905">
        <v>6900</v>
      </c>
      <c r="G6905" s="102">
        <f t="shared" ca="1" si="111"/>
        <v>2.2483744420545879E-2</v>
      </c>
    </row>
    <row r="6906" spans="6:7" x14ac:dyDescent="0.35">
      <c r="F6906">
        <v>6901</v>
      </c>
      <c r="G6906" s="102">
        <f t="shared" ca="1" si="111"/>
        <v>-7.8869890322158021E-2</v>
      </c>
    </row>
    <row r="6907" spans="6:7" x14ac:dyDescent="0.35">
      <c r="F6907">
        <v>6902</v>
      </c>
      <c r="G6907" s="102">
        <f t="shared" ca="1" si="111"/>
        <v>1.5430764227311992E-2</v>
      </c>
    </row>
    <row r="6908" spans="6:7" x14ac:dyDescent="0.35">
      <c r="F6908">
        <v>6903</v>
      </c>
      <c r="G6908" s="102">
        <f t="shared" ca="1" si="111"/>
        <v>2.8822303463219592E-2</v>
      </c>
    </row>
    <row r="6909" spans="6:7" x14ac:dyDescent="0.35">
      <c r="F6909">
        <v>6904</v>
      </c>
      <c r="G6909" s="102">
        <f t="shared" ca="1" si="111"/>
        <v>3.9250911878270164E-2</v>
      </c>
    </row>
    <row r="6910" spans="6:7" x14ac:dyDescent="0.35">
      <c r="F6910">
        <v>6905</v>
      </c>
      <c r="G6910" s="102">
        <f t="shared" ca="1" si="111"/>
        <v>4.6412458796323986E-3</v>
      </c>
    </row>
    <row r="6911" spans="6:7" x14ac:dyDescent="0.35">
      <c r="F6911">
        <v>6906</v>
      </c>
      <c r="G6911" s="102">
        <f t="shared" ca="1" si="111"/>
        <v>-4.6119528627403983E-2</v>
      </c>
    </row>
    <row r="6912" spans="6:7" x14ac:dyDescent="0.35">
      <c r="F6912">
        <v>6907</v>
      </c>
      <c r="G6912" s="102">
        <f t="shared" ca="1" si="111"/>
        <v>6.3435257310712652E-3</v>
      </c>
    </row>
    <row r="6913" spans="6:7" x14ac:dyDescent="0.35">
      <c r="F6913">
        <v>6908</v>
      </c>
      <c r="G6913" s="102">
        <f t="shared" ca="1" si="111"/>
        <v>6.9195340401761174E-2</v>
      </c>
    </row>
    <row r="6914" spans="6:7" x14ac:dyDescent="0.35">
      <c r="F6914">
        <v>6909</v>
      </c>
      <c r="G6914" s="102">
        <f t="shared" ca="1" si="111"/>
        <v>9.1134866199392688E-3</v>
      </c>
    </row>
    <row r="6915" spans="6:7" x14ac:dyDescent="0.35">
      <c r="F6915">
        <v>6910</v>
      </c>
      <c r="G6915" s="102">
        <f t="shared" ca="1" si="111"/>
        <v>-5.8507701507189244E-2</v>
      </c>
    </row>
    <row r="6916" spans="6:7" x14ac:dyDescent="0.35">
      <c r="F6916">
        <v>6911</v>
      </c>
      <c r="G6916" s="102">
        <f t="shared" ca="1" si="111"/>
        <v>2.5435594187223142E-2</v>
      </c>
    </row>
    <row r="6917" spans="6:7" x14ac:dyDescent="0.35">
      <c r="F6917">
        <v>6912</v>
      </c>
      <c r="G6917" s="102">
        <f t="shared" ca="1" si="111"/>
        <v>8.3949875481237154E-2</v>
      </c>
    </row>
    <row r="6918" spans="6:7" x14ac:dyDescent="0.35">
      <c r="F6918">
        <v>6913</v>
      </c>
      <c r="G6918" s="102">
        <f t="shared" ca="1" si="111"/>
        <v>-4.3483255856043151E-2</v>
      </c>
    </row>
    <row r="6919" spans="6:7" x14ac:dyDescent="0.35">
      <c r="F6919">
        <v>6914</v>
      </c>
      <c r="G6919" s="102">
        <f t="shared" ref="G6919:G6982" ca="1" si="112">_xlfn.NORM.INV(RAND(),M$9,M$10)</f>
        <v>-6.7409765917077979E-2</v>
      </c>
    </row>
    <row r="6920" spans="6:7" x14ac:dyDescent="0.35">
      <c r="F6920">
        <v>6915</v>
      </c>
      <c r="G6920" s="102">
        <f t="shared" ca="1" si="112"/>
        <v>-1.8965782404621885E-2</v>
      </c>
    </row>
    <row r="6921" spans="6:7" x14ac:dyDescent="0.35">
      <c r="F6921">
        <v>6916</v>
      </c>
      <c r="G6921" s="102">
        <f t="shared" ca="1" si="112"/>
        <v>2.2962415922525303E-2</v>
      </c>
    </row>
    <row r="6922" spans="6:7" x14ac:dyDescent="0.35">
      <c r="F6922">
        <v>6917</v>
      </c>
      <c r="G6922" s="102">
        <f t="shared" ca="1" si="112"/>
        <v>0.10893675121960755</v>
      </c>
    </row>
    <row r="6923" spans="6:7" x14ac:dyDescent="0.35">
      <c r="F6923">
        <v>6918</v>
      </c>
      <c r="G6923" s="102">
        <f t="shared" ca="1" si="112"/>
        <v>3.8420432240055147E-2</v>
      </c>
    </row>
    <row r="6924" spans="6:7" x14ac:dyDescent="0.35">
      <c r="F6924">
        <v>6919</v>
      </c>
      <c r="G6924" s="102">
        <f t="shared" ca="1" si="112"/>
        <v>-4.0022666166171658E-2</v>
      </c>
    </row>
    <row r="6925" spans="6:7" x14ac:dyDescent="0.35">
      <c r="F6925">
        <v>6920</v>
      </c>
      <c r="G6925" s="102">
        <f t="shared" ca="1" si="112"/>
        <v>-7.4177001274614712E-2</v>
      </c>
    </row>
    <row r="6926" spans="6:7" x14ac:dyDescent="0.35">
      <c r="F6926">
        <v>6921</v>
      </c>
      <c r="G6926" s="102">
        <f t="shared" ca="1" si="112"/>
        <v>-3.7107721165275345E-2</v>
      </c>
    </row>
    <row r="6927" spans="6:7" x14ac:dyDescent="0.35">
      <c r="F6927">
        <v>6922</v>
      </c>
      <c r="G6927" s="102">
        <f t="shared" ca="1" si="112"/>
        <v>-1.7575172287417541E-2</v>
      </c>
    </row>
    <row r="6928" spans="6:7" x14ac:dyDescent="0.35">
      <c r="F6928">
        <v>6923</v>
      </c>
      <c r="G6928" s="102">
        <f t="shared" ca="1" si="112"/>
        <v>-9.4912340211787995E-3</v>
      </c>
    </row>
    <row r="6929" spans="6:7" x14ac:dyDescent="0.35">
      <c r="F6929">
        <v>6924</v>
      </c>
      <c r="G6929" s="102">
        <f t="shared" ca="1" si="112"/>
        <v>-9.0584082459577067E-2</v>
      </c>
    </row>
    <row r="6930" spans="6:7" x14ac:dyDescent="0.35">
      <c r="F6930">
        <v>6925</v>
      </c>
      <c r="G6930" s="102">
        <f t="shared" ca="1" si="112"/>
        <v>5.2533154942159752E-2</v>
      </c>
    </row>
    <row r="6931" spans="6:7" x14ac:dyDescent="0.35">
      <c r="F6931">
        <v>6926</v>
      </c>
      <c r="G6931" s="102">
        <f t="shared" ca="1" si="112"/>
        <v>-3.3776420333917492E-2</v>
      </c>
    </row>
    <row r="6932" spans="6:7" x14ac:dyDescent="0.35">
      <c r="F6932">
        <v>6927</v>
      </c>
      <c r="G6932" s="102">
        <f t="shared" ca="1" si="112"/>
        <v>-6.4019203008631675E-2</v>
      </c>
    </row>
    <row r="6933" spans="6:7" x14ac:dyDescent="0.35">
      <c r="F6933">
        <v>6928</v>
      </c>
      <c r="G6933" s="102">
        <f t="shared" ca="1" si="112"/>
        <v>-2.9917565375772231E-3</v>
      </c>
    </row>
    <row r="6934" spans="6:7" x14ac:dyDescent="0.35">
      <c r="F6934">
        <v>6929</v>
      </c>
      <c r="G6934" s="102">
        <f t="shared" ca="1" si="112"/>
        <v>-9.5337521631566422E-3</v>
      </c>
    </row>
    <row r="6935" spans="6:7" x14ac:dyDescent="0.35">
      <c r="F6935">
        <v>6930</v>
      </c>
      <c r="G6935" s="102">
        <f t="shared" ca="1" si="112"/>
        <v>-5.7178926961123713E-2</v>
      </c>
    </row>
    <row r="6936" spans="6:7" x14ac:dyDescent="0.35">
      <c r="F6936">
        <v>6931</v>
      </c>
      <c r="G6936" s="102">
        <f t="shared" ca="1" si="112"/>
        <v>9.070212780044612E-2</v>
      </c>
    </row>
    <row r="6937" spans="6:7" x14ac:dyDescent="0.35">
      <c r="F6937">
        <v>6932</v>
      </c>
      <c r="G6937" s="102">
        <f t="shared" ca="1" si="112"/>
        <v>-7.9786803779869787E-3</v>
      </c>
    </row>
    <row r="6938" spans="6:7" x14ac:dyDescent="0.35">
      <c r="F6938">
        <v>6933</v>
      </c>
      <c r="G6938" s="102">
        <f t="shared" ca="1" si="112"/>
        <v>2.0343561190618906E-2</v>
      </c>
    </row>
    <row r="6939" spans="6:7" x14ac:dyDescent="0.35">
      <c r="F6939">
        <v>6934</v>
      </c>
      <c r="G6939" s="102">
        <f t="shared" ca="1" si="112"/>
        <v>1.6210703899029316E-2</v>
      </c>
    </row>
    <row r="6940" spans="6:7" x14ac:dyDescent="0.35">
      <c r="F6940">
        <v>6935</v>
      </c>
      <c r="G6940" s="102">
        <f t="shared" ca="1" si="112"/>
        <v>1.903047587947107E-2</v>
      </c>
    </row>
    <row r="6941" spans="6:7" x14ac:dyDescent="0.35">
      <c r="F6941">
        <v>6936</v>
      </c>
      <c r="G6941" s="102">
        <f t="shared" ca="1" si="112"/>
        <v>2.1710178612168167E-2</v>
      </c>
    </row>
    <row r="6942" spans="6:7" x14ac:dyDescent="0.35">
      <c r="F6942">
        <v>6937</v>
      </c>
      <c r="G6942" s="102">
        <f t="shared" ca="1" si="112"/>
        <v>6.1989130656008529E-2</v>
      </c>
    </row>
    <row r="6943" spans="6:7" x14ac:dyDescent="0.35">
      <c r="F6943">
        <v>6938</v>
      </c>
      <c r="G6943" s="102">
        <f t="shared" ca="1" si="112"/>
        <v>2.2403502163352011E-2</v>
      </c>
    </row>
    <row r="6944" spans="6:7" x14ac:dyDescent="0.35">
      <c r="F6944">
        <v>6939</v>
      </c>
      <c r="G6944" s="102">
        <f t="shared" ca="1" si="112"/>
        <v>-3.1318963084287055E-2</v>
      </c>
    </row>
    <row r="6945" spans="6:7" x14ac:dyDescent="0.35">
      <c r="F6945">
        <v>6940</v>
      </c>
      <c r="G6945" s="102">
        <f t="shared" ca="1" si="112"/>
        <v>5.6865035987520449E-2</v>
      </c>
    </row>
    <row r="6946" spans="6:7" x14ac:dyDescent="0.35">
      <c r="F6946">
        <v>6941</v>
      </c>
      <c r="G6946" s="102">
        <f t="shared" ca="1" si="112"/>
        <v>9.3445305982919016E-2</v>
      </c>
    </row>
    <row r="6947" spans="6:7" x14ac:dyDescent="0.35">
      <c r="F6947">
        <v>6942</v>
      </c>
      <c r="G6947" s="102">
        <f t="shared" ca="1" si="112"/>
        <v>3.6639934834609145E-2</v>
      </c>
    </row>
    <row r="6948" spans="6:7" x14ac:dyDescent="0.35">
      <c r="F6948">
        <v>6943</v>
      </c>
      <c r="G6948" s="102">
        <f t="shared" ca="1" si="112"/>
        <v>-0.1204135702526246</v>
      </c>
    </row>
    <row r="6949" spans="6:7" x14ac:dyDescent="0.35">
      <c r="F6949">
        <v>6944</v>
      </c>
      <c r="G6949" s="102">
        <f t="shared" ca="1" si="112"/>
        <v>-5.5916435730858612E-3</v>
      </c>
    </row>
    <row r="6950" spans="6:7" x14ac:dyDescent="0.35">
      <c r="F6950">
        <v>6945</v>
      </c>
      <c r="G6950" s="102">
        <f t="shared" ca="1" si="112"/>
        <v>-4.6039606658125939E-2</v>
      </c>
    </row>
    <row r="6951" spans="6:7" x14ac:dyDescent="0.35">
      <c r="F6951">
        <v>6946</v>
      </c>
      <c r="G6951" s="102">
        <f t="shared" ca="1" si="112"/>
        <v>2.6087545607441434E-3</v>
      </c>
    </row>
    <row r="6952" spans="6:7" x14ac:dyDescent="0.35">
      <c r="F6952">
        <v>6947</v>
      </c>
      <c r="G6952" s="102">
        <f t="shared" ca="1" si="112"/>
        <v>6.3902689514673566E-2</v>
      </c>
    </row>
    <row r="6953" spans="6:7" x14ac:dyDescent="0.35">
      <c r="F6953">
        <v>6948</v>
      </c>
      <c r="G6953" s="102">
        <f t="shared" ca="1" si="112"/>
        <v>5.7195939113382412E-3</v>
      </c>
    </row>
    <row r="6954" spans="6:7" x14ac:dyDescent="0.35">
      <c r="F6954">
        <v>6949</v>
      </c>
      <c r="G6954" s="102">
        <f t="shared" ca="1" si="112"/>
        <v>1.8080223231628015E-3</v>
      </c>
    </row>
    <row r="6955" spans="6:7" x14ac:dyDescent="0.35">
      <c r="F6955">
        <v>6950</v>
      </c>
      <c r="G6955" s="102">
        <f t="shared" ca="1" si="112"/>
        <v>7.347125130602046E-2</v>
      </c>
    </row>
    <row r="6956" spans="6:7" x14ac:dyDescent="0.35">
      <c r="F6956">
        <v>6951</v>
      </c>
      <c r="G6956" s="102">
        <f t="shared" ca="1" si="112"/>
        <v>7.7024669295226417E-2</v>
      </c>
    </row>
    <row r="6957" spans="6:7" x14ac:dyDescent="0.35">
      <c r="F6957">
        <v>6952</v>
      </c>
      <c r="G6957" s="102">
        <f t="shared" ca="1" si="112"/>
        <v>5.5640388517625539E-2</v>
      </c>
    </row>
    <row r="6958" spans="6:7" x14ac:dyDescent="0.35">
      <c r="F6958">
        <v>6953</v>
      </c>
      <c r="G6958" s="102">
        <f t="shared" ca="1" si="112"/>
        <v>1.4180464206216787E-2</v>
      </c>
    </row>
    <row r="6959" spans="6:7" x14ac:dyDescent="0.35">
      <c r="F6959">
        <v>6954</v>
      </c>
      <c r="G6959" s="102">
        <f t="shared" ca="1" si="112"/>
        <v>5.5391130836879979E-2</v>
      </c>
    </row>
    <row r="6960" spans="6:7" x14ac:dyDescent="0.35">
      <c r="F6960">
        <v>6955</v>
      </c>
      <c r="G6960" s="102">
        <f t="shared" ca="1" si="112"/>
        <v>5.215760558100771E-2</v>
      </c>
    </row>
    <row r="6961" spans="6:7" x14ac:dyDescent="0.35">
      <c r="F6961">
        <v>6956</v>
      </c>
      <c r="G6961" s="102">
        <f t="shared" ca="1" si="112"/>
        <v>8.6280420633214186E-2</v>
      </c>
    </row>
    <row r="6962" spans="6:7" x14ac:dyDescent="0.35">
      <c r="F6962">
        <v>6957</v>
      </c>
      <c r="G6962" s="102">
        <f t="shared" ca="1" si="112"/>
        <v>-2.8611889399228845E-3</v>
      </c>
    </row>
    <row r="6963" spans="6:7" x14ac:dyDescent="0.35">
      <c r="F6963">
        <v>6958</v>
      </c>
      <c r="G6963" s="102">
        <f t="shared" ca="1" si="112"/>
        <v>2.2311816797385739E-2</v>
      </c>
    </row>
    <row r="6964" spans="6:7" x14ac:dyDescent="0.35">
      <c r="F6964">
        <v>6959</v>
      </c>
      <c r="G6964" s="102">
        <f t="shared" ca="1" si="112"/>
        <v>5.5208933654919815E-2</v>
      </c>
    </row>
    <row r="6965" spans="6:7" x14ac:dyDescent="0.35">
      <c r="F6965">
        <v>6960</v>
      </c>
      <c r="G6965" s="102">
        <f t="shared" ca="1" si="112"/>
        <v>0.11148645769136299</v>
      </c>
    </row>
    <row r="6966" spans="6:7" x14ac:dyDescent="0.35">
      <c r="F6966">
        <v>6961</v>
      </c>
      <c r="G6966" s="102">
        <f t="shared" ca="1" si="112"/>
        <v>2.8680812205518106E-2</v>
      </c>
    </row>
    <row r="6967" spans="6:7" x14ac:dyDescent="0.35">
      <c r="F6967">
        <v>6962</v>
      </c>
      <c r="G6967" s="102">
        <f t="shared" ca="1" si="112"/>
        <v>8.3619335680254217E-2</v>
      </c>
    </row>
    <row r="6968" spans="6:7" x14ac:dyDescent="0.35">
      <c r="F6968">
        <v>6963</v>
      </c>
      <c r="G6968" s="102">
        <f t="shared" ca="1" si="112"/>
        <v>1.6557224402936613E-2</v>
      </c>
    </row>
    <row r="6969" spans="6:7" x14ac:dyDescent="0.35">
      <c r="F6969">
        <v>6964</v>
      </c>
      <c r="G6969" s="102">
        <f t="shared" ca="1" si="112"/>
        <v>-3.7242581629592195E-2</v>
      </c>
    </row>
    <row r="6970" spans="6:7" x14ac:dyDescent="0.35">
      <c r="F6970">
        <v>6965</v>
      </c>
      <c r="G6970" s="102">
        <f t="shared" ca="1" si="112"/>
        <v>3.986468740557414E-2</v>
      </c>
    </row>
    <row r="6971" spans="6:7" x14ac:dyDescent="0.35">
      <c r="F6971">
        <v>6966</v>
      </c>
      <c r="G6971" s="102">
        <f t="shared" ca="1" si="112"/>
        <v>-5.6098769879654089E-3</v>
      </c>
    </row>
    <row r="6972" spans="6:7" x14ac:dyDescent="0.35">
      <c r="F6972">
        <v>6967</v>
      </c>
      <c r="G6972" s="102">
        <f t="shared" ca="1" si="112"/>
        <v>2.9740452340454884E-2</v>
      </c>
    </row>
    <row r="6973" spans="6:7" x14ac:dyDescent="0.35">
      <c r="F6973">
        <v>6968</v>
      </c>
      <c r="G6973" s="102">
        <f t="shared" ca="1" si="112"/>
        <v>-1.6428335970256669E-2</v>
      </c>
    </row>
    <row r="6974" spans="6:7" x14ac:dyDescent="0.35">
      <c r="F6974">
        <v>6969</v>
      </c>
      <c r="G6974" s="102">
        <f t="shared" ca="1" si="112"/>
        <v>7.1152512218110947E-2</v>
      </c>
    </row>
    <row r="6975" spans="6:7" x14ac:dyDescent="0.35">
      <c r="F6975">
        <v>6970</v>
      </c>
      <c r="G6975" s="102">
        <f t="shared" ca="1" si="112"/>
        <v>9.9697740127461187E-2</v>
      </c>
    </row>
    <row r="6976" spans="6:7" x14ac:dyDescent="0.35">
      <c r="F6976">
        <v>6971</v>
      </c>
      <c r="G6976" s="102">
        <f t="shared" ca="1" si="112"/>
        <v>-2.6987093610620804E-2</v>
      </c>
    </row>
    <row r="6977" spans="6:7" x14ac:dyDescent="0.35">
      <c r="F6977">
        <v>6972</v>
      </c>
      <c r="G6977" s="102">
        <f t="shared" ca="1" si="112"/>
        <v>-8.7988780393295746E-2</v>
      </c>
    </row>
    <row r="6978" spans="6:7" x14ac:dyDescent="0.35">
      <c r="F6978">
        <v>6973</v>
      </c>
      <c r="G6978" s="102">
        <f t="shared" ca="1" si="112"/>
        <v>-9.7907002325911888E-3</v>
      </c>
    </row>
    <row r="6979" spans="6:7" x14ac:dyDescent="0.35">
      <c r="F6979">
        <v>6974</v>
      </c>
      <c r="G6979" s="102">
        <f t="shared" ca="1" si="112"/>
        <v>-8.6264179850917083E-2</v>
      </c>
    </row>
    <row r="6980" spans="6:7" x14ac:dyDescent="0.35">
      <c r="F6980">
        <v>6975</v>
      </c>
      <c r="G6980" s="102">
        <f t="shared" ca="1" si="112"/>
        <v>-8.8415203972242798E-3</v>
      </c>
    </row>
    <row r="6981" spans="6:7" x14ac:dyDescent="0.35">
      <c r="F6981">
        <v>6976</v>
      </c>
      <c r="G6981" s="102">
        <f t="shared" ca="1" si="112"/>
        <v>3.8964179359206055E-2</v>
      </c>
    </row>
    <row r="6982" spans="6:7" x14ac:dyDescent="0.35">
      <c r="F6982">
        <v>6977</v>
      </c>
      <c r="G6982" s="102">
        <f t="shared" ca="1" si="112"/>
        <v>-2.9294466477014076E-2</v>
      </c>
    </row>
    <row r="6983" spans="6:7" x14ac:dyDescent="0.35">
      <c r="F6983">
        <v>6978</v>
      </c>
      <c r="G6983" s="102">
        <f t="shared" ref="G6983:G7046" ca="1" si="113">_xlfn.NORM.INV(RAND(),M$9,M$10)</f>
        <v>-7.8531419548903525E-2</v>
      </c>
    </row>
    <row r="6984" spans="6:7" x14ac:dyDescent="0.35">
      <c r="F6984">
        <v>6979</v>
      </c>
      <c r="G6984" s="102">
        <f t="shared" ca="1" si="113"/>
        <v>-7.9440445567435167E-2</v>
      </c>
    </row>
    <row r="6985" spans="6:7" x14ac:dyDescent="0.35">
      <c r="F6985">
        <v>6980</v>
      </c>
      <c r="G6985" s="102">
        <f t="shared" ca="1" si="113"/>
        <v>-3.9336150178342341E-2</v>
      </c>
    </row>
    <row r="6986" spans="6:7" x14ac:dyDescent="0.35">
      <c r="F6986">
        <v>6981</v>
      </c>
      <c r="G6986" s="102">
        <f t="shared" ca="1" si="113"/>
        <v>8.7905676297898486E-2</v>
      </c>
    </row>
    <row r="6987" spans="6:7" x14ac:dyDescent="0.35">
      <c r="F6987">
        <v>6982</v>
      </c>
      <c r="G6987" s="102">
        <f t="shared" ca="1" si="113"/>
        <v>2.5053450132482911E-2</v>
      </c>
    </row>
    <row r="6988" spans="6:7" x14ac:dyDescent="0.35">
      <c r="F6988">
        <v>6983</v>
      </c>
      <c r="G6988" s="102">
        <f t="shared" ca="1" si="113"/>
        <v>2.1440953713702842E-2</v>
      </c>
    </row>
    <row r="6989" spans="6:7" x14ac:dyDescent="0.35">
      <c r="F6989">
        <v>6984</v>
      </c>
      <c r="G6989" s="102">
        <f t="shared" ca="1" si="113"/>
        <v>2.3903258620056555E-2</v>
      </c>
    </row>
    <row r="6990" spans="6:7" x14ac:dyDescent="0.35">
      <c r="F6990">
        <v>6985</v>
      </c>
      <c r="G6990" s="102">
        <f t="shared" ca="1" si="113"/>
        <v>-0.13794868156258161</v>
      </c>
    </row>
    <row r="6991" spans="6:7" x14ac:dyDescent="0.35">
      <c r="F6991">
        <v>6986</v>
      </c>
      <c r="G6991" s="102">
        <f t="shared" ca="1" si="113"/>
        <v>-5.4144904306672487E-2</v>
      </c>
    </row>
    <row r="6992" spans="6:7" x14ac:dyDescent="0.35">
      <c r="F6992">
        <v>6987</v>
      </c>
      <c r="G6992" s="102">
        <f t="shared" ca="1" si="113"/>
        <v>-3.3558341671242109E-2</v>
      </c>
    </row>
    <row r="6993" spans="6:7" x14ac:dyDescent="0.35">
      <c r="F6993">
        <v>6988</v>
      </c>
      <c r="G6993" s="102">
        <f t="shared" ca="1" si="113"/>
        <v>-1.3104665573743601E-2</v>
      </c>
    </row>
    <row r="6994" spans="6:7" x14ac:dyDescent="0.35">
      <c r="F6994">
        <v>6989</v>
      </c>
      <c r="G6994" s="102">
        <f t="shared" ca="1" si="113"/>
        <v>1.0225596621563825E-2</v>
      </c>
    </row>
    <row r="6995" spans="6:7" x14ac:dyDescent="0.35">
      <c r="F6995">
        <v>6990</v>
      </c>
      <c r="G6995" s="102">
        <f t="shared" ca="1" si="113"/>
        <v>1.0062077265787901E-2</v>
      </c>
    </row>
    <row r="6996" spans="6:7" x14ac:dyDescent="0.35">
      <c r="F6996">
        <v>6991</v>
      </c>
      <c r="G6996" s="102">
        <f t="shared" ca="1" si="113"/>
        <v>-0.1164234625082058</v>
      </c>
    </row>
    <row r="6997" spans="6:7" x14ac:dyDescent="0.35">
      <c r="F6997">
        <v>6992</v>
      </c>
      <c r="G6997" s="102">
        <f t="shared" ca="1" si="113"/>
        <v>8.31384880122117E-2</v>
      </c>
    </row>
    <row r="6998" spans="6:7" x14ac:dyDescent="0.35">
      <c r="F6998">
        <v>6993</v>
      </c>
      <c r="G6998" s="102">
        <f t="shared" ca="1" si="113"/>
        <v>-1.4972402963381197E-2</v>
      </c>
    </row>
    <row r="6999" spans="6:7" x14ac:dyDescent="0.35">
      <c r="F6999">
        <v>6994</v>
      </c>
      <c r="G6999" s="102">
        <f t="shared" ca="1" si="113"/>
        <v>-6.4040312503050034E-2</v>
      </c>
    </row>
    <row r="7000" spans="6:7" x14ac:dyDescent="0.35">
      <c r="F7000">
        <v>6995</v>
      </c>
      <c r="G7000" s="102">
        <f t="shared" ca="1" si="113"/>
        <v>8.3729865532110342E-2</v>
      </c>
    </row>
    <row r="7001" spans="6:7" x14ac:dyDescent="0.35">
      <c r="F7001">
        <v>6996</v>
      </c>
      <c r="G7001" s="102">
        <f t="shared" ca="1" si="113"/>
        <v>0.20904264549856891</v>
      </c>
    </row>
    <row r="7002" spans="6:7" x14ac:dyDescent="0.35">
      <c r="F7002">
        <v>6997</v>
      </c>
      <c r="G7002" s="102">
        <f t="shared" ca="1" si="113"/>
        <v>-3.1513674645811264E-2</v>
      </c>
    </row>
    <row r="7003" spans="6:7" x14ac:dyDescent="0.35">
      <c r="F7003">
        <v>6998</v>
      </c>
      <c r="G7003" s="102">
        <f t="shared" ca="1" si="113"/>
        <v>4.5166811192964937E-2</v>
      </c>
    </row>
    <row r="7004" spans="6:7" x14ac:dyDescent="0.35">
      <c r="F7004">
        <v>6999</v>
      </c>
      <c r="G7004" s="102">
        <f t="shared" ca="1" si="113"/>
        <v>-4.4106250590896637E-2</v>
      </c>
    </row>
    <row r="7005" spans="6:7" x14ac:dyDescent="0.35">
      <c r="F7005">
        <v>7000</v>
      </c>
      <c r="G7005" s="102">
        <f t="shared" ca="1" si="113"/>
        <v>-5.8554630774601588E-2</v>
      </c>
    </row>
    <row r="7006" spans="6:7" x14ac:dyDescent="0.35">
      <c r="F7006">
        <v>7001</v>
      </c>
      <c r="G7006" s="102">
        <f t="shared" ca="1" si="113"/>
        <v>-1.6837895865858314E-2</v>
      </c>
    </row>
    <row r="7007" spans="6:7" x14ac:dyDescent="0.35">
      <c r="F7007">
        <v>7002</v>
      </c>
      <c r="G7007" s="102">
        <f t="shared" ca="1" si="113"/>
        <v>1.7034767313849262E-2</v>
      </c>
    </row>
    <row r="7008" spans="6:7" x14ac:dyDescent="0.35">
      <c r="F7008">
        <v>7003</v>
      </c>
      <c r="G7008" s="102">
        <f t="shared" ca="1" si="113"/>
        <v>-2.4331619982351442E-2</v>
      </c>
    </row>
    <row r="7009" spans="6:7" x14ac:dyDescent="0.35">
      <c r="F7009">
        <v>7004</v>
      </c>
      <c r="G7009" s="102">
        <f t="shared" ca="1" si="113"/>
        <v>5.004438028999153E-2</v>
      </c>
    </row>
    <row r="7010" spans="6:7" x14ac:dyDescent="0.35">
      <c r="F7010">
        <v>7005</v>
      </c>
      <c r="G7010" s="102">
        <f t="shared" ca="1" si="113"/>
        <v>-6.9960260259541385E-2</v>
      </c>
    </row>
    <row r="7011" spans="6:7" x14ac:dyDescent="0.35">
      <c r="F7011">
        <v>7006</v>
      </c>
      <c r="G7011" s="102">
        <f t="shared" ca="1" si="113"/>
        <v>9.5989124905942733E-2</v>
      </c>
    </row>
    <row r="7012" spans="6:7" x14ac:dyDescent="0.35">
      <c r="F7012">
        <v>7007</v>
      </c>
      <c r="G7012" s="102">
        <f t="shared" ca="1" si="113"/>
        <v>3.2636985047981126E-2</v>
      </c>
    </row>
    <row r="7013" spans="6:7" x14ac:dyDescent="0.35">
      <c r="F7013">
        <v>7008</v>
      </c>
      <c r="G7013" s="102">
        <f t="shared" ca="1" si="113"/>
        <v>-5.890452741203972E-2</v>
      </c>
    </row>
    <row r="7014" spans="6:7" x14ac:dyDescent="0.35">
      <c r="F7014">
        <v>7009</v>
      </c>
      <c r="G7014" s="102">
        <f t="shared" ca="1" si="113"/>
        <v>-4.0611821516009471E-3</v>
      </c>
    </row>
    <row r="7015" spans="6:7" x14ac:dyDescent="0.35">
      <c r="F7015">
        <v>7010</v>
      </c>
      <c r="G7015" s="102">
        <f t="shared" ca="1" si="113"/>
        <v>2.7295038220584062E-2</v>
      </c>
    </row>
    <row r="7016" spans="6:7" x14ac:dyDescent="0.35">
      <c r="F7016">
        <v>7011</v>
      </c>
      <c r="G7016" s="102">
        <f t="shared" ca="1" si="113"/>
        <v>-5.0895457028648453E-4</v>
      </c>
    </row>
    <row r="7017" spans="6:7" x14ac:dyDescent="0.35">
      <c r="F7017">
        <v>7012</v>
      </c>
      <c r="G7017" s="102">
        <f t="shared" ca="1" si="113"/>
        <v>-2.3214542474718859E-2</v>
      </c>
    </row>
    <row r="7018" spans="6:7" x14ac:dyDescent="0.35">
      <c r="F7018">
        <v>7013</v>
      </c>
      <c r="G7018" s="102">
        <f t="shared" ca="1" si="113"/>
        <v>-1.4351015487040457E-2</v>
      </c>
    </row>
    <row r="7019" spans="6:7" x14ac:dyDescent="0.35">
      <c r="F7019">
        <v>7014</v>
      </c>
      <c r="G7019" s="102">
        <f t="shared" ca="1" si="113"/>
        <v>-3.4970104664589705E-2</v>
      </c>
    </row>
    <row r="7020" spans="6:7" x14ac:dyDescent="0.35">
      <c r="F7020">
        <v>7015</v>
      </c>
      <c r="G7020" s="102">
        <f t="shared" ca="1" si="113"/>
        <v>3.6098865523608359E-2</v>
      </c>
    </row>
    <row r="7021" spans="6:7" x14ac:dyDescent="0.35">
      <c r="F7021">
        <v>7016</v>
      </c>
      <c r="G7021" s="102">
        <f t="shared" ca="1" si="113"/>
        <v>4.7792418415848817E-2</v>
      </c>
    </row>
    <row r="7022" spans="6:7" x14ac:dyDescent="0.35">
      <c r="F7022">
        <v>7017</v>
      </c>
      <c r="G7022" s="102">
        <f t="shared" ca="1" si="113"/>
        <v>9.4253207430207309E-3</v>
      </c>
    </row>
    <row r="7023" spans="6:7" x14ac:dyDescent="0.35">
      <c r="F7023">
        <v>7018</v>
      </c>
      <c r="G7023" s="102">
        <f t="shared" ca="1" si="113"/>
        <v>-4.3845560695500354E-4</v>
      </c>
    </row>
    <row r="7024" spans="6:7" x14ac:dyDescent="0.35">
      <c r="F7024">
        <v>7019</v>
      </c>
      <c r="G7024" s="102">
        <f t="shared" ca="1" si="113"/>
        <v>-3.3976653578959466E-2</v>
      </c>
    </row>
    <row r="7025" spans="6:7" x14ac:dyDescent="0.35">
      <c r="F7025">
        <v>7020</v>
      </c>
      <c r="G7025" s="102">
        <f t="shared" ca="1" si="113"/>
        <v>-4.4067295150360336E-3</v>
      </c>
    </row>
    <row r="7026" spans="6:7" x14ac:dyDescent="0.35">
      <c r="F7026">
        <v>7021</v>
      </c>
      <c r="G7026" s="102">
        <f t="shared" ca="1" si="113"/>
        <v>2.3812355250116247E-2</v>
      </c>
    </row>
    <row r="7027" spans="6:7" x14ac:dyDescent="0.35">
      <c r="F7027">
        <v>7022</v>
      </c>
      <c r="G7027" s="102">
        <f t="shared" ca="1" si="113"/>
        <v>-2.5153731300209849E-2</v>
      </c>
    </row>
    <row r="7028" spans="6:7" x14ac:dyDescent="0.35">
      <c r="F7028">
        <v>7023</v>
      </c>
      <c r="G7028" s="102">
        <f t="shared" ca="1" si="113"/>
        <v>1.2631667581782167E-2</v>
      </c>
    </row>
    <row r="7029" spans="6:7" x14ac:dyDescent="0.35">
      <c r="F7029">
        <v>7024</v>
      </c>
      <c r="G7029" s="102">
        <f t="shared" ca="1" si="113"/>
        <v>6.5222558478466308E-2</v>
      </c>
    </row>
    <row r="7030" spans="6:7" x14ac:dyDescent="0.35">
      <c r="F7030">
        <v>7025</v>
      </c>
      <c r="G7030" s="102">
        <f t="shared" ca="1" si="113"/>
        <v>-0.10931087082897101</v>
      </c>
    </row>
    <row r="7031" spans="6:7" x14ac:dyDescent="0.35">
      <c r="F7031">
        <v>7026</v>
      </c>
      <c r="G7031" s="102">
        <f t="shared" ca="1" si="113"/>
        <v>-1.0045542046015769E-2</v>
      </c>
    </row>
    <row r="7032" spans="6:7" x14ac:dyDescent="0.35">
      <c r="F7032">
        <v>7027</v>
      </c>
      <c r="G7032" s="102">
        <f t="shared" ca="1" si="113"/>
        <v>-4.7697053581154933E-2</v>
      </c>
    </row>
    <row r="7033" spans="6:7" x14ac:dyDescent="0.35">
      <c r="F7033">
        <v>7028</v>
      </c>
      <c r="G7033" s="102">
        <f t="shared" ca="1" si="113"/>
        <v>8.6285634880307188E-2</v>
      </c>
    </row>
    <row r="7034" spans="6:7" x14ac:dyDescent="0.35">
      <c r="F7034">
        <v>7029</v>
      </c>
      <c r="G7034" s="102">
        <f t="shared" ca="1" si="113"/>
        <v>-8.5545377062080305E-2</v>
      </c>
    </row>
    <row r="7035" spans="6:7" x14ac:dyDescent="0.35">
      <c r="F7035">
        <v>7030</v>
      </c>
      <c r="G7035" s="102">
        <f t="shared" ca="1" si="113"/>
        <v>-2.9646911690058321E-2</v>
      </c>
    </row>
    <row r="7036" spans="6:7" x14ac:dyDescent="0.35">
      <c r="F7036">
        <v>7031</v>
      </c>
      <c r="G7036" s="102">
        <f t="shared" ca="1" si="113"/>
        <v>7.9223277691677807E-2</v>
      </c>
    </row>
    <row r="7037" spans="6:7" x14ac:dyDescent="0.35">
      <c r="F7037">
        <v>7032</v>
      </c>
      <c r="G7037" s="102">
        <f t="shared" ca="1" si="113"/>
        <v>7.1976761699017788E-2</v>
      </c>
    </row>
    <row r="7038" spans="6:7" x14ac:dyDescent="0.35">
      <c r="F7038">
        <v>7033</v>
      </c>
      <c r="G7038" s="102">
        <f t="shared" ca="1" si="113"/>
        <v>-1.882108612582406E-2</v>
      </c>
    </row>
    <row r="7039" spans="6:7" x14ac:dyDescent="0.35">
      <c r="F7039">
        <v>7034</v>
      </c>
      <c r="G7039" s="102">
        <f t="shared" ca="1" si="113"/>
        <v>-7.1440094515761041E-2</v>
      </c>
    </row>
    <row r="7040" spans="6:7" x14ac:dyDescent="0.35">
      <c r="F7040">
        <v>7035</v>
      </c>
      <c r="G7040" s="102">
        <f t="shared" ca="1" si="113"/>
        <v>3.9410541927732107E-2</v>
      </c>
    </row>
    <row r="7041" spans="6:7" x14ac:dyDescent="0.35">
      <c r="F7041">
        <v>7036</v>
      </c>
      <c r="G7041" s="102">
        <f t="shared" ca="1" si="113"/>
        <v>-9.361113875760052E-3</v>
      </c>
    </row>
    <row r="7042" spans="6:7" x14ac:dyDescent="0.35">
      <c r="F7042">
        <v>7037</v>
      </c>
      <c r="G7042" s="102">
        <f t="shared" ca="1" si="113"/>
        <v>5.7612142413927286E-2</v>
      </c>
    </row>
    <row r="7043" spans="6:7" x14ac:dyDescent="0.35">
      <c r="F7043">
        <v>7038</v>
      </c>
      <c r="G7043" s="102">
        <f t="shared" ca="1" si="113"/>
        <v>5.5972209785724772E-2</v>
      </c>
    </row>
    <row r="7044" spans="6:7" x14ac:dyDescent="0.35">
      <c r="F7044">
        <v>7039</v>
      </c>
      <c r="G7044" s="102">
        <f t="shared" ca="1" si="113"/>
        <v>-2.6419682375281216E-2</v>
      </c>
    </row>
    <row r="7045" spans="6:7" x14ac:dyDescent="0.35">
      <c r="F7045">
        <v>7040</v>
      </c>
      <c r="G7045" s="102">
        <f t="shared" ca="1" si="113"/>
        <v>-3.6134098358402644E-2</v>
      </c>
    </row>
    <row r="7046" spans="6:7" x14ac:dyDescent="0.35">
      <c r="F7046">
        <v>7041</v>
      </c>
      <c r="G7046" s="102">
        <f t="shared" ca="1" si="113"/>
        <v>1.9264407177247065E-2</v>
      </c>
    </row>
    <row r="7047" spans="6:7" x14ac:dyDescent="0.35">
      <c r="F7047">
        <v>7042</v>
      </c>
      <c r="G7047" s="102">
        <f t="shared" ref="G7047:G7110" ca="1" si="114">_xlfn.NORM.INV(RAND(),M$9,M$10)</f>
        <v>2.974994239889318E-2</v>
      </c>
    </row>
    <row r="7048" spans="6:7" x14ac:dyDescent="0.35">
      <c r="F7048">
        <v>7043</v>
      </c>
      <c r="G7048" s="102">
        <f t="shared" ca="1" si="114"/>
        <v>-3.2485752456163586E-2</v>
      </c>
    </row>
    <row r="7049" spans="6:7" x14ac:dyDescent="0.35">
      <c r="F7049">
        <v>7044</v>
      </c>
      <c r="G7049" s="102">
        <f t="shared" ca="1" si="114"/>
        <v>-1.0122475789465058E-2</v>
      </c>
    </row>
    <row r="7050" spans="6:7" x14ac:dyDescent="0.35">
      <c r="F7050">
        <v>7045</v>
      </c>
      <c r="G7050" s="102">
        <f t="shared" ca="1" si="114"/>
        <v>5.0039643850270446E-2</v>
      </c>
    </row>
    <row r="7051" spans="6:7" x14ac:dyDescent="0.35">
      <c r="F7051">
        <v>7046</v>
      </c>
      <c r="G7051" s="102">
        <f t="shared" ca="1" si="114"/>
        <v>-6.3437303819085633E-2</v>
      </c>
    </row>
    <row r="7052" spans="6:7" x14ac:dyDescent="0.35">
      <c r="F7052">
        <v>7047</v>
      </c>
      <c r="G7052" s="102">
        <f t="shared" ca="1" si="114"/>
        <v>-1.7802520822051006E-2</v>
      </c>
    </row>
    <row r="7053" spans="6:7" x14ac:dyDescent="0.35">
      <c r="F7053">
        <v>7048</v>
      </c>
      <c r="G7053" s="102">
        <f t="shared" ca="1" si="114"/>
        <v>0.1645952248195984</v>
      </c>
    </row>
    <row r="7054" spans="6:7" x14ac:dyDescent="0.35">
      <c r="F7054">
        <v>7049</v>
      </c>
      <c r="G7054" s="102">
        <f t="shared" ca="1" si="114"/>
        <v>9.604195771362449E-2</v>
      </c>
    </row>
    <row r="7055" spans="6:7" x14ac:dyDescent="0.35">
      <c r="F7055">
        <v>7050</v>
      </c>
      <c r="G7055" s="102">
        <f t="shared" ca="1" si="114"/>
        <v>2.3882701350951975E-2</v>
      </c>
    </row>
    <row r="7056" spans="6:7" x14ac:dyDescent="0.35">
      <c r="F7056">
        <v>7051</v>
      </c>
      <c r="G7056" s="102">
        <f t="shared" ca="1" si="114"/>
        <v>-2.6931773961047932E-3</v>
      </c>
    </row>
    <row r="7057" spans="6:7" x14ac:dyDescent="0.35">
      <c r="F7057">
        <v>7052</v>
      </c>
      <c r="G7057" s="102">
        <f t="shared" ca="1" si="114"/>
        <v>-5.2413922380608782E-2</v>
      </c>
    </row>
    <row r="7058" spans="6:7" x14ac:dyDescent="0.35">
      <c r="F7058">
        <v>7053</v>
      </c>
      <c r="G7058" s="102">
        <f t="shared" ca="1" si="114"/>
        <v>2.7625019909433429E-2</v>
      </c>
    </row>
    <row r="7059" spans="6:7" x14ac:dyDescent="0.35">
      <c r="F7059">
        <v>7054</v>
      </c>
      <c r="G7059" s="102">
        <f t="shared" ca="1" si="114"/>
        <v>2.8573050336791386E-2</v>
      </c>
    </row>
    <row r="7060" spans="6:7" x14ac:dyDescent="0.35">
      <c r="F7060">
        <v>7055</v>
      </c>
      <c r="G7060" s="102">
        <f t="shared" ca="1" si="114"/>
        <v>-3.4886882604915738E-3</v>
      </c>
    </row>
    <row r="7061" spans="6:7" x14ac:dyDescent="0.35">
      <c r="F7061">
        <v>7056</v>
      </c>
      <c r="G7061" s="102">
        <f t="shared" ca="1" si="114"/>
        <v>3.172774051433265E-2</v>
      </c>
    </row>
    <row r="7062" spans="6:7" x14ac:dyDescent="0.35">
      <c r="F7062">
        <v>7057</v>
      </c>
      <c r="G7062" s="102">
        <f t="shared" ca="1" si="114"/>
        <v>5.9185569534039029E-2</v>
      </c>
    </row>
    <row r="7063" spans="6:7" x14ac:dyDescent="0.35">
      <c r="F7063">
        <v>7058</v>
      </c>
      <c r="G7063" s="102">
        <f t="shared" ca="1" si="114"/>
        <v>-5.4355101869063477E-2</v>
      </c>
    </row>
    <row r="7064" spans="6:7" x14ac:dyDescent="0.35">
      <c r="F7064">
        <v>7059</v>
      </c>
      <c r="G7064" s="102">
        <f t="shared" ca="1" si="114"/>
        <v>-6.4178930066436699E-2</v>
      </c>
    </row>
    <row r="7065" spans="6:7" x14ac:dyDescent="0.35">
      <c r="F7065">
        <v>7060</v>
      </c>
      <c r="G7065" s="102">
        <f t="shared" ca="1" si="114"/>
        <v>-0.13037619699868497</v>
      </c>
    </row>
    <row r="7066" spans="6:7" x14ac:dyDescent="0.35">
      <c r="F7066">
        <v>7061</v>
      </c>
      <c r="G7066" s="102">
        <f t="shared" ca="1" si="114"/>
        <v>-1.7233746076757865E-2</v>
      </c>
    </row>
    <row r="7067" spans="6:7" x14ac:dyDescent="0.35">
      <c r="F7067">
        <v>7062</v>
      </c>
      <c r="G7067" s="102">
        <f t="shared" ca="1" si="114"/>
        <v>4.2141503854742877E-4</v>
      </c>
    </row>
    <row r="7068" spans="6:7" x14ac:dyDescent="0.35">
      <c r="F7068">
        <v>7063</v>
      </c>
      <c r="G7068" s="102">
        <f t="shared" ca="1" si="114"/>
        <v>4.6745165987748076E-3</v>
      </c>
    </row>
    <row r="7069" spans="6:7" x14ac:dyDescent="0.35">
      <c r="F7069">
        <v>7064</v>
      </c>
      <c r="G7069" s="102">
        <f t="shared" ca="1" si="114"/>
        <v>-5.7162745609635468E-2</v>
      </c>
    </row>
    <row r="7070" spans="6:7" x14ac:dyDescent="0.35">
      <c r="F7070">
        <v>7065</v>
      </c>
      <c r="G7070" s="102">
        <f t="shared" ca="1" si="114"/>
        <v>2.1759302509259434E-2</v>
      </c>
    </row>
    <row r="7071" spans="6:7" x14ac:dyDescent="0.35">
      <c r="F7071">
        <v>7066</v>
      </c>
      <c r="G7071" s="102">
        <f t="shared" ca="1" si="114"/>
        <v>4.7663903007958128E-2</v>
      </c>
    </row>
    <row r="7072" spans="6:7" x14ac:dyDescent="0.35">
      <c r="F7072">
        <v>7067</v>
      </c>
      <c r="G7072" s="102">
        <f t="shared" ca="1" si="114"/>
        <v>-0.12681034944374861</v>
      </c>
    </row>
    <row r="7073" spans="6:7" x14ac:dyDescent="0.35">
      <c r="F7073">
        <v>7068</v>
      </c>
      <c r="G7073" s="102">
        <f t="shared" ca="1" si="114"/>
        <v>-1.10199343969321E-2</v>
      </c>
    </row>
    <row r="7074" spans="6:7" x14ac:dyDescent="0.35">
      <c r="F7074">
        <v>7069</v>
      </c>
      <c r="G7074" s="102">
        <f t="shared" ca="1" si="114"/>
        <v>-0.12745624453133705</v>
      </c>
    </row>
    <row r="7075" spans="6:7" x14ac:dyDescent="0.35">
      <c r="F7075">
        <v>7070</v>
      </c>
      <c r="G7075" s="102">
        <f t="shared" ca="1" si="114"/>
        <v>8.3312626917283986E-2</v>
      </c>
    </row>
    <row r="7076" spans="6:7" x14ac:dyDescent="0.35">
      <c r="F7076">
        <v>7071</v>
      </c>
      <c r="G7076" s="102">
        <f t="shared" ca="1" si="114"/>
        <v>-2.7039431361188228E-2</v>
      </c>
    </row>
    <row r="7077" spans="6:7" x14ac:dyDescent="0.35">
      <c r="F7077">
        <v>7072</v>
      </c>
      <c r="G7077" s="102">
        <f t="shared" ca="1" si="114"/>
        <v>4.892546028068015E-2</v>
      </c>
    </row>
    <row r="7078" spans="6:7" x14ac:dyDescent="0.35">
      <c r="F7078">
        <v>7073</v>
      </c>
      <c r="G7078" s="102">
        <f t="shared" ca="1" si="114"/>
        <v>-4.6423909553362508E-2</v>
      </c>
    </row>
    <row r="7079" spans="6:7" x14ac:dyDescent="0.35">
      <c r="F7079">
        <v>7074</v>
      </c>
      <c r="G7079" s="102">
        <f t="shared" ca="1" si="114"/>
        <v>6.4461384660188508E-3</v>
      </c>
    </row>
    <row r="7080" spans="6:7" x14ac:dyDescent="0.35">
      <c r="F7080">
        <v>7075</v>
      </c>
      <c r="G7080" s="102">
        <f t="shared" ca="1" si="114"/>
        <v>-6.0349512090413004E-2</v>
      </c>
    </row>
    <row r="7081" spans="6:7" x14ac:dyDescent="0.35">
      <c r="F7081">
        <v>7076</v>
      </c>
      <c r="G7081" s="102">
        <f t="shared" ca="1" si="114"/>
        <v>-7.1534010743706272E-2</v>
      </c>
    </row>
    <row r="7082" spans="6:7" x14ac:dyDescent="0.35">
      <c r="F7082">
        <v>7077</v>
      </c>
      <c r="G7082" s="102">
        <f t="shared" ca="1" si="114"/>
        <v>-2.9416846576440135E-2</v>
      </c>
    </row>
    <row r="7083" spans="6:7" x14ac:dyDescent="0.35">
      <c r="F7083">
        <v>7078</v>
      </c>
      <c r="G7083" s="102">
        <f t="shared" ca="1" si="114"/>
        <v>4.972357641046482E-2</v>
      </c>
    </row>
    <row r="7084" spans="6:7" x14ac:dyDescent="0.35">
      <c r="F7084">
        <v>7079</v>
      </c>
      <c r="G7084" s="102">
        <f t="shared" ca="1" si="114"/>
        <v>-2.5392707941569052E-2</v>
      </c>
    </row>
    <row r="7085" spans="6:7" x14ac:dyDescent="0.35">
      <c r="F7085">
        <v>7080</v>
      </c>
      <c r="G7085" s="102">
        <f t="shared" ca="1" si="114"/>
        <v>5.7505666624421053E-2</v>
      </c>
    </row>
    <row r="7086" spans="6:7" x14ac:dyDescent="0.35">
      <c r="F7086">
        <v>7081</v>
      </c>
      <c r="G7086" s="102">
        <f t="shared" ca="1" si="114"/>
        <v>-4.2278819283306235E-2</v>
      </c>
    </row>
    <row r="7087" spans="6:7" x14ac:dyDescent="0.35">
      <c r="F7087">
        <v>7082</v>
      </c>
      <c r="G7087" s="102">
        <f t="shared" ca="1" si="114"/>
        <v>6.379759585184723E-2</v>
      </c>
    </row>
    <row r="7088" spans="6:7" x14ac:dyDescent="0.35">
      <c r="F7088">
        <v>7083</v>
      </c>
      <c r="G7088" s="102">
        <f t="shared" ca="1" si="114"/>
        <v>7.7057831624158159E-3</v>
      </c>
    </row>
    <row r="7089" spans="6:7" x14ac:dyDescent="0.35">
      <c r="F7089">
        <v>7084</v>
      </c>
      <c r="G7089" s="102">
        <f t="shared" ca="1" si="114"/>
        <v>0.10517784833341154</v>
      </c>
    </row>
    <row r="7090" spans="6:7" x14ac:dyDescent="0.35">
      <c r="F7090">
        <v>7085</v>
      </c>
      <c r="G7090" s="102">
        <f t="shared" ca="1" si="114"/>
        <v>-1.9529025043593193E-3</v>
      </c>
    </row>
    <row r="7091" spans="6:7" x14ac:dyDescent="0.35">
      <c r="F7091">
        <v>7086</v>
      </c>
      <c r="G7091" s="102">
        <f t="shared" ca="1" si="114"/>
        <v>-2.5057752582404426E-2</v>
      </c>
    </row>
    <row r="7092" spans="6:7" x14ac:dyDescent="0.35">
      <c r="F7092">
        <v>7087</v>
      </c>
      <c r="G7092" s="102">
        <f t="shared" ca="1" si="114"/>
        <v>-6.9597385960598571E-2</v>
      </c>
    </row>
    <row r="7093" spans="6:7" x14ac:dyDescent="0.35">
      <c r="F7093">
        <v>7088</v>
      </c>
      <c r="G7093" s="102">
        <f t="shared" ca="1" si="114"/>
        <v>8.2436502973835517E-3</v>
      </c>
    </row>
    <row r="7094" spans="6:7" x14ac:dyDescent="0.35">
      <c r="F7094">
        <v>7089</v>
      </c>
      <c r="G7094" s="102">
        <f t="shared" ca="1" si="114"/>
        <v>4.631184628926718E-3</v>
      </c>
    </row>
    <row r="7095" spans="6:7" x14ac:dyDescent="0.35">
      <c r="F7095">
        <v>7090</v>
      </c>
      <c r="G7095" s="102">
        <f t="shared" ca="1" si="114"/>
        <v>-9.4975291478263099E-2</v>
      </c>
    </row>
    <row r="7096" spans="6:7" x14ac:dyDescent="0.35">
      <c r="F7096">
        <v>7091</v>
      </c>
      <c r="G7096" s="102">
        <f t="shared" ca="1" si="114"/>
        <v>2.2938121522556112E-2</v>
      </c>
    </row>
    <row r="7097" spans="6:7" x14ac:dyDescent="0.35">
      <c r="F7097">
        <v>7092</v>
      </c>
      <c r="G7097" s="102">
        <f t="shared" ca="1" si="114"/>
        <v>1.4128769335976045E-2</v>
      </c>
    </row>
    <row r="7098" spans="6:7" x14ac:dyDescent="0.35">
      <c r="F7098">
        <v>7093</v>
      </c>
      <c r="G7098" s="102">
        <f t="shared" ca="1" si="114"/>
        <v>3.9875219563961478E-2</v>
      </c>
    </row>
    <row r="7099" spans="6:7" x14ac:dyDescent="0.35">
      <c r="F7099">
        <v>7094</v>
      </c>
      <c r="G7099" s="102">
        <f t="shared" ca="1" si="114"/>
        <v>-2.0145595417946242E-2</v>
      </c>
    </row>
    <row r="7100" spans="6:7" x14ac:dyDescent="0.35">
      <c r="F7100">
        <v>7095</v>
      </c>
      <c r="G7100" s="102">
        <f t="shared" ca="1" si="114"/>
        <v>-6.5536434405488925E-2</v>
      </c>
    </row>
    <row r="7101" spans="6:7" x14ac:dyDescent="0.35">
      <c r="F7101">
        <v>7096</v>
      </c>
      <c r="G7101" s="102">
        <f t="shared" ca="1" si="114"/>
        <v>-2.4972585148033865E-2</v>
      </c>
    </row>
    <row r="7102" spans="6:7" x14ac:dyDescent="0.35">
      <c r="F7102">
        <v>7097</v>
      </c>
      <c r="G7102" s="102">
        <f t="shared" ca="1" si="114"/>
        <v>1.2444988963966497E-2</v>
      </c>
    </row>
    <row r="7103" spans="6:7" x14ac:dyDescent="0.35">
      <c r="F7103">
        <v>7098</v>
      </c>
      <c r="G7103" s="102">
        <f t="shared" ca="1" si="114"/>
        <v>-3.2494083301712426E-2</v>
      </c>
    </row>
    <row r="7104" spans="6:7" x14ac:dyDescent="0.35">
      <c r="F7104">
        <v>7099</v>
      </c>
      <c r="G7104" s="102">
        <f t="shared" ca="1" si="114"/>
        <v>-3.6101255344136246E-2</v>
      </c>
    </row>
    <row r="7105" spans="6:7" x14ac:dyDescent="0.35">
      <c r="F7105">
        <v>7100</v>
      </c>
      <c r="G7105" s="102">
        <f t="shared" ca="1" si="114"/>
        <v>3.9123976909585537E-2</v>
      </c>
    </row>
    <row r="7106" spans="6:7" x14ac:dyDescent="0.35">
      <c r="F7106">
        <v>7101</v>
      </c>
      <c r="G7106" s="102">
        <f t="shared" ca="1" si="114"/>
        <v>-7.5344237498788259E-3</v>
      </c>
    </row>
    <row r="7107" spans="6:7" x14ac:dyDescent="0.35">
      <c r="F7107">
        <v>7102</v>
      </c>
      <c r="G7107" s="102">
        <f t="shared" ca="1" si="114"/>
        <v>-6.2687663000241403E-3</v>
      </c>
    </row>
    <row r="7108" spans="6:7" x14ac:dyDescent="0.35">
      <c r="F7108">
        <v>7103</v>
      </c>
      <c r="G7108" s="102">
        <f t="shared" ca="1" si="114"/>
        <v>1.7735260576880064E-3</v>
      </c>
    </row>
    <row r="7109" spans="6:7" x14ac:dyDescent="0.35">
      <c r="F7109">
        <v>7104</v>
      </c>
      <c r="G7109" s="102">
        <f t="shared" ca="1" si="114"/>
        <v>-1.9122055401642073E-2</v>
      </c>
    </row>
    <row r="7110" spans="6:7" x14ac:dyDescent="0.35">
      <c r="F7110">
        <v>7105</v>
      </c>
      <c r="G7110" s="102">
        <f t="shared" ca="1" si="114"/>
        <v>-4.2559171918731639E-2</v>
      </c>
    </row>
    <row r="7111" spans="6:7" x14ac:dyDescent="0.35">
      <c r="F7111">
        <v>7106</v>
      </c>
      <c r="G7111" s="102">
        <f t="shared" ref="G7111:G7174" ca="1" si="115">_xlfn.NORM.INV(RAND(),M$9,M$10)</f>
        <v>6.6482455236386725E-2</v>
      </c>
    </row>
    <row r="7112" spans="6:7" x14ac:dyDescent="0.35">
      <c r="F7112">
        <v>7107</v>
      </c>
      <c r="G7112" s="102">
        <f t="shared" ca="1" si="115"/>
        <v>2.0368872173863226E-2</v>
      </c>
    </row>
    <row r="7113" spans="6:7" x14ac:dyDescent="0.35">
      <c r="F7113">
        <v>7108</v>
      </c>
      <c r="G7113" s="102">
        <f t="shared" ca="1" si="115"/>
        <v>7.3443501497406083E-2</v>
      </c>
    </row>
    <row r="7114" spans="6:7" x14ac:dyDescent="0.35">
      <c r="F7114">
        <v>7109</v>
      </c>
      <c r="G7114" s="102">
        <f t="shared" ca="1" si="115"/>
        <v>-3.2134333127525699E-2</v>
      </c>
    </row>
    <row r="7115" spans="6:7" x14ac:dyDescent="0.35">
      <c r="F7115">
        <v>7110</v>
      </c>
      <c r="G7115" s="102">
        <f t="shared" ca="1" si="115"/>
        <v>-1.6979210223850273E-2</v>
      </c>
    </row>
    <row r="7116" spans="6:7" x14ac:dyDescent="0.35">
      <c r="F7116">
        <v>7111</v>
      </c>
      <c r="G7116" s="102">
        <f t="shared" ca="1" si="115"/>
        <v>-0.10105807669642855</v>
      </c>
    </row>
    <row r="7117" spans="6:7" x14ac:dyDescent="0.35">
      <c r="F7117">
        <v>7112</v>
      </c>
      <c r="G7117" s="102">
        <f t="shared" ca="1" si="115"/>
        <v>-5.3100163610668674E-2</v>
      </c>
    </row>
    <row r="7118" spans="6:7" x14ac:dyDescent="0.35">
      <c r="F7118">
        <v>7113</v>
      </c>
      <c r="G7118" s="102">
        <f t="shared" ca="1" si="115"/>
        <v>8.6284698106641522E-2</v>
      </c>
    </row>
    <row r="7119" spans="6:7" x14ac:dyDescent="0.35">
      <c r="F7119">
        <v>7114</v>
      </c>
      <c r="G7119" s="102">
        <f t="shared" ca="1" si="115"/>
        <v>-1.9520512183575166E-2</v>
      </c>
    </row>
    <row r="7120" spans="6:7" x14ac:dyDescent="0.35">
      <c r="F7120">
        <v>7115</v>
      </c>
      <c r="G7120" s="102">
        <f t="shared" ca="1" si="115"/>
        <v>-3.7053523381644967E-4</v>
      </c>
    </row>
    <row r="7121" spans="6:7" x14ac:dyDescent="0.35">
      <c r="F7121">
        <v>7116</v>
      </c>
      <c r="G7121" s="102">
        <f t="shared" ca="1" si="115"/>
        <v>-2.8020311535327375E-2</v>
      </c>
    </row>
    <row r="7122" spans="6:7" x14ac:dyDescent="0.35">
      <c r="F7122">
        <v>7117</v>
      </c>
      <c r="G7122" s="102">
        <f t="shared" ca="1" si="115"/>
        <v>-3.1978626254018441E-2</v>
      </c>
    </row>
    <row r="7123" spans="6:7" x14ac:dyDescent="0.35">
      <c r="F7123">
        <v>7118</v>
      </c>
      <c r="G7123" s="102">
        <f t="shared" ca="1" si="115"/>
        <v>-2.4529233299617439E-2</v>
      </c>
    </row>
    <row r="7124" spans="6:7" x14ac:dyDescent="0.35">
      <c r="F7124">
        <v>7119</v>
      </c>
      <c r="G7124" s="102">
        <f t="shared" ca="1" si="115"/>
        <v>-7.6631135563621763E-2</v>
      </c>
    </row>
    <row r="7125" spans="6:7" x14ac:dyDescent="0.35">
      <c r="F7125">
        <v>7120</v>
      </c>
      <c r="G7125" s="102">
        <f t="shared" ca="1" si="115"/>
        <v>-7.6475267676229128E-2</v>
      </c>
    </row>
    <row r="7126" spans="6:7" x14ac:dyDescent="0.35">
      <c r="F7126">
        <v>7121</v>
      </c>
      <c r="G7126" s="102">
        <f t="shared" ca="1" si="115"/>
        <v>3.548834063205622E-2</v>
      </c>
    </row>
    <row r="7127" spans="6:7" x14ac:dyDescent="0.35">
      <c r="F7127">
        <v>7122</v>
      </c>
      <c r="G7127" s="102">
        <f t="shared" ca="1" si="115"/>
        <v>2.6141244337221977E-2</v>
      </c>
    </row>
    <row r="7128" spans="6:7" x14ac:dyDescent="0.35">
      <c r="F7128">
        <v>7123</v>
      </c>
      <c r="G7128" s="102">
        <f t="shared" ca="1" si="115"/>
        <v>8.8313352223923794E-2</v>
      </c>
    </row>
    <row r="7129" spans="6:7" x14ac:dyDescent="0.35">
      <c r="F7129">
        <v>7124</v>
      </c>
      <c r="G7129" s="102">
        <f t="shared" ca="1" si="115"/>
        <v>-6.6013024308345422E-2</v>
      </c>
    </row>
    <row r="7130" spans="6:7" x14ac:dyDescent="0.35">
      <c r="F7130">
        <v>7125</v>
      </c>
      <c r="G7130" s="102">
        <f t="shared" ca="1" si="115"/>
        <v>-1.1722361479814692E-4</v>
      </c>
    </row>
    <row r="7131" spans="6:7" x14ac:dyDescent="0.35">
      <c r="F7131">
        <v>7126</v>
      </c>
      <c r="G7131" s="102">
        <f t="shared" ca="1" si="115"/>
        <v>-1.7007856172011334E-2</v>
      </c>
    </row>
    <row r="7132" spans="6:7" x14ac:dyDescent="0.35">
      <c r="F7132">
        <v>7127</v>
      </c>
      <c r="G7132" s="102">
        <f t="shared" ca="1" si="115"/>
        <v>1.4540298731975789E-2</v>
      </c>
    </row>
    <row r="7133" spans="6:7" x14ac:dyDescent="0.35">
      <c r="F7133">
        <v>7128</v>
      </c>
      <c r="G7133" s="102">
        <f t="shared" ca="1" si="115"/>
        <v>-3.9100617808157934E-2</v>
      </c>
    </row>
    <row r="7134" spans="6:7" x14ac:dyDescent="0.35">
      <c r="F7134">
        <v>7129</v>
      </c>
      <c r="G7134" s="102">
        <f t="shared" ca="1" si="115"/>
        <v>-4.5221818472508918E-2</v>
      </c>
    </row>
    <row r="7135" spans="6:7" x14ac:dyDescent="0.35">
      <c r="F7135">
        <v>7130</v>
      </c>
      <c r="G7135" s="102">
        <f t="shared" ca="1" si="115"/>
        <v>-0.13815942666959916</v>
      </c>
    </row>
    <row r="7136" spans="6:7" x14ac:dyDescent="0.35">
      <c r="F7136">
        <v>7131</v>
      </c>
      <c r="G7136" s="102">
        <f t="shared" ca="1" si="115"/>
        <v>4.7506554668110254E-2</v>
      </c>
    </row>
    <row r="7137" spans="6:7" x14ac:dyDescent="0.35">
      <c r="F7137">
        <v>7132</v>
      </c>
      <c r="G7137" s="102">
        <f t="shared" ca="1" si="115"/>
        <v>-8.2752840393215482E-2</v>
      </c>
    </row>
    <row r="7138" spans="6:7" x14ac:dyDescent="0.35">
      <c r="F7138">
        <v>7133</v>
      </c>
      <c r="G7138" s="102">
        <f t="shared" ca="1" si="115"/>
        <v>1.7336156322630938E-2</v>
      </c>
    </row>
    <row r="7139" spans="6:7" x14ac:dyDescent="0.35">
      <c r="F7139">
        <v>7134</v>
      </c>
      <c r="G7139" s="102">
        <f t="shared" ca="1" si="115"/>
        <v>-7.1139638856718007E-2</v>
      </c>
    </row>
    <row r="7140" spans="6:7" x14ac:dyDescent="0.35">
      <c r="F7140">
        <v>7135</v>
      </c>
      <c r="G7140" s="102">
        <f t="shared" ca="1" si="115"/>
        <v>-0.12554014473255046</v>
      </c>
    </row>
    <row r="7141" spans="6:7" x14ac:dyDescent="0.35">
      <c r="F7141">
        <v>7136</v>
      </c>
      <c r="G7141" s="102">
        <f t="shared" ca="1" si="115"/>
        <v>9.8684747709813642E-2</v>
      </c>
    </row>
    <row r="7142" spans="6:7" x14ac:dyDescent="0.35">
      <c r="F7142">
        <v>7137</v>
      </c>
      <c r="G7142" s="102">
        <f t="shared" ca="1" si="115"/>
        <v>9.5101375789310369E-2</v>
      </c>
    </row>
    <row r="7143" spans="6:7" x14ac:dyDescent="0.35">
      <c r="F7143">
        <v>7138</v>
      </c>
      <c r="G7143" s="102">
        <f t="shared" ca="1" si="115"/>
        <v>-0.12536738282227899</v>
      </c>
    </row>
    <row r="7144" spans="6:7" x14ac:dyDescent="0.35">
      <c r="F7144">
        <v>7139</v>
      </c>
      <c r="G7144" s="102">
        <f t="shared" ca="1" si="115"/>
        <v>7.4490280680997126E-2</v>
      </c>
    </row>
    <row r="7145" spans="6:7" x14ac:dyDescent="0.35">
      <c r="F7145">
        <v>7140</v>
      </c>
      <c r="G7145" s="102">
        <f t="shared" ca="1" si="115"/>
        <v>-2.3220941609196043E-2</v>
      </c>
    </row>
    <row r="7146" spans="6:7" x14ac:dyDescent="0.35">
      <c r="F7146">
        <v>7141</v>
      </c>
      <c r="G7146" s="102">
        <f t="shared" ca="1" si="115"/>
        <v>1.5324011682455754E-2</v>
      </c>
    </row>
    <row r="7147" spans="6:7" x14ac:dyDescent="0.35">
      <c r="F7147">
        <v>7142</v>
      </c>
      <c r="G7147" s="102">
        <f t="shared" ca="1" si="115"/>
        <v>-7.5281750245806259E-2</v>
      </c>
    </row>
    <row r="7148" spans="6:7" x14ac:dyDescent="0.35">
      <c r="F7148">
        <v>7143</v>
      </c>
      <c r="G7148" s="102">
        <f t="shared" ca="1" si="115"/>
        <v>-5.0818898712314958E-2</v>
      </c>
    </row>
    <row r="7149" spans="6:7" x14ac:dyDescent="0.35">
      <c r="F7149">
        <v>7144</v>
      </c>
      <c r="G7149" s="102">
        <f t="shared" ca="1" si="115"/>
        <v>3.00539042682984E-2</v>
      </c>
    </row>
    <row r="7150" spans="6:7" x14ac:dyDescent="0.35">
      <c r="F7150">
        <v>7145</v>
      </c>
      <c r="G7150" s="102">
        <f t="shared" ca="1" si="115"/>
        <v>0.11533509207739072</v>
      </c>
    </row>
    <row r="7151" spans="6:7" x14ac:dyDescent="0.35">
      <c r="F7151">
        <v>7146</v>
      </c>
      <c r="G7151" s="102">
        <f t="shared" ca="1" si="115"/>
        <v>-6.1711272636657016E-2</v>
      </c>
    </row>
    <row r="7152" spans="6:7" x14ac:dyDescent="0.35">
      <c r="F7152">
        <v>7147</v>
      </c>
      <c r="G7152" s="102">
        <f t="shared" ca="1" si="115"/>
        <v>-6.4267957004113724E-2</v>
      </c>
    </row>
    <row r="7153" spans="6:7" x14ac:dyDescent="0.35">
      <c r="F7153">
        <v>7148</v>
      </c>
      <c r="G7153" s="102">
        <f t="shared" ca="1" si="115"/>
        <v>-3.4781148496383418E-2</v>
      </c>
    </row>
    <row r="7154" spans="6:7" x14ac:dyDescent="0.35">
      <c r="F7154">
        <v>7149</v>
      </c>
      <c r="G7154" s="102">
        <f t="shared" ca="1" si="115"/>
        <v>-6.8992097392148732E-2</v>
      </c>
    </row>
    <row r="7155" spans="6:7" x14ac:dyDescent="0.35">
      <c r="F7155">
        <v>7150</v>
      </c>
      <c r="G7155" s="102">
        <f t="shared" ca="1" si="115"/>
        <v>5.4239065818794271E-2</v>
      </c>
    </row>
    <row r="7156" spans="6:7" x14ac:dyDescent="0.35">
      <c r="F7156">
        <v>7151</v>
      </c>
      <c r="G7156" s="102">
        <f t="shared" ca="1" si="115"/>
        <v>-9.0177541752265958E-2</v>
      </c>
    </row>
    <row r="7157" spans="6:7" x14ac:dyDescent="0.35">
      <c r="F7157">
        <v>7152</v>
      </c>
      <c r="G7157" s="102">
        <f t="shared" ca="1" si="115"/>
        <v>-5.1033130779930602E-2</v>
      </c>
    </row>
    <row r="7158" spans="6:7" x14ac:dyDescent="0.35">
      <c r="F7158">
        <v>7153</v>
      </c>
      <c r="G7158" s="102">
        <f t="shared" ca="1" si="115"/>
        <v>-3.143708064695612E-2</v>
      </c>
    </row>
    <row r="7159" spans="6:7" x14ac:dyDescent="0.35">
      <c r="F7159">
        <v>7154</v>
      </c>
      <c r="G7159" s="102">
        <f t="shared" ca="1" si="115"/>
        <v>4.3447219480663712E-2</v>
      </c>
    </row>
    <row r="7160" spans="6:7" x14ac:dyDescent="0.35">
      <c r="F7160">
        <v>7155</v>
      </c>
      <c r="G7160" s="102">
        <f t="shared" ca="1" si="115"/>
        <v>7.2294190009404166E-2</v>
      </c>
    </row>
    <row r="7161" spans="6:7" x14ac:dyDescent="0.35">
      <c r="F7161">
        <v>7156</v>
      </c>
      <c r="G7161" s="102">
        <f t="shared" ca="1" si="115"/>
        <v>0.10322911600664307</v>
      </c>
    </row>
    <row r="7162" spans="6:7" x14ac:dyDescent="0.35">
      <c r="F7162">
        <v>7157</v>
      </c>
      <c r="G7162" s="102">
        <f t="shared" ca="1" si="115"/>
        <v>1.2330641062058115E-2</v>
      </c>
    </row>
    <row r="7163" spans="6:7" x14ac:dyDescent="0.35">
      <c r="F7163">
        <v>7158</v>
      </c>
      <c r="G7163" s="102">
        <f t="shared" ca="1" si="115"/>
        <v>3.3875448123510218E-2</v>
      </c>
    </row>
    <row r="7164" spans="6:7" x14ac:dyDescent="0.35">
      <c r="F7164">
        <v>7159</v>
      </c>
      <c r="G7164" s="102">
        <f t="shared" ca="1" si="115"/>
        <v>-6.2857309962042932E-2</v>
      </c>
    </row>
    <row r="7165" spans="6:7" x14ac:dyDescent="0.35">
      <c r="F7165">
        <v>7160</v>
      </c>
      <c r="G7165" s="102">
        <f t="shared" ca="1" si="115"/>
        <v>-5.8026711655599639E-2</v>
      </c>
    </row>
    <row r="7166" spans="6:7" x14ac:dyDescent="0.35">
      <c r="F7166">
        <v>7161</v>
      </c>
      <c r="G7166" s="102">
        <f t="shared" ca="1" si="115"/>
        <v>3.1019185105845778E-2</v>
      </c>
    </row>
    <row r="7167" spans="6:7" x14ac:dyDescent="0.35">
      <c r="F7167">
        <v>7162</v>
      </c>
      <c r="G7167" s="102">
        <f t="shared" ca="1" si="115"/>
        <v>-8.5386680153764993E-2</v>
      </c>
    </row>
    <row r="7168" spans="6:7" x14ac:dyDescent="0.35">
      <c r="F7168">
        <v>7163</v>
      </c>
      <c r="G7168" s="102">
        <f t="shared" ca="1" si="115"/>
        <v>1.0350617720611043E-2</v>
      </c>
    </row>
    <row r="7169" spans="6:7" x14ac:dyDescent="0.35">
      <c r="F7169">
        <v>7164</v>
      </c>
      <c r="G7169" s="102">
        <f t="shared" ca="1" si="115"/>
        <v>-7.7758895790412716E-2</v>
      </c>
    </row>
    <row r="7170" spans="6:7" x14ac:dyDescent="0.35">
      <c r="F7170">
        <v>7165</v>
      </c>
      <c r="G7170" s="102">
        <f t="shared" ca="1" si="115"/>
        <v>0.10391934280300659</v>
      </c>
    </row>
    <row r="7171" spans="6:7" x14ac:dyDescent="0.35">
      <c r="F7171">
        <v>7166</v>
      </c>
      <c r="G7171" s="102">
        <f t="shared" ca="1" si="115"/>
        <v>7.2507255743897978E-2</v>
      </c>
    </row>
    <row r="7172" spans="6:7" x14ac:dyDescent="0.35">
      <c r="F7172">
        <v>7167</v>
      </c>
      <c r="G7172" s="102">
        <f t="shared" ca="1" si="115"/>
        <v>2.8841265701838318E-2</v>
      </c>
    </row>
    <row r="7173" spans="6:7" x14ac:dyDescent="0.35">
      <c r="F7173">
        <v>7168</v>
      </c>
      <c r="G7173" s="102">
        <f t="shared" ca="1" si="115"/>
        <v>8.6277289081462122E-3</v>
      </c>
    </row>
    <row r="7174" spans="6:7" x14ac:dyDescent="0.35">
      <c r="F7174">
        <v>7169</v>
      </c>
      <c r="G7174" s="102">
        <f t="shared" ca="1" si="115"/>
        <v>4.3001301490056751E-2</v>
      </c>
    </row>
    <row r="7175" spans="6:7" x14ac:dyDescent="0.35">
      <c r="F7175">
        <v>7170</v>
      </c>
      <c r="G7175" s="102">
        <f t="shared" ref="G7175:G7238" ca="1" si="116">_xlfn.NORM.INV(RAND(),M$9,M$10)</f>
        <v>6.429726626111025E-2</v>
      </c>
    </row>
    <row r="7176" spans="6:7" x14ac:dyDescent="0.35">
      <c r="F7176">
        <v>7171</v>
      </c>
      <c r="G7176" s="102">
        <f t="shared" ca="1" si="116"/>
        <v>-2.09650860052077E-2</v>
      </c>
    </row>
    <row r="7177" spans="6:7" x14ac:dyDescent="0.35">
      <c r="F7177">
        <v>7172</v>
      </c>
      <c r="G7177" s="102">
        <f t="shared" ca="1" si="116"/>
        <v>8.3285079668477341E-2</v>
      </c>
    </row>
    <row r="7178" spans="6:7" x14ac:dyDescent="0.35">
      <c r="F7178">
        <v>7173</v>
      </c>
      <c r="G7178" s="102">
        <f t="shared" ca="1" si="116"/>
        <v>-3.0945311569995818E-2</v>
      </c>
    </row>
    <row r="7179" spans="6:7" x14ac:dyDescent="0.35">
      <c r="F7179">
        <v>7174</v>
      </c>
      <c r="G7179" s="102">
        <f t="shared" ca="1" si="116"/>
        <v>-6.073730287040574E-2</v>
      </c>
    </row>
    <row r="7180" spans="6:7" x14ac:dyDescent="0.35">
      <c r="F7180">
        <v>7175</v>
      </c>
      <c r="G7180" s="102">
        <f t="shared" ca="1" si="116"/>
        <v>-4.0157405455842662E-2</v>
      </c>
    </row>
    <row r="7181" spans="6:7" x14ac:dyDescent="0.35">
      <c r="F7181">
        <v>7176</v>
      </c>
      <c r="G7181" s="102">
        <f t="shared" ca="1" si="116"/>
        <v>0.11701317468017347</v>
      </c>
    </row>
    <row r="7182" spans="6:7" x14ac:dyDescent="0.35">
      <c r="F7182">
        <v>7177</v>
      </c>
      <c r="G7182" s="102">
        <f t="shared" ca="1" si="116"/>
        <v>-1.0560338579467463E-2</v>
      </c>
    </row>
    <row r="7183" spans="6:7" x14ac:dyDescent="0.35">
      <c r="F7183">
        <v>7178</v>
      </c>
      <c r="G7183" s="102">
        <f t="shared" ca="1" si="116"/>
        <v>-3.2915335313677636E-2</v>
      </c>
    </row>
    <row r="7184" spans="6:7" x14ac:dyDescent="0.35">
      <c r="F7184">
        <v>7179</v>
      </c>
      <c r="G7184" s="102">
        <f t="shared" ca="1" si="116"/>
        <v>-8.023416186736694E-2</v>
      </c>
    </row>
    <row r="7185" spans="6:7" x14ac:dyDescent="0.35">
      <c r="F7185">
        <v>7180</v>
      </c>
      <c r="G7185" s="102">
        <f t="shared" ca="1" si="116"/>
        <v>8.742481348845324E-3</v>
      </c>
    </row>
    <row r="7186" spans="6:7" x14ac:dyDescent="0.35">
      <c r="F7186">
        <v>7181</v>
      </c>
      <c r="G7186" s="102">
        <f t="shared" ca="1" si="116"/>
        <v>-3.8339083576366659E-2</v>
      </c>
    </row>
    <row r="7187" spans="6:7" x14ac:dyDescent="0.35">
      <c r="F7187">
        <v>7182</v>
      </c>
      <c r="G7187" s="102">
        <f t="shared" ca="1" si="116"/>
        <v>4.2638381359998492E-3</v>
      </c>
    </row>
    <row r="7188" spans="6:7" x14ac:dyDescent="0.35">
      <c r="F7188">
        <v>7183</v>
      </c>
      <c r="G7188" s="102">
        <f t="shared" ca="1" si="116"/>
        <v>-7.2217869799968137E-2</v>
      </c>
    </row>
    <row r="7189" spans="6:7" x14ac:dyDescent="0.35">
      <c r="F7189">
        <v>7184</v>
      </c>
      <c r="G7189" s="102">
        <f t="shared" ca="1" si="116"/>
        <v>8.4411437115546259E-3</v>
      </c>
    </row>
    <row r="7190" spans="6:7" x14ac:dyDescent="0.35">
      <c r="F7190">
        <v>7185</v>
      </c>
      <c r="G7190" s="102">
        <f t="shared" ca="1" si="116"/>
        <v>-4.8711879645023645E-2</v>
      </c>
    </row>
    <row r="7191" spans="6:7" x14ac:dyDescent="0.35">
      <c r="F7191">
        <v>7186</v>
      </c>
      <c r="G7191" s="102">
        <f t="shared" ca="1" si="116"/>
        <v>0.13239938841966881</v>
      </c>
    </row>
    <row r="7192" spans="6:7" x14ac:dyDescent="0.35">
      <c r="F7192">
        <v>7187</v>
      </c>
      <c r="G7192" s="102">
        <f t="shared" ca="1" si="116"/>
        <v>1.2599723805081117E-2</v>
      </c>
    </row>
    <row r="7193" spans="6:7" x14ac:dyDescent="0.35">
      <c r="F7193">
        <v>7188</v>
      </c>
      <c r="G7193" s="102">
        <f t="shared" ca="1" si="116"/>
        <v>2.3332259064885268E-2</v>
      </c>
    </row>
    <row r="7194" spans="6:7" x14ac:dyDescent="0.35">
      <c r="F7194">
        <v>7189</v>
      </c>
      <c r="G7194" s="102">
        <f t="shared" ca="1" si="116"/>
        <v>-6.6912041747947862E-2</v>
      </c>
    </row>
    <row r="7195" spans="6:7" x14ac:dyDescent="0.35">
      <c r="F7195">
        <v>7190</v>
      </c>
      <c r="G7195" s="102">
        <f t="shared" ca="1" si="116"/>
        <v>1.2626072993308177E-2</v>
      </c>
    </row>
    <row r="7196" spans="6:7" x14ac:dyDescent="0.35">
      <c r="F7196">
        <v>7191</v>
      </c>
      <c r="G7196" s="102">
        <f t="shared" ca="1" si="116"/>
        <v>-1.3396362200902786E-2</v>
      </c>
    </row>
    <row r="7197" spans="6:7" x14ac:dyDescent="0.35">
      <c r="F7197">
        <v>7192</v>
      </c>
      <c r="G7197" s="102">
        <f t="shared" ca="1" si="116"/>
        <v>1.8102012019653228E-2</v>
      </c>
    </row>
    <row r="7198" spans="6:7" x14ac:dyDescent="0.35">
      <c r="F7198">
        <v>7193</v>
      </c>
      <c r="G7198" s="102">
        <f t="shared" ca="1" si="116"/>
        <v>1.4505040925110957E-2</v>
      </c>
    </row>
    <row r="7199" spans="6:7" x14ac:dyDescent="0.35">
      <c r="F7199">
        <v>7194</v>
      </c>
      <c r="G7199" s="102">
        <f t="shared" ca="1" si="116"/>
        <v>5.8298370542776118E-2</v>
      </c>
    </row>
    <row r="7200" spans="6:7" x14ac:dyDescent="0.35">
      <c r="F7200">
        <v>7195</v>
      </c>
      <c r="G7200" s="102">
        <f t="shared" ca="1" si="116"/>
        <v>-5.0709481838760756E-2</v>
      </c>
    </row>
    <row r="7201" spans="6:7" x14ac:dyDescent="0.35">
      <c r="F7201">
        <v>7196</v>
      </c>
      <c r="G7201" s="102">
        <f t="shared" ca="1" si="116"/>
        <v>-4.9628589164369255E-2</v>
      </c>
    </row>
    <row r="7202" spans="6:7" x14ac:dyDescent="0.35">
      <c r="F7202">
        <v>7197</v>
      </c>
      <c r="G7202" s="102">
        <f t="shared" ca="1" si="116"/>
        <v>2.8741273396274903E-2</v>
      </c>
    </row>
    <row r="7203" spans="6:7" x14ac:dyDescent="0.35">
      <c r="F7203">
        <v>7198</v>
      </c>
      <c r="G7203" s="102">
        <f t="shared" ca="1" si="116"/>
        <v>4.3791997765962293E-2</v>
      </c>
    </row>
    <row r="7204" spans="6:7" x14ac:dyDescent="0.35">
      <c r="F7204">
        <v>7199</v>
      </c>
      <c r="G7204" s="102">
        <f t="shared" ca="1" si="116"/>
        <v>1.995478228490051E-2</v>
      </c>
    </row>
    <row r="7205" spans="6:7" x14ac:dyDescent="0.35">
      <c r="F7205">
        <v>7200</v>
      </c>
      <c r="G7205" s="102">
        <f t="shared" ca="1" si="116"/>
        <v>-7.7841963367589667E-2</v>
      </c>
    </row>
    <row r="7206" spans="6:7" x14ac:dyDescent="0.35">
      <c r="F7206">
        <v>7201</v>
      </c>
      <c r="G7206" s="102">
        <f t="shared" ca="1" si="116"/>
        <v>5.5638113468870265E-2</v>
      </c>
    </row>
    <row r="7207" spans="6:7" x14ac:dyDescent="0.35">
      <c r="F7207">
        <v>7202</v>
      </c>
      <c r="G7207" s="102">
        <f t="shared" ca="1" si="116"/>
        <v>1.4197784177433607E-2</v>
      </c>
    </row>
    <row r="7208" spans="6:7" x14ac:dyDescent="0.35">
      <c r="F7208">
        <v>7203</v>
      </c>
      <c r="G7208" s="102">
        <f t="shared" ca="1" si="116"/>
        <v>-8.9220153000373129E-2</v>
      </c>
    </row>
    <row r="7209" spans="6:7" x14ac:dyDescent="0.35">
      <c r="F7209">
        <v>7204</v>
      </c>
      <c r="G7209" s="102">
        <f t="shared" ca="1" si="116"/>
        <v>-2.5473256975042189E-4</v>
      </c>
    </row>
    <row r="7210" spans="6:7" x14ac:dyDescent="0.35">
      <c r="F7210">
        <v>7205</v>
      </c>
      <c r="G7210" s="102">
        <f t="shared" ca="1" si="116"/>
        <v>1.9407061386717363E-2</v>
      </c>
    </row>
    <row r="7211" spans="6:7" x14ac:dyDescent="0.35">
      <c r="F7211">
        <v>7206</v>
      </c>
      <c r="G7211" s="102">
        <f t="shared" ca="1" si="116"/>
        <v>0.12645588700126256</v>
      </c>
    </row>
    <row r="7212" spans="6:7" x14ac:dyDescent="0.35">
      <c r="F7212">
        <v>7207</v>
      </c>
      <c r="G7212" s="102">
        <f t="shared" ca="1" si="116"/>
        <v>2.2204406788413518E-3</v>
      </c>
    </row>
    <row r="7213" spans="6:7" x14ac:dyDescent="0.35">
      <c r="F7213">
        <v>7208</v>
      </c>
      <c r="G7213" s="102">
        <f t="shared" ca="1" si="116"/>
        <v>-6.0485747787635297E-2</v>
      </c>
    </row>
    <row r="7214" spans="6:7" x14ac:dyDescent="0.35">
      <c r="F7214">
        <v>7209</v>
      </c>
      <c r="G7214" s="102">
        <f t="shared" ca="1" si="116"/>
        <v>7.8000972947181155E-2</v>
      </c>
    </row>
    <row r="7215" spans="6:7" x14ac:dyDescent="0.35">
      <c r="F7215">
        <v>7210</v>
      </c>
      <c r="G7215" s="102">
        <f t="shared" ca="1" si="116"/>
        <v>5.2363969445867915E-3</v>
      </c>
    </row>
    <row r="7216" spans="6:7" x14ac:dyDescent="0.35">
      <c r="F7216">
        <v>7211</v>
      </c>
      <c r="G7216" s="102">
        <f t="shared" ca="1" si="116"/>
        <v>3.8497731592988541E-2</v>
      </c>
    </row>
    <row r="7217" spans="6:7" x14ac:dyDescent="0.35">
      <c r="F7217">
        <v>7212</v>
      </c>
      <c r="G7217" s="102">
        <f t="shared" ca="1" si="116"/>
        <v>1.523376794743567E-2</v>
      </c>
    </row>
    <row r="7218" spans="6:7" x14ac:dyDescent="0.35">
      <c r="F7218">
        <v>7213</v>
      </c>
      <c r="G7218" s="102">
        <f t="shared" ca="1" si="116"/>
        <v>-9.2785671955399038E-2</v>
      </c>
    </row>
    <row r="7219" spans="6:7" x14ac:dyDescent="0.35">
      <c r="F7219">
        <v>7214</v>
      </c>
      <c r="G7219" s="102">
        <f t="shared" ca="1" si="116"/>
        <v>2.661569669315771E-2</v>
      </c>
    </row>
    <row r="7220" spans="6:7" x14ac:dyDescent="0.35">
      <c r="F7220">
        <v>7215</v>
      </c>
      <c r="G7220" s="102">
        <f t="shared" ca="1" si="116"/>
        <v>-6.5408460964009263E-2</v>
      </c>
    </row>
    <row r="7221" spans="6:7" x14ac:dyDescent="0.35">
      <c r="F7221">
        <v>7216</v>
      </c>
      <c r="G7221" s="102">
        <f t="shared" ca="1" si="116"/>
        <v>3.9707820854103203E-3</v>
      </c>
    </row>
    <row r="7222" spans="6:7" x14ac:dyDescent="0.35">
      <c r="F7222">
        <v>7217</v>
      </c>
      <c r="G7222" s="102">
        <f t="shared" ca="1" si="116"/>
        <v>-3.8585298124487508E-2</v>
      </c>
    </row>
    <row r="7223" spans="6:7" x14ac:dyDescent="0.35">
      <c r="F7223">
        <v>7218</v>
      </c>
      <c r="G7223" s="102">
        <f t="shared" ca="1" si="116"/>
        <v>-6.3535576980869261E-3</v>
      </c>
    </row>
    <row r="7224" spans="6:7" x14ac:dyDescent="0.35">
      <c r="F7224">
        <v>7219</v>
      </c>
      <c r="G7224" s="102">
        <f t="shared" ca="1" si="116"/>
        <v>1.1569059899205949E-2</v>
      </c>
    </row>
    <row r="7225" spans="6:7" x14ac:dyDescent="0.35">
      <c r="F7225">
        <v>7220</v>
      </c>
      <c r="G7225" s="102">
        <f t="shared" ca="1" si="116"/>
        <v>-2.7994154008409391E-2</v>
      </c>
    </row>
    <row r="7226" spans="6:7" x14ac:dyDescent="0.35">
      <c r="F7226">
        <v>7221</v>
      </c>
      <c r="G7226" s="102">
        <f t="shared" ca="1" si="116"/>
        <v>-7.7261788254636213E-3</v>
      </c>
    </row>
    <row r="7227" spans="6:7" x14ac:dyDescent="0.35">
      <c r="F7227">
        <v>7222</v>
      </c>
      <c r="G7227" s="102">
        <f t="shared" ca="1" si="116"/>
        <v>4.3718235927562493E-2</v>
      </c>
    </row>
    <row r="7228" spans="6:7" x14ac:dyDescent="0.35">
      <c r="F7228">
        <v>7223</v>
      </c>
      <c r="G7228" s="102">
        <f t="shared" ca="1" si="116"/>
        <v>-6.2563399894417379E-2</v>
      </c>
    </row>
    <row r="7229" spans="6:7" x14ac:dyDescent="0.35">
      <c r="F7229">
        <v>7224</v>
      </c>
      <c r="G7229" s="102">
        <f t="shared" ca="1" si="116"/>
        <v>0.14829102252419077</v>
      </c>
    </row>
    <row r="7230" spans="6:7" x14ac:dyDescent="0.35">
      <c r="F7230">
        <v>7225</v>
      </c>
      <c r="G7230" s="102">
        <f t="shared" ca="1" si="116"/>
        <v>8.324430491166121E-2</v>
      </c>
    </row>
    <row r="7231" spans="6:7" x14ac:dyDescent="0.35">
      <c r="F7231">
        <v>7226</v>
      </c>
      <c r="G7231" s="102">
        <f t="shared" ca="1" si="116"/>
        <v>-6.3315431400099795E-3</v>
      </c>
    </row>
    <row r="7232" spans="6:7" x14ac:dyDescent="0.35">
      <c r="F7232">
        <v>7227</v>
      </c>
      <c r="G7232" s="102">
        <f t="shared" ca="1" si="116"/>
        <v>6.3473989972299867E-3</v>
      </c>
    </row>
    <row r="7233" spans="6:7" x14ac:dyDescent="0.35">
      <c r="F7233">
        <v>7228</v>
      </c>
      <c r="G7233" s="102">
        <f t="shared" ca="1" si="116"/>
        <v>4.0955560673276908E-2</v>
      </c>
    </row>
    <row r="7234" spans="6:7" x14ac:dyDescent="0.35">
      <c r="F7234">
        <v>7229</v>
      </c>
      <c r="G7234" s="102">
        <f t="shared" ca="1" si="116"/>
        <v>-1.0079119737206974E-2</v>
      </c>
    </row>
    <row r="7235" spans="6:7" x14ac:dyDescent="0.35">
      <c r="F7235">
        <v>7230</v>
      </c>
      <c r="G7235" s="102">
        <f t="shared" ca="1" si="116"/>
        <v>2.9334130357936253E-2</v>
      </c>
    </row>
    <row r="7236" spans="6:7" x14ac:dyDescent="0.35">
      <c r="F7236">
        <v>7231</v>
      </c>
      <c r="G7236" s="102">
        <f t="shared" ca="1" si="116"/>
        <v>-0.18255215528726754</v>
      </c>
    </row>
    <row r="7237" spans="6:7" x14ac:dyDescent="0.35">
      <c r="F7237">
        <v>7232</v>
      </c>
      <c r="G7237" s="102">
        <f t="shared" ca="1" si="116"/>
        <v>-5.7114390435704848E-2</v>
      </c>
    </row>
    <row r="7238" spans="6:7" x14ac:dyDescent="0.35">
      <c r="F7238">
        <v>7233</v>
      </c>
      <c r="G7238" s="102">
        <f t="shared" ca="1" si="116"/>
        <v>4.1550874804778384E-2</v>
      </c>
    </row>
    <row r="7239" spans="6:7" x14ac:dyDescent="0.35">
      <c r="F7239">
        <v>7234</v>
      </c>
      <c r="G7239" s="102">
        <f t="shared" ref="G7239:G7302" ca="1" si="117">_xlfn.NORM.INV(RAND(),M$9,M$10)</f>
        <v>-6.8645567576653507E-2</v>
      </c>
    </row>
    <row r="7240" spans="6:7" x14ac:dyDescent="0.35">
      <c r="F7240">
        <v>7235</v>
      </c>
      <c r="G7240" s="102">
        <f t="shared" ca="1" si="117"/>
        <v>-4.7871816867339559E-2</v>
      </c>
    </row>
    <row r="7241" spans="6:7" x14ac:dyDescent="0.35">
      <c r="F7241">
        <v>7236</v>
      </c>
      <c r="G7241" s="102">
        <f t="shared" ca="1" si="117"/>
        <v>1.3691046030661579E-2</v>
      </c>
    </row>
    <row r="7242" spans="6:7" x14ac:dyDescent="0.35">
      <c r="F7242">
        <v>7237</v>
      </c>
      <c r="G7242" s="102">
        <f t="shared" ca="1" si="117"/>
        <v>7.3125635626423487E-3</v>
      </c>
    </row>
    <row r="7243" spans="6:7" x14ac:dyDescent="0.35">
      <c r="F7243">
        <v>7238</v>
      </c>
      <c r="G7243" s="102">
        <f t="shared" ca="1" si="117"/>
        <v>2.8947905502325153E-2</v>
      </c>
    </row>
    <row r="7244" spans="6:7" x14ac:dyDescent="0.35">
      <c r="F7244">
        <v>7239</v>
      </c>
      <c r="G7244" s="102">
        <f t="shared" ca="1" si="117"/>
        <v>-2.913713850274376E-2</v>
      </c>
    </row>
    <row r="7245" spans="6:7" x14ac:dyDescent="0.35">
      <c r="F7245">
        <v>7240</v>
      </c>
      <c r="G7245" s="102">
        <f t="shared" ca="1" si="117"/>
        <v>5.4757297198390106E-2</v>
      </c>
    </row>
    <row r="7246" spans="6:7" x14ac:dyDescent="0.35">
      <c r="F7246">
        <v>7241</v>
      </c>
      <c r="G7246" s="102">
        <f t="shared" ca="1" si="117"/>
        <v>-4.2547849487188398E-3</v>
      </c>
    </row>
    <row r="7247" spans="6:7" x14ac:dyDescent="0.35">
      <c r="F7247">
        <v>7242</v>
      </c>
      <c r="G7247" s="102">
        <f t="shared" ca="1" si="117"/>
        <v>7.7409602501398181E-2</v>
      </c>
    </row>
    <row r="7248" spans="6:7" x14ac:dyDescent="0.35">
      <c r="F7248">
        <v>7243</v>
      </c>
      <c r="G7248" s="102">
        <f t="shared" ca="1" si="117"/>
        <v>9.1932955521248846E-2</v>
      </c>
    </row>
    <row r="7249" spans="6:7" x14ac:dyDescent="0.35">
      <c r="F7249">
        <v>7244</v>
      </c>
      <c r="G7249" s="102">
        <f t="shared" ca="1" si="117"/>
        <v>-0.1234919919873228</v>
      </c>
    </row>
    <row r="7250" spans="6:7" x14ac:dyDescent="0.35">
      <c r="F7250">
        <v>7245</v>
      </c>
      <c r="G7250" s="102">
        <f t="shared" ca="1" si="117"/>
        <v>7.3953103526797029E-2</v>
      </c>
    </row>
    <row r="7251" spans="6:7" x14ac:dyDescent="0.35">
      <c r="F7251">
        <v>7246</v>
      </c>
      <c r="G7251" s="102">
        <f t="shared" ca="1" si="117"/>
        <v>-8.6014765356117684E-2</v>
      </c>
    </row>
    <row r="7252" spans="6:7" x14ac:dyDescent="0.35">
      <c r="F7252">
        <v>7247</v>
      </c>
      <c r="G7252" s="102">
        <f t="shared" ca="1" si="117"/>
        <v>-8.3652158722998984E-2</v>
      </c>
    </row>
    <row r="7253" spans="6:7" x14ac:dyDescent="0.35">
      <c r="F7253">
        <v>7248</v>
      </c>
      <c r="G7253" s="102">
        <f t="shared" ca="1" si="117"/>
        <v>-2.1265771199686506E-2</v>
      </c>
    </row>
    <row r="7254" spans="6:7" x14ac:dyDescent="0.35">
      <c r="F7254">
        <v>7249</v>
      </c>
      <c r="G7254" s="102">
        <f t="shared" ca="1" si="117"/>
        <v>6.3510451031859871E-2</v>
      </c>
    </row>
    <row r="7255" spans="6:7" x14ac:dyDescent="0.35">
      <c r="F7255">
        <v>7250</v>
      </c>
      <c r="G7255" s="102">
        <f t="shared" ca="1" si="117"/>
        <v>-8.2506646145808271E-2</v>
      </c>
    </row>
    <row r="7256" spans="6:7" x14ac:dyDescent="0.35">
      <c r="F7256">
        <v>7251</v>
      </c>
      <c r="G7256" s="102">
        <f t="shared" ca="1" si="117"/>
        <v>4.4586467626312076E-2</v>
      </c>
    </row>
    <row r="7257" spans="6:7" x14ac:dyDescent="0.35">
      <c r="F7257">
        <v>7252</v>
      </c>
      <c r="G7257" s="102">
        <f t="shared" ca="1" si="117"/>
        <v>-3.9163257661892603E-2</v>
      </c>
    </row>
    <row r="7258" spans="6:7" x14ac:dyDescent="0.35">
      <c r="F7258">
        <v>7253</v>
      </c>
      <c r="G7258" s="102">
        <f t="shared" ca="1" si="117"/>
        <v>9.6144213240944108E-3</v>
      </c>
    </row>
    <row r="7259" spans="6:7" x14ac:dyDescent="0.35">
      <c r="F7259">
        <v>7254</v>
      </c>
      <c r="G7259" s="102">
        <f t="shared" ca="1" si="117"/>
        <v>5.6051691634376052E-2</v>
      </c>
    </row>
    <row r="7260" spans="6:7" x14ac:dyDescent="0.35">
      <c r="F7260">
        <v>7255</v>
      </c>
      <c r="G7260" s="102">
        <f t="shared" ca="1" si="117"/>
        <v>8.8366874389832983E-2</v>
      </c>
    </row>
    <row r="7261" spans="6:7" x14ac:dyDescent="0.35">
      <c r="F7261">
        <v>7256</v>
      </c>
      <c r="G7261" s="102">
        <f t="shared" ca="1" si="117"/>
        <v>8.5427880623297703E-2</v>
      </c>
    </row>
    <row r="7262" spans="6:7" x14ac:dyDescent="0.35">
      <c r="F7262">
        <v>7257</v>
      </c>
      <c r="G7262" s="102">
        <f t="shared" ca="1" si="117"/>
        <v>-4.8781071311903915E-3</v>
      </c>
    </row>
    <row r="7263" spans="6:7" x14ac:dyDescent="0.35">
      <c r="F7263">
        <v>7258</v>
      </c>
      <c r="G7263" s="102">
        <f t="shared" ca="1" si="117"/>
        <v>7.327592016918992E-2</v>
      </c>
    </row>
    <row r="7264" spans="6:7" x14ac:dyDescent="0.35">
      <c r="F7264">
        <v>7259</v>
      </c>
      <c r="G7264" s="102">
        <f t="shared" ca="1" si="117"/>
        <v>-3.1363209235046347E-2</v>
      </c>
    </row>
    <row r="7265" spans="6:7" x14ac:dyDescent="0.35">
      <c r="F7265">
        <v>7260</v>
      </c>
      <c r="G7265" s="102">
        <f t="shared" ca="1" si="117"/>
        <v>2.84121605534224E-2</v>
      </c>
    </row>
    <row r="7266" spans="6:7" x14ac:dyDescent="0.35">
      <c r="F7266">
        <v>7261</v>
      </c>
      <c r="G7266" s="102">
        <f t="shared" ca="1" si="117"/>
        <v>6.4777442079221564E-2</v>
      </c>
    </row>
    <row r="7267" spans="6:7" x14ac:dyDescent="0.35">
      <c r="F7267">
        <v>7262</v>
      </c>
      <c r="G7267" s="102">
        <f t="shared" ca="1" si="117"/>
        <v>7.1050980455945781E-2</v>
      </c>
    </row>
    <row r="7268" spans="6:7" x14ac:dyDescent="0.35">
      <c r="F7268">
        <v>7263</v>
      </c>
      <c r="G7268" s="102">
        <f t="shared" ca="1" si="117"/>
        <v>-2.2830855014086871E-2</v>
      </c>
    </row>
    <row r="7269" spans="6:7" x14ac:dyDescent="0.35">
      <c r="F7269">
        <v>7264</v>
      </c>
      <c r="G7269" s="102">
        <f t="shared" ca="1" si="117"/>
        <v>1.7943534423868004E-2</v>
      </c>
    </row>
    <row r="7270" spans="6:7" x14ac:dyDescent="0.35">
      <c r="F7270">
        <v>7265</v>
      </c>
      <c r="G7270" s="102">
        <f t="shared" ca="1" si="117"/>
        <v>-1.3095890488479672E-3</v>
      </c>
    </row>
    <row r="7271" spans="6:7" x14ac:dyDescent="0.35">
      <c r="F7271">
        <v>7266</v>
      </c>
      <c r="G7271" s="102">
        <f t="shared" ca="1" si="117"/>
        <v>-6.2265270232913686E-2</v>
      </c>
    </row>
    <row r="7272" spans="6:7" x14ac:dyDescent="0.35">
      <c r="F7272">
        <v>7267</v>
      </c>
      <c r="G7272" s="102">
        <f t="shared" ca="1" si="117"/>
        <v>6.1595405614772614E-2</v>
      </c>
    </row>
    <row r="7273" spans="6:7" x14ac:dyDescent="0.35">
      <c r="F7273">
        <v>7268</v>
      </c>
      <c r="G7273" s="102">
        <f t="shared" ca="1" si="117"/>
        <v>-1.797612132219473E-2</v>
      </c>
    </row>
    <row r="7274" spans="6:7" x14ac:dyDescent="0.35">
      <c r="F7274">
        <v>7269</v>
      </c>
      <c r="G7274" s="102">
        <f t="shared" ca="1" si="117"/>
        <v>-7.8844967596683246E-2</v>
      </c>
    </row>
    <row r="7275" spans="6:7" x14ac:dyDescent="0.35">
      <c r="F7275">
        <v>7270</v>
      </c>
      <c r="G7275" s="102">
        <f t="shared" ca="1" si="117"/>
        <v>-2.542273419488629E-2</v>
      </c>
    </row>
    <row r="7276" spans="6:7" x14ac:dyDescent="0.35">
      <c r="F7276">
        <v>7271</v>
      </c>
      <c r="G7276" s="102">
        <f t="shared" ca="1" si="117"/>
        <v>5.8677328162285367E-2</v>
      </c>
    </row>
    <row r="7277" spans="6:7" x14ac:dyDescent="0.35">
      <c r="F7277">
        <v>7272</v>
      </c>
      <c r="G7277" s="102">
        <f t="shared" ca="1" si="117"/>
        <v>-2.4124970579823549E-2</v>
      </c>
    </row>
    <row r="7278" spans="6:7" x14ac:dyDescent="0.35">
      <c r="F7278">
        <v>7273</v>
      </c>
      <c r="G7278" s="102">
        <f t="shared" ca="1" si="117"/>
        <v>-8.33593226190531E-2</v>
      </c>
    </row>
    <row r="7279" spans="6:7" x14ac:dyDescent="0.35">
      <c r="F7279">
        <v>7274</v>
      </c>
      <c r="G7279" s="102">
        <f t="shared" ca="1" si="117"/>
        <v>-7.0092034747978385E-2</v>
      </c>
    </row>
    <row r="7280" spans="6:7" x14ac:dyDescent="0.35">
      <c r="F7280">
        <v>7275</v>
      </c>
      <c r="G7280" s="102">
        <f t="shared" ca="1" si="117"/>
        <v>6.0958366952920326E-2</v>
      </c>
    </row>
    <row r="7281" spans="6:7" x14ac:dyDescent="0.35">
      <c r="F7281">
        <v>7276</v>
      </c>
      <c r="G7281" s="102">
        <f t="shared" ca="1" si="117"/>
        <v>-2.7440835083729371E-2</v>
      </c>
    </row>
    <row r="7282" spans="6:7" x14ac:dyDescent="0.35">
      <c r="F7282">
        <v>7277</v>
      </c>
      <c r="G7282" s="102">
        <f t="shared" ca="1" si="117"/>
        <v>3.7666796574576569E-2</v>
      </c>
    </row>
    <row r="7283" spans="6:7" x14ac:dyDescent="0.35">
      <c r="F7283">
        <v>7278</v>
      </c>
      <c r="G7283" s="102">
        <f t="shared" ca="1" si="117"/>
        <v>7.9469021113349594E-2</v>
      </c>
    </row>
    <row r="7284" spans="6:7" x14ac:dyDescent="0.35">
      <c r="F7284">
        <v>7279</v>
      </c>
      <c r="G7284" s="102">
        <f t="shared" ca="1" si="117"/>
        <v>8.289672787166949E-2</v>
      </c>
    </row>
    <row r="7285" spans="6:7" x14ac:dyDescent="0.35">
      <c r="F7285">
        <v>7280</v>
      </c>
      <c r="G7285" s="102">
        <f t="shared" ca="1" si="117"/>
        <v>-2.5106043019109466E-2</v>
      </c>
    </row>
    <row r="7286" spans="6:7" x14ac:dyDescent="0.35">
      <c r="F7286">
        <v>7281</v>
      </c>
      <c r="G7286" s="102">
        <f t="shared" ca="1" si="117"/>
        <v>5.6815305317902257E-2</v>
      </c>
    </row>
    <row r="7287" spans="6:7" x14ac:dyDescent="0.35">
      <c r="F7287">
        <v>7282</v>
      </c>
      <c r="G7287" s="102">
        <f t="shared" ca="1" si="117"/>
        <v>3.738027090536214E-2</v>
      </c>
    </row>
    <row r="7288" spans="6:7" x14ac:dyDescent="0.35">
      <c r="F7288">
        <v>7283</v>
      </c>
      <c r="G7288" s="102">
        <f t="shared" ca="1" si="117"/>
        <v>1.0039222222836024E-2</v>
      </c>
    </row>
    <row r="7289" spans="6:7" x14ac:dyDescent="0.35">
      <c r="F7289">
        <v>7284</v>
      </c>
      <c r="G7289" s="102">
        <f t="shared" ca="1" si="117"/>
        <v>5.3573991499955391E-5</v>
      </c>
    </row>
    <row r="7290" spans="6:7" x14ac:dyDescent="0.35">
      <c r="F7290">
        <v>7285</v>
      </c>
      <c r="G7290" s="102">
        <f t="shared" ca="1" si="117"/>
        <v>1.2008079528429891E-2</v>
      </c>
    </row>
    <row r="7291" spans="6:7" x14ac:dyDescent="0.35">
      <c r="F7291">
        <v>7286</v>
      </c>
      <c r="G7291" s="102">
        <f t="shared" ca="1" si="117"/>
        <v>2.0002623349836893E-5</v>
      </c>
    </row>
    <row r="7292" spans="6:7" x14ac:dyDescent="0.35">
      <c r="F7292">
        <v>7287</v>
      </c>
      <c r="G7292" s="102">
        <f t="shared" ca="1" si="117"/>
        <v>-9.4261929536288827E-2</v>
      </c>
    </row>
    <row r="7293" spans="6:7" x14ac:dyDescent="0.35">
      <c r="F7293">
        <v>7288</v>
      </c>
      <c r="G7293" s="102">
        <f t="shared" ca="1" si="117"/>
        <v>-0.15597998908269159</v>
      </c>
    </row>
    <row r="7294" spans="6:7" x14ac:dyDescent="0.35">
      <c r="F7294">
        <v>7289</v>
      </c>
      <c r="G7294" s="102">
        <f t="shared" ca="1" si="117"/>
        <v>-2.3021123193669897E-2</v>
      </c>
    </row>
    <row r="7295" spans="6:7" x14ac:dyDescent="0.35">
      <c r="F7295">
        <v>7290</v>
      </c>
      <c r="G7295" s="102">
        <f t="shared" ca="1" si="117"/>
        <v>3.8186341339402713E-2</v>
      </c>
    </row>
    <row r="7296" spans="6:7" x14ac:dyDescent="0.35">
      <c r="F7296">
        <v>7291</v>
      </c>
      <c r="G7296" s="102">
        <f t="shared" ca="1" si="117"/>
        <v>2.9794009804304175E-3</v>
      </c>
    </row>
    <row r="7297" spans="6:7" x14ac:dyDescent="0.35">
      <c r="F7297">
        <v>7292</v>
      </c>
      <c r="G7297" s="102">
        <f t="shared" ca="1" si="117"/>
        <v>2.928886906425528E-2</v>
      </c>
    </row>
    <row r="7298" spans="6:7" x14ac:dyDescent="0.35">
      <c r="F7298">
        <v>7293</v>
      </c>
      <c r="G7298" s="102">
        <f t="shared" ca="1" si="117"/>
        <v>6.1553651240912513E-2</v>
      </c>
    </row>
    <row r="7299" spans="6:7" x14ac:dyDescent="0.35">
      <c r="F7299">
        <v>7294</v>
      </c>
      <c r="G7299" s="102">
        <f t="shared" ca="1" si="117"/>
        <v>-8.1786860566164007E-2</v>
      </c>
    </row>
    <row r="7300" spans="6:7" x14ac:dyDescent="0.35">
      <c r="F7300">
        <v>7295</v>
      </c>
      <c r="G7300" s="102">
        <f t="shared" ca="1" si="117"/>
        <v>2.8132037283491975E-2</v>
      </c>
    </row>
    <row r="7301" spans="6:7" x14ac:dyDescent="0.35">
      <c r="F7301">
        <v>7296</v>
      </c>
      <c r="G7301" s="102">
        <f t="shared" ca="1" si="117"/>
        <v>-6.5554722050441369E-2</v>
      </c>
    </row>
    <row r="7302" spans="6:7" x14ac:dyDescent="0.35">
      <c r="F7302">
        <v>7297</v>
      </c>
      <c r="G7302" s="102">
        <f t="shared" ca="1" si="117"/>
        <v>5.1956771144872044E-2</v>
      </c>
    </row>
    <row r="7303" spans="6:7" x14ac:dyDescent="0.35">
      <c r="F7303">
        <v>7298</v>
      </c>
      <c r="G7303" s="102">
        <f t="shared" ref="G7303:G7366" ca="1" si="118">_xlfn.NORM.INV(RAND(),M$9,M$10)</f>
        <v>-9.1844159068734652E-2</v>
      </c>
    </row>
    <row r="7304" spans="6:7" x14ac:dyDescent="0.35">
      <c r="F7304">
        <v>7299</v>
      </c>
      <c r="G7304" s="102">
        <f t="shared" ca="1" si="118"/>
        <v>-4.0944826148666763E-2</v>
      </c>
    </row>
    <row r="7305" spans="6:7" x14ac:dyDescent="0.35">
      <c r="F7305">
        <v>7300</v>
      </c>
      <c r="G7305" s="102">
        <f t="shared" ca="1" si="118"/>
        <v>1.4075530525871757E-3</v>
      </c>
    </row>
    <row r="7306" spans="6:7" x14ac:dyDescent="0.35">
      <c r="F7306">
        <v>7301</v>
      </c>
      <c r="G7306" s="102">
        <f t="shared" ca="1" si="118"/>
        <v>2.3047908796812296E-2</v>
      </c>
    </row>
    <row r="7307" spans="6:7" x14ac:dyDescent="0.35">
      <c r="F7307">
        <v>7302</v>
      </c>
      <c r="G7307" s="102">
        <f t="shared" ca="1" si="118"/>
        <v>2.0258366992289379E-2</v>
      </c>
    </row>
    <row r="7308" spans="6:7" x14ac:dyDescent="0.35">
      <c r="F7308">
        <v>7303</v>
      </c>
      <c r="G7308" s="102">
        <f t="shared" ca="1" si="118"/>
        <v>3.7393674291988255E-2</v>
      </c>
    </row>
    <row r="7309" spans="6:7" x14ac:dyDescent="0.35">
      <c r="F7309">
        <v>7304</v>
      </c>
      <c r="G7309" s="102">
        <f t="shared" ca="1" si="118"/>
        <v>-3.4674452665813801E-2</v>
      </c>
    </row>
    <row r="7310" spans="6:7" x14ac:dyDescent="0.35">
      <c r="F7310">
        <v>7305</v>
      </c>
      <c r="G7310" s="102">
        <f t="shared" ca="1" si="118"/>
        <v>-5.7162747244106193E-2</v>
      </c>
    </row>
    <row r="7311" spans="6:7" x14ac:dyDescent="0.35">
      <c r="F7311">
        <v>7306</v>
      </c>
      <c r="G7311" s="102">
        <f t="shared" ca="1" si="118"/>
        <v>-9.6874778412761361E-2</v>
      </c>
    </row>
    <row r="7312" spans="6:7" x14ac:dyDescent="0.35">
      <c r="F7312">
        <v>7307</v>
      </c>
      <c r="G7312" s="102">
        <f t="shared" ca="1" si="118"/>
        <v>4.0199126557704468E-2</v>
      </c>
    </row>
    <row r="7313" spans="6:7" x14ac:dyDescent="0.35">
      <c r="F7313">
        <v>7308</v>
      </c>
      <c r="G7313" s="102">
        <f t="shared" ca="1" si="118"/>
        <v>9.9598352362320383E-2</v>
      </c>
    </row>
    <row r="7314" spans="6:7" x14ac:dyDescent="0.35">
      <c r="F7314">
        <v>7309</v>
      </c>
      <c r="G7314" s="102">
        <f t="shared" ca="1" si="118"/>
        <v>5.2564391885267903E-2</v>
      </c>
    </row>
    <row r="7315" spans="6:7" x14ac:dyDescent="0.35">
      <c r="F7315">
        <v>7310</v>
      </c>
      <c r="G7315" s="102">
        <f t="shared" ca="1" si="118"/>
        <v>9.8365050559035931E-3</v>
      </c>
    </row>
    <row r="7316" spans="6:7" x14ac:dyDescent="0.35">
      <c r="F7316">
        <v>7311</v>
      </c>
      <c r="G7316" s="102">
        <f t="shared" ca="1" si="118"/>
        <v>-8.6945998095047897E-2</v>
      </c>
    </row>
    <row r="7317" spans="6:7" x14ac:dyDescent="0.35">
      <c r="F7317">
        <v>7312</v>
      </c>
      <c r="G7317" s="102">
        <f t="shared" ca="1" si="118"/>
        <v>0.11437640772494261</v>
      </c>
    </row>
    <row r="7318" spans="6:7" x14ac:dyDescent="0.35">
      <c r="F7318">
        <v>7313</v>
      </c>
      <c r="G7318" s="102">
        <f t="shared" ca="1" si="118"/>
        <v>-1.4607021742448864E-2</v>
      </c>
    </row>
    <row r="7319" spans="6:7" x14ac:dyDescent="0.35">
      <c r="F7319">
        <v>7314</v>
      </c>
      <c r="G7319" s="102">
        <f t="shared" ca="1" si="118"/>
        <v>4.110769400530527E-2</v>
      </c>
    </row>
    <row r="7320" spans="6:7" x14ac:dyDescent="0.35">
      <c r="F7320">
        <v>7315</v>
      </c>
      <c r="G7320" s="102">
        <f t="shared" ca="1" si="118"/>
        <v>-4.2114716741468425E-2</v>
      </c>
    </row>
    <row r="7321" spans="6:7" x14ac:dyDescent="0.35">
      <c r="F7321">
        <v>7316</v>
      </c>
      <c r="G7321" s="102">
        <f t="shared" ca="1" si="118"/>
        <v>7.4420103104079177E-2</v>
      </c>
    </row>
    <row r="7322" spans="6:7" x14ac:dyDescent="0.35">
      <c r="F7322">
        <v>7317</v>
      </c>
      <c r="G7322" s="102">
        <f t="shared" ca="1" si="118"/>
        <v>-5.8887731922713127E-2</v>
      </c>
    </row>
    <row r="7323" spans="6:7" x14ac:dyDescent="0.35">
      <c r="F7323">
        <v>7318</v>
      </c>
      <c r="G7323" s="102">
        <f t="shared" ca="1" si="118"/>
        <v>-5.1545855690619908E-3</v>
      </c>
    </row>
    <row r="7324" spans="6:7" x14ac:dyDescent="0.35">
      <c r="F7324">
        <v>7319</v>
      </c>
      <c r="G7324" s="102">
        <f t="shared" ca="1" si="118"/>
        <v>9.3187080520728133E-2</v>
      </c>
    </row>
    <row r="7325" spans="6:7" x14ac:dyDescent="0.35">
      <c r="F7325">
        <v>7320</v>
      </c>
      <c r="G7325" s="102">
        <f t="shared" ca="1" si="118"/>
        <v>-3.1996846058327102E-2</v>
      </c>
    </row>
    <row r="7326" spans="6:7" x14ac:dyDescent="0.35">
      <c r="F7326">
        <v>7321</v>
      </c>
      <c r="G7326" s="102">
        <f t="shared" ca="1" si="118"/>
        <v>-3.754935664098627E-2</v>
      </c>
    </row>
    <row r="7327" spans="6:7" x14ac:dyDescent="0.35">
      <c r="F7327">
        <v>7322</v>
      </c>
      <c r="G7327" s="102">
        <f t="shared" ca="1" si="118"/>
        <v>-1.4755678703691232E-3</v>
      </c>
    </row>
    <row r="7328" spans="6:7" x14ac:dyDescent="0.35">
      <c r="F7328">
        <v>7323</v>
      </c>
      <c r="G7328" s="102">
        <f t="shared" ca="1" si="118"/>
        <v>9.8069696300911047E-3</v>
      </c>
    </row>
    <row r="7329" spans="6:7" x14ac:dyDescent="0.35">
      <c r="F7329">
        <v>7324</v>
      </c>
      <c r="G7329" s="102">
        <f t="shared" ca="1" si="118"/>
        <v>-4.74329679915413E-2</v>
      </c>
    </row>
    <row r="7330" spans="6:7" x14ac:dyDescent="0.35">
      <c r="F7330">
        <v>7325</v>
      </c>
      <c r="G7330" s="102">
        <f t="shared" ca="1" si="118"/>
        <v>-5.1266576926834451E-2</v>
      </c>
    </row>
    <row r="7331" spans="6:7" x14ac:dyDescent="0.35">
      <c r="F7331">
        <v>7326</v>
      </c>
      <c r="G7331" s="102">
        <f t="shared" ca="1" si="118"/>
        <v>-9.6710054225419728E-2</v>
      </c>
    </row>
    <row r="7332" spans="6:7" x14ac:dyDescent="0.35">
      <c r="F7332">
        <v>7327</v>
      </c>
      <c r="G7332" s="102">
        <f t="shared" ca="1" si="118"/>
        <v>-0.13549427944219303</v>
      </c>
    </row>
    <row r="7333" spans="6:7" x14ac:dyDescent="0.35">
      <c r="F7333">
        <v>7328</v>
      </c>
      <c r="G7333" s="102">
        <f t="shared" ca="1" si="118"/>
        <v>-2.2586700780573822E-2</v>
      </c>
    </row>
    <row r="7334" spans="6:7" x14ac:dyDescent="0.35">
      <c r="F7334">
        <v>7329</v>
      </c>
      <c r="G7334" s="102">
        <f t="shared" ca="1" si="118"/>
        <v>-0.17557312527501351</v>
      </c>
    </row>
    <row r="7335" spans="6:7" x14ac:dyDescent="0.35">
      <c r="F7335">
        <v>7330</v>
      </c>
      <c r="G7335" s="102">
        <f t="shared" ca="1" si="118"/>
        <v>3.6785241894497278E-2</v>
      </c>
    </row>
    <row r="7336" spans="6:7" x14ac:dyDescent="0.35">
      <c r="F7336">
        <v>7331</v>
      </c>
      <c r="G7336" s="102">
        <f t="shared" ca="1" si="118"/>
        <v>6.575780481030738E-2</v>
      </c>
    </row>
    <row r="7337" spans="6:7" x14ac:dyDescent="0.35">
      <c r="F7337">
        <v>7332</v>
      </c>
      <c r="G7337" s="102">
        <f t="shared" ca="1" si="118"/>
        <v>-1.3638506140108631E-2</v>
      </c>
    </row>
    <row r="7338" spans="6:7" x14ac:dyDescent="0.35">
      <c r="F7338">
        <v>7333</v>
      </c>
      <c r="G7338" s="102">
        <f t="shared" ca="1" si="118"/>
        <v>4.1847739402744194E-2</v>
      </c>
    </row>
    <row r="7339" spans="6:7" x14ac:dyDescent="0.35">
      <c r="F7339">
        <v>7334</v>
      </c>
      <c r="G7339" s="102">
        <f t="shared" ca="1" si="118"/>
        <v>-3.7121442454102746E-2</v>
      </c>
    </row>
    <row r="7340" spans="6:7" x14ac:dyDescent="0.35">
      <c r="F7340">
        <v>7335</v>
      </c>
      <c r="G7340" s="102">
        <f t="shared" ca="1" si="118"/>
        <v>-2.4049945670314082E-2</v>
      </c>
    </row>
    <row r="7341" spans="6:7" x14ac:dyDescent="0.35">
      <c r="F7341">
        <v>7336</v>
      </c>
      <c r="G7341" s="102">
        <f t="shared" ca="1" si="118"/>
        <v>9.7355231927097524E-2</v>
      </c>
    </row>
    <row r="7342" spans="6:7" x14ac:dyDescent="0.35">
      <c r="F7342">
        <v>7337</v>
      </c>
      <c r="G7342" s="102">
        <f t="shared" ca="1" si="118"/>
        <v>-9.5006073970548208E-3</v>
      </c>
    </row>
    <row r="7343" spans="6:7" x14ac:dyDescent="0.35">
      <c r="F7343">
        <v>7338</v>
      </c>
      <c r="G7343" s="102">
        <f t="shared" ca="1" si="118"/>
        <v>4.4534232629472245E-2</v>
      </c>
    </row>
    <row r="7344" spans="6:7" x14ac:dyDescent="0.35">
      <c r="F7344">
        <v>7339</v>
      </c>
      <c r="G7344" s="102">
        <f t="shared" ca="1" si="118"/>
        <v>-5.7150914783224302E-2</v>
      </c>
    </row>
    <row r="7345" spans="6:7" x14ac:dyDescent="0.35">
      <c r="F7345">
        <v>7340</v>
      </c>
      <c r="G7345" s="102">
        <f t="shared" ca="1" si="118"/>
        <v>0.10632119520140068</v>
      </c>
    </row>
    <row r="7346" spans="6:7" x14ac:dyDescent="0.35">
      <c r="F7346">
        <v>7341</v>
      </c>
      <c r="G7346" s="102">
        <f t="shared" ca="1" si="118"/>
        <v>-1.072563111958914E-2</v>
      </c>
    </row>
    <row r="7347" spans="6:7" x14ac:dyDescent="0.35">
      <c r="F7347">
        <v>7342</v>
      </c>
      <c r="G7347" s="102">
        <f t="shared" ca="1" si="118"/>
        <v>3.2755703693064575E-2</v>
      </c>
    </row>
    <row r="7348" spans="6:7" x14ac:dyDescent="0.35">
      <c r="F7348">
        <v>7343</v>
      </c>
      <c r="G7348" s="102">
        <f t="shared" ca="1" si="118"/>
        <v>5.9043032220195066E-2</v>
      </c>
    </row>
    <row r="7349" spans="6:7" x14ac:dyDescent="0.35">
      <c r="F7349">
        <v>7344</v>
      </c>
      <c r="G7349" s="102">
        <f t="shared" ca="1" si="118"/>
        <v>-3.9766636080267523E-2</v>
      </c>
    </row>
    <row r="7350" spans="6:7" x14ac:dyDescent="0.35">
      <c r="F7350">
        <v>7345</v>
      </c>
      <c r="G7350" s="102">
        <f t="shared" ca="1" si="118"/>
        <v>0.1200956456349017</v>
      </c>
    </row>
    <row r="7351" spans="6:7" x14ac:dyDescent="0.35">
      <c r="F7351">
        <v>7346</v>
      </c>
      <c r="G7351" s="102">
        <f t="shared" ca="1" si="118"/>
        <v>-1.4974769605995256E-2</v>
      </c>
    </row>
    <row r="7352" spans="6:7" x14ac:dyDescent="0.35">
      <c r="F7352">
        <v>7347</v>
      </c>
      <c r="G7352" s="102">
        <f t="shared" ca="1" si="118"/>
        <v>3.9241383313461969E-2</v>
      </c>
    </row>
    <row r="7353" spans="6:7" x14ac:dyDescent="0.35">
      <c r="F7353">
        <v>7348</v>
      </c>
      <c r="G7353" s="102">
        <f t="shared" ca="1" si="118"/>
        <v>-1.5944117270261116E-2</v>
      </c>
    </row>
    <row r="7354" spans="6:7" x14ac:dyDescent="0.35">
      <c r="F7354">
        <v>7349</v>
      </c>
      <c r="G7354" s="102">
        <f t="shared" ca="1" si="118"/>
        <v>9.5856582666306672E-2</v>
      </c>
    </row>
    <row r="7355" spans="6:7" x14ac:dyDescent="0.35">
      <c r="F7355">
        <v>7350</v>
      </c>
      <c r="G7355" s="102">
        <f t="shared" ca="1" si="118"/>
        <v>8.592877716022608E-2</v>
      </c>
    </row>
    <row r="7356" spans="6:7" x14ac:dyDescent="0.35">
      <c r="F7356">
        <v>7351</v>
      </c>
      <c r="G7356" s="102">
        <f t="shared" ca="1" si="118"/>
        <v>-2.4408036858946252E-2</v>
      </c>
    </row>
    <row r="7357" spans="6:7" x14ac:dyDescent="0.35">
      <c r="F7357">
        <v>7352</v>
      </c>
      <c r="G7357" s="102">
        <f t="shared" ca="1" si="118"/>
        <v>9.5903967031802373E-2</v>
      </c>
    </row>
    <row r="7358" spans="6:7" x14ac:dyDescent="0.35">
      <c r="F7358">
        <v>7353</v>
      </c>
      <c r="G7358" s="102">
        <f t="shared" ca="1" si="118"/>
        <v>3.0711124343381298E-2</v>
      </c>
    </row>
    <row r="7359" spans="6:7" x14ac:dyDescent="0.35">
      <c r="F7359">
        <v>7354</v>
      </c>
      <c r="G7359" s="102">
        <f t="shared" ca="1" si="118"/>
        <v>-7.7146713696731331E-2</v>
      </c>
    </row>
    <row r="7360" spans="6:7" x14ac:dyDescent="0.35">
      <c r="F7360">
        <v>7355</v>
      </c>
      <c r="G7360" s="102">
        <f t="shared" ca="1" si="118"/>
        <v>-2.9122980482879936E-3</v>
      </c>
    </row>
    <row r="7361" spans="6:7" x14ac:dyDescent="0.35">
      <c r="F7361">
        <v>7356</v>
      </c>
      <c r="G7361" s="102">
        <f t="shared" ca="1" si="118"/>
        <v>-0.11152130626780292</v>
      </c>
    </row>
    <row r="7362" spans="6:7" x14ac:dyDescent="0.35">
      <c r="F7362">
        <v>7357</v>
      </c>
      <c r="G7362" s="102">
        <f t="shared" ca="1" si="118"/>
        <v>-6.1474234052260298E-3</v>
      </c>
    </row>
    <row r="7363" spans="6:7" x14ac:dyDescent="0.35">
      <c r="F7363">
        <v>7358</v>
      </c>
      <c r="G7363" s="102">
        <f t="shared" ca="1" si="118"/>
        <v>7.8639220805210561E-2</v>
      </c>
    </row>
    <row r="7364" spans="6:7" x14ac:dyDescent="0.35">
      <c r="F7364">
        <v>7359</v>
      </c>
      <c r="G7364" s="102">
        <f t="shared" ca="1" si="118"/>
        <v>-9.5398634781903302E-2</v>
      </c>
    </row>
    <row r="7365" spans="6:7" x14ac:dyDescent="0.35">
      <c r="F7365">
        <v>7360</v>
      </c>
      <c r="G7365" s="102">
        <f t="shared" ca="1" si="118"/>
        <v>-8.0861945611768724E-2</v>
      </c>
    </row>
    <row r="7366" spans="6:7" x14ac:dyDescent="0.35">
      <c r="F7366">
        <v>7361</v>
      </c>
      <c r="G7366" s="102">
        <f t="shared" ca="1" si="118"/>
        <v>1.7177971128648641E-2</v>
      </c>
    </row>
    <row r="7367" spans="6:7" x14ac:dyDescent="0.35">
      <c r="F7367">
        <v>7362</v>
      </c>
      <c r="G7367" s="102">
        <f t="shared" ref="G7367:G7430" ca="1" si="119">_xlfn.NORM.INV(RAND(),M$9,M$10)</f>
        <v>-3.9378494530190628E-2</v>
      </c>
    </row>
    <row r="7368" spans="6:7" x14ac:dyDescent="0.35">
      <c r="F7368">
        <v>7363</v>
      </c>
      <c r="G7368" s="102">
        <f t="shared" ca="1" si="119"/>
        <v>-3.6371863177608155E-2</v>
      </c>
    </row>
    <row r="7369" spans="6:7" x14ac:dyDescent="0.35">
      <c r="F7369">
        <v>7364</v>
      </c>
      <c r="G7369" s="102">
        <f t="shared" ca="1" si="119"/>
        <v>-8.3266414374706416E-2</v>
      </c>
    </row>
    <row r="7370" spans="6:7" x14ac:dyDescent="0.35">
      <c r="F7370">
        <v>7365</v>
      </c>
      <c r="G7370" s="102">
        <f t="shared" ca="1" si="119"/>
        <v>-2.5884579784856587E-2</v>
      </c>
    </row>
    <row r="7371" spans="6:7" x14ac:dyDescent="0.35">
      <c r="F7371">
        <v>7366</v>
      </c>
      <c r="G7371" s="102">
        <f t="shared" ca="1" si="119"/>
        <v>-9.4077400583992901E-3</v>
      </c>
    </row>
    <row r="7372" spans="6:7" x14ac:dyDescent="0.35">
      <c r="F7372">
        <v>7367</v>
      </c>
      <c r="G7372" s="102">
        <f t="shared" ca="1" si="119"/>
        <v>-5.6902202501047799E-2</v>
      </c>
    </row>
    <row r="7373" spans="6:7" x14ac:dyDescent="0.35">
      <c r="F7373">
        <v>7368</v>
      </c>
      <c r="G7373" s="102">
        <f t="shared" ca="1" si="119"/>
        <v>5.7103415105809491E-2</v>
      </c>
    </row>
    <row r="7374" spans="6:7" x14ac:dyDescent="0.35">
      <c r="F7374">
        <v>7369</v>
      </c>
      <c r="G7374" s="102">
        <f t="shared" ca="1" si="119"/>
        <v>-2.8579013348515474E-2</v>
      </c>
    </row>
    <row r="7375" spans="6:7" x14ac:dyDescent="0.35">
      <c r="F7375">
        <v>7370</v>
      </c>
      <c r="G7375" s="102">
        <f t="shared" ca="1" si="119"/>
        <v>-6.7245003525906386E-2</v>
      </c>
    </row>
    <row r="7376" spans="6:7" x14ac:dyDescent="0.35">
      <c r="F7376">
        <v>7371</v>
      </c>
      <c r="G7376" s="102">
        <f t="shared" ca="1" si="119"/>
        <v>-1.5709524097653062E-2</v>
      </c>
    </row>
    <row r="7377" spans="6:7" x14ac:dyDescent="0.35">
      <c r="F7377">
        <v>7372</v>
      </c>
      <c r="G7377" s="102">
        <f t="shared" ca="1" si="119"/>
        <v>0.18034008865337167</v>
      </c>
    </row>
    <row r="7378" spans="6:7" x14ac:dyDescent="0.35">
      <c r="F7378">
        <v>7373</v>
      </c>
      <c r="G7378" s="102">
        <f t="shared" ca="1" si="119"/>
        <v>0.14502241756489379</v>
      </c>
    </row>
    <row r="7379" spans="6:7" x14ac:dyDescent="0.35">
      <c r="F7379">
        <v>7374</v>
      </c>
      <c r="G7379" s="102">
        <f t="shared" ca="1" si="119"/>
        <v>-1.7256791689056514E-2</v>
      </c>
    </row>
    <row r="7380" spans="6:7" x14ac:dyDescent="0.35">
      <c r="F7380">
        <v>7375</v>
      </c>
      <c r="G7380" s="102">
        <f t="shared" ca="1" si="119"/>
        <v>-6.1085885591499411E-2</v>
      </c>
    </row>
    <row r="7381" spans="6:7" x14ac:dyDescent="0.35">
      <c r="F7381">
        <v>7376</v>
      </c>
      <c r="G7381" s="102">
        <f t="shared" ca="1" si="119"/>
        <v>0.12915038892841077</v>
      </c>
    </row>
    <row r="7382" spans="6:7" x14ac:dyDescent="0.35">
      <c r="F7382">
        <v>7377</v>
      </c>
      <c r="G7382" s="102">
        <f t="shared" ca="1" si="119"/>
        <v>-3.1004012977760377E-2</v>
      </c>
    </row>
    <row r="7383" spans="6:7" x14ac:dyDescent="0.35">
      <c r="F7383">
        <v>7378</v>
      </c>
      <c r="G7383" s="102">
        <f t="shared" ca="1" si="119"/>
        <v>8.7997585049988655E-2</v>
      </c>
    </row>
    <row r="7384" spans="6:7" x14ac:dyDescent="0.35">
      <c r="F7384">
        <v>7379</v>
      </c>
      <c r="G7384" s="102">
        <f t="shared" ca="1" si="119"/>
        <v>0.10209423271764408</v>
      </c>
    </row>
    <row r="7385" spans="6:7" x14ac:dyDescent="0.35">
      <c r="F7385">
        <v>7380</v>
      </c>
      <c r="G7385" s="102">
        <f t="shared" ca="1" si="119"/>
        <v>1.4801844549116209E-2</v>
      </c>
    </row>
    <row r="7386" spans="6:7" x14ac:dyDescent="0.35">
      <c r="F7386">
        <v>7381</v>
      </c>
      <c r="G7386" s="102">
        <f t="shared" ca="1" si="119"/>
        <v>-3.9646371376518249E-3</v>
      </c>
    </row>
    <row r="7387" spans="6:7" x14ac:dyDescent="0.35">
      <c r="F7387">
        <v>7382</v>
      </c>
      <c r="G7387" s="102">
        <f t="shared" ca="1" si="119"/>
        <v>6.1430699373179617E-2</v>
      </c>
    </row>
    <row r="7388" spans="6:7" x14ac:dyDescent="0.35">
      <c r="F7388">
        <v>7383</v>
      </c>
      <c r="G7388" s="102">
        <f t="shared" ca="1" si="119"/>
        <v>-3.140738966049798E-3</v>
      </c>
    </row>
    <row r="7389" spans="6:7" x14ac:dyDescent="0.35">
      <c r="F7389">
        <v>7384</v>
      </c>
      <c r="G7389" s="102">
        <f t="shared" ca="1" si="119"/>
        <v>-3.8186054212588083E-2</v>
      </c>
    </row>
    <row r="7390" spans="6:7" x14ac:dyDescent="0.35">
      <c r="F7390">
        <v>7385</v>
      </c>
      <c r="G7390" s="102">
        <f t="shared" ca="1" si="119"/>
        <v>-4.2557347971673459E-2</v>
      </c>
    </row>
    <row r="7391" spans="6:7" x14ac:dyDescent="0.35">
      <c r="F7391">
        <v>7386</v>
      </c>
      <c r="G7391" s="102">
        <f t="shared" ca="1" si="119"/>
        <v>6.4662889707888555E-2</v>
      </c>
    </row>
    <row r="7392" spans="6:7" x14ac:dyDescent="0.35">
      <c r="F7392">
        <v>7387</v>
      </c>
      <c r="G7392" s="102">
        <f t="shared" ca="1" si="119"/>
        <v>-4.0443429657042951E-2</v>
      </c>
    </row>
    <row r="7393" spans="6:7" x14ac:dyDescent="0.35">
      <c r="F7393">
        <v>7388</v>
      </c>
      <c r="G7393" s="102">
        <f t="shared" ca="1" si="119"/>
        <v>-1.7701782645964455E-2</v>
      </c>
    </row>
    <row r="7394" spans="6:7" x14ac:dyDescent="0.35">
      <c r="F7394">
        <v>7389</v>
      </c>
      <c r="G7394" s="102">
        <f t="shared" ca="1" si="119"/>
        <v>-2.6525455835936938E-2</v>
      </c>
    </row>
    <row r="7395" spans="6:7" x14ac:dyDescent="0.35">
      <c r="F7395">
        <v>7390</v>
      </c>
      <c r="G7395" s="102">
        <f t="shared" ca="1" si="119"/>
        <v>4.0474084534956711E-2</v>
      </c>
    </row>
    <row r="7396" spans="6:7" x14ac:dyDescent="0.35">
      <c r="F7396">
        <v>7391</v>
      </c>
      <c r="G7396" s="102">
        <f t="shared" ca="1" si="119"/>
        <v>-2.1072903745875043E-2</v>
      </c>
    </row>
    <row r="7397" spans="6:7" x14ac:dyDescent="0.35">
      <c r="F7397">
        <v>7392</v>
      </c>
      <c r="G7397" s="102">
        <f t="shared" ca="1" si="119"/>
        <v>-4.2539811992193449E-2</v>
      </c>
    </row>
    <row r="7398" spans="6:7" x14ac:dyDescent="0.35">
      <c r="F7398">
        <v>7393</v>
      </c>
      <c r="G7398" s="102">
        <f t="shared" ca="1" si="119"/>
        <v>8.8846585381480561E-2</v>
      </c>
    </row>
    <row r="7399" spans="6:7" x14ac:dyDescent="0.35">
      <c r="F7399">
        <v>7394</v>
      </c>
      <c r="G7399" s="102">
        <f t="shared" ca="1" si="119"/>
        <v>3.5948872328424059E-2</v>
      </c>
    </row>
    <row r="7400" spans="6:7" x14ac:dyDescent="0.35">
      <c r="F7400">
        <v>7395</v>
      </c>
      <c r="G7400" s="102">
        <f t="shared" ca="1" si="119"/>
        <v>4.4157801216200318E-2</v>
      </c>
    </row>
    <row r="7401" spans="6:7" x14ac:dyDescent="0.35">
      <c r="F7401">
        <v>7396</v>
      </c>
      <c r="G7401" s="102">
        <f t="shared" ca="1" si="119"/>
        <v>-9.2488740860572211E-2</v>
      </c>
    </row>
    <row r="7402" spans="6:7" x14ac:dyDescent="0.35">
      <c r="F7402">
        <v>7397</v>
      </c>
      <c r="G7402" s="102">
        <f t="shared" ca="1" si="119"/>
        <v>-3.581827389846175E-3</v>
      </c>
    </row>
    <row r="7403" spans="6:7" x14ac:dyDescent="0.35">
      <c r="F7403">
        <v>7398</v>
      </c>
      <c r="G7403" s="102">
        <f t="shared" ca="1" si="119"/>
        <v>-1.6197009783564087E-2</v>
      </c>
    </row>
    <row r="7404" spans="6:7" x14ac:dyDescent="0.35">
      <c r="F7404">
        <v>7399</v>
      </c>
      <c r="G7404" s="102">
        <f t="shared" ca="1" si="119"/>
        <v>2.5582370118559579E-2</v>
      </c>
    </row>
    <row r="7405" spans="6:7" x14ac:dyDescent="0.35">
      <c r="F7405">
        <v>7400</v>
      </c>
      <c r="G7405" s="102">
        <f t="shared" ca="1" si="119"/>
        <v>4.8494294235488632E-3</v>
      </c>
    </row>
    <row r="7406" spans="6:7" x14ac:dyDescent="0.35">
      <c r="F7406">
        <v>7401</v>
      </c>
      <c r="G7406" s="102">
        <f t="shared" ca="1" si="119"/>
        <v>-0.13926510542133763</v>
      </c>
    </row>
    <row r="7407" spans="6:7" x14ac:dyDescent="0.35">
      <c r="F7407">
        <v>7402</v>
      </c>
      <c r="G7407" s="102">
        <f t="shared" ca="1" si="119"/>
        <v>5.2246462807163142E-4</v>
      </c>
    </row>
    <row r="7408" spans="6:7" x14ac:dyDescent="0.35">
      <c r="F7408">
        <v>7403</v>
      </c>
      <c r="G7408" s="102">
        <f t="shared" ca="1" si="119"/>
        <v>-1.3449083644798196E-2</v>
      </c>
    </row>
    <row r="7409" spans="6:7" x14ac:dyDescent="0.35">
      <c r="F7409">
        <v>7404</v>
      </c>
      <c r="G7409" s="102">
        <f t="shared" ca="1" si="119"/>
        <v>-5.8103177973068673E-2</v>
      </c>
    </row>
    <row r="7410" spans="6:7" x14ac:dyDescent="0.35">
      <c r="F7410">
        <v>7405</v>
      </c>
      <c r="G7410" s="102">
        <f t="shared" ca="1" si="119"/>
        <v>-6.2117879916512825E-2</v>
      </c>
    </row>
    <row r="7411" spans="6:7" x14ac:dyDescent="0.35">
      <c r="F7411">
        <v>7406</v>
      </c>
      <c r="G7411" s="102">
        <f t="shared" ca="1" si="119"/>
        <v>2.9817864439058938E-2</v>
      </c>
    </row>
    <row r="7412" spans="6:7" x14ac:dyDescent="0.35">
      <c r="F7412">
        <v>7407</v>
      </c>
      <c r="G7412" s="102">
        <f t="shared" ca="1" si="119"/>
        <v>-3.6956792397604757E-2</v>
      </c>
    </row>
    <row r="7413" spans="6:7" x14ac:dyDescent="0.35">
      <c r="F7413">
        <v>7408</v>
      </c>
      <c r="G7413" s="102">
        <f t="shared" ca="1" si="119"/>
        <v>-4.2184863601348224E-2</v>
      </c>
    </row>
    <row r="7414" spans="6:7" x14ac:dyDescent="0.35">
      <c r="F7414">
        <v>7409</v>
      </c>
      <c r="G7414" s="102">
        <f t="shared" ca="1" si="119"/>
        <v>-1.0327113902265941E-2</v>
      </c>
    </row>
    <row r="7415" spans="6:7" x14ac:dyDescent="0.35">
      <c r="F7415">
        <v>7410</v>
      </c>
      <c r="G7415" s="102">
        <f t="shared" ca="1" si="119"/>
        <v>8.5379071706296245E-2</v>
      </c>
    </row>
    <row r="7416" spans="6:7" x14ac:dyDescent="0.35">
      <c r="F7416">
        <v>7411</v>
      </c>
      <c r="G7416" s="102">
        <f t="shared" ca="1" si="119"/>
        <v>-0.1232298359510574</v>
      </c>
    </row>
    <row r="7417" spans="6:7" x14ac:dyDescent="0.35">
      <c r="F7417">
        <v>7412</v>
      </c>
      <c r="G7417" s="102">
        <f t="shared" ca="1" si="119"/>
        <v>1.4192183074000525E-2</v>
      </c>
    </row>
    <row r="7418" spans="6:7" x14ac:dyDescent="0.35">
      <c r="F7418">
        <v>7413</v>
      </c>
      <c r="G7418" s="102">
        <f t="shared" ca="1" si="119"/>
        <v>5.0436372377492752E-2</v>
      </c>
    </row>
    <row r="7419" spans="6:7" x14ac:dyDescent="0.35">
      <c r="F7419">
        <v>7414</v>
      </c>
      <c r="G7419" s="102">
        <f t="shared" ca="1" si="119"/>
        <v>-2.5336316818887251E-2</v>
      </c>
    </row>
    <row r="7420" spans="6:7" x14ac:dyDescent="0.35">
      <c r="F7420">
        <v>7415</v>
      </c>
      <c r="G7420" s="102">
        <f t="shared" ca="1" si="119"/>
        <v>-5.9476269021654732E-2</v>
      </c>
    </row>
    <row r="7421" spans="6:7" x14ac:dyDescent="0.35">
      <c r="F7421">
        <v>7416</v>
      </c>
      <c r="G7421" s="102">
        <f t="shared" ca="1" si="119"/>
        <v>1.8008017002425675E-2</v>
      </c>
    </row>
    <row r="7422" spans="6:7" x14ac:dyDescent="0.35">
      <c r="F7422">
        <v>7417</v>
      </c>
      <c r="G7422" s="102">
        <f t="shared" ca="1" si="119"/>
        <v>7.5498715066986785E-2</v>
      </c>
    </row>
    <row r="7423" spans="6:7" x14ac:dyDescent="0.35">
      <c r="F7423">
        <v>7418</v>
      </c>
      <c r="G7423" s="102">
        <f t="shared" ca="1" si="119"/>
        <v>1.3960186243327701E-2</v>
      </c>
    </row>
    <row r="7424" spans="6:7" x14ac:dyDescent="0.35">
      <c r="F7424">
        <v>7419</v>
      </c>
      <c r="G7424" s="102">
        <f t="shared" ca="1" si="119"/>
        <v>2.1724557376495798E-2</v>
      </c>
    </row>
    <row r="7425" spans="6:7" x14ac:dyDescent="0.35">
      <c r="F7425">
        <v>7420</v>
      </c>
      <c r="G7425" s="102">
        <f t="shared" ca="1" si="119"/>
        <v>6.0318531612492052E-4</v>
      </c>
    </row>
    <row r="7426" spans="6:7" x14ac:dyDescent="0.35">
      <c r="F7426">
        <v>7421</v>
      </c>
      <c r="G7426" s="102">
        <f t="shared" ca="1" si="119"/>
        <v>0.13536141969596782</v>
      </c>
    </row>
    <row r="7427" spans="6:7" x14ac:dyDescent="0.35">
      <c r="F7427">
        <v>7422</v>
      </c>
      <c r="G7427" s="102">
        <f t="shared" ca="1" si="119"/>
        <v>0.12338727612433893</v>
      </c>
    </row>
    <row r="7428" spans="6:7" x14ac:dyDescent="0.35">
      <c r="F7428">
        <v>7423</v>
      </c>
      <c r="G7428" s="102">
        <f t="shared" ca="1" si="119"/>
        <v>-1.469726199478889E-2</v>
      </c>
    </row>
    <row r="7429" spans="6:7" x14ac:dyDescent="0.35">
      <c r="F7429">
        <v>7424</v>
      </c>
      <c r="G7429" s="102">
        <f t="shared" ca="1" si="119"/>
        <v>-2.8127284375840276E-3</v>
      </c>
    </row>
    <row r="7430" spans="6:7" x14ac:dyDescent="0.35">
      <c r="F7430">
        <v>7425</v>
      </c>
      <c r="G7430" s="102">
        <f t="shared" ca="1" si="119"/>
        <v>1.3052762838310993E-2</v>
      </c>
    </row>
    <row r="7431" spans="6:7" x14ac:dyDescent="0.35">
      <c r="F7431">
        <v>7426</v>
      </c>
      <c r="G7431" s="102">
        <f t="shared" ref="G7431:G7494" ca="1" si="120">_xlfn.NORM.INV(RAND(),M$9,M$10)</f>
        <v>-7.214501066631851E-2</v>
      </c>
    </row>
    <row r="7432" spans="6:7" x14ac:dyDescent="0.35">
      <c r="F7432">
        <v>7427</v>
      </c>
      <c r="G7432" s="102">
        <f t="shared" ca="1" si="120"/>
        <v>6.5311978426245518E-2</v>
      </c>
    </row>
    <row r="7433" spans="6:7" x14ac:dyDescent="0.35">
      <c r="F7433">
        <v>7428</v>
      </c>
      <c r="G7433" s="102">
        <f t="shared" ca="1" si="120"/>
        <v>1.2723681355933981E-2</v>
      </c>
    </row>
    <row r="7434" spans="6:7" x14ac:dyDescent="0.35">
      <c r="F7434">
        <v>7429</v>
      </c>
      <c r="G7434" s="102">
        <f t="shared" ca="1" si="120"/>
        <v>-1.4149550715874246E-2</v>
      </c>
    </row>
    <row r="7435" spans="6:7" x14ac:dyDescent="0.35">
      <c r="F7435">
        <v>7430</v>
      </c>
      <c r="G7435" s="102">
        <f t="shared" ca="1" si="120"/>
        <v>-2.8216074240614453E-2</v>
      </c>
    </row>
    <row r="7436" spans="6:7" x14ac:dyDescent="0.35">
      <c r="F7436">
        <v>7431</v>
      </c>
      <c r="G7436" s="102">
        <f t="shared" ca="1" si="120"/>
        <v>-0.12384149986775522</v>
      </c>
    </row>
    <row r="7437" spans="6:7" x14ac:dyDescent="0.35">
      <c r="F7437">
        <v>7432</v>
      </c>
      <c r="G7437" s="102">
        <f t="shared" ca="1" si="120"/>
        <v>5.8042685465228838E-2</v>
      </c>
    </row>
    <row r="7438" spans="6:7" x14ac:dyDescent="0.35">
      <c r="F7438">
        <v>7433</v>
      </c>
      <c r="G7438" s="102">
        <f t="shared" ca="1" si="120"/>
        <v>-2.0365878821423496E-2</v>
      </c>
    </row>
    <row r="7439" spans="6:7" x14ac:dyDescent="0.35">
      <c r="F7439">
        <v>7434</v>
      </c>
      <c r="G7439" s="102">
        <f t="shared" ca="1" si="120"/>
        <v>-3.4411200498228545E-2</v>
      </c>
    </row>
    <row r="7440" spans="6:7" x14ac:dyDescent="0.35">
      <c r="F7440">
        <v>7435</v>
      </c>
      <c r="G7440" s="102">
        <f t="shared" ca="1" si="120"/>
        <v>-5.7298643308677469E-2</v>
      </c>
    </row>
    <row r="7441" spans="6:7" x14ac:dyDescent="0.35">
      <c r="F7441">
        <v>7436</v>
      </c>
      <c r="G7441" s="102">
        <f t="shared" ca="1" si="120"/>
        <v>-3.641180638900518E-2</v>
      </c>
    </row>
    <row r="7442" spans="6:7" x14ac:dyDescent="0.35">
      <c r="F7442">
        <v>7437</v>
      </c>
      <c r="G7442" s="102">
        <f t="shared" ca="1" si="120"/>
        <v>5.1925347805369559E-2</v>
      </c>
    </row>
    <row r="7443" spans="6:7" x14ac:dyDescent="0.35">
      <c r="F7443">
        <v>7438</v>
      </c>
      <c r="G7443" s="102">
        <f t="shared" ca="1" si="120"/>
        <v>-4.9179407662456223E-2</v>
      </c>
    </row>
    <row r="7444" spans="6:7" x14ac:dyDescent="0.35">
      <c r="F7444">
        <v>7439</v>
      </c>
      <c r="G7444" s="102">
        <f t="shared" ca="1" si="120"/>
        <v>1.059683597145324E-2</v>
      </c>
    </row>
    <row r="7445" spans="6:7" x14ac:dyDescent="0.35">
      <c r="F7445">
        <v>7440</v>
      </c>
      <c r="G7445" s="102">
        <f t="shared" ca="1" si="120"/>
        <v>7.835783134476737E-2</v>
      </c>
    </row>
    <row r="7446" spans="6:7" x14ac:dyDescent="0.35">
      <c r="F7446">
        <v>7441</v>
      </c>
      <c r="G7446" s="102">
        <f t="shared" ca="1" si="120"/>
        <v>9.0300723050696346E-3</v>
      </c>
    </row>
    <row r="7447" spans="6:7" x14ac:dyDescent="0.35">
      <c r="F7447">
        <v>7442</v>
      </c>
      <c r="G7447" s="102">
        <f t="shared" ca="1" si="120"/>
        <v>3.4858599543320032E-2</v>
      </c>
    </row>
    <row r="7448" spans="6:7" x14ac:dyDescent="0.35">
      <c r="F7448">
        <v>7443</v>
      </c>
      <c r="G7448" s="102">
        <f t="shared" ca="1" si="120"/>
        <v>-4.4783880717901473E-2</v>
      </c>
    </row>
    <row r="7449" spans="6:7" x14ac:dyDescent="0.35">
      <c r="F7449">
        <v>7444</v>
      </c>
      <c r="G7449" s="102">
        <f t="shared" ca="1" si="120"/>
        <v>6.2931793161171062E-2</v>
      </c>
    </row>
    <row r="7450" spans="6:7" x14ac:dyDescent="0.35">
      <c r="F7450">
        <v>7445</v>
      </c>
      <c r="G7450" s="102">
        <f t="shared" ca="1" si="120"/>
        <v>-1.0037491180552256E-2</v>
      </c>
    </row>
    <row r="7451" spans="6:7" x14ac:dyDescent="0.35">
      <c r="F7451">
        <v>7446</v>
      </c>
      <c r="G7451" s="102">
        <f t="shared" ca="1" si="120"/>
        <v>-5.1980373019157949E-2</v>
      </c>
    </row>
    <row r="7452" spans="6:7" x14ac:dyDescent="0.35">
      <c r="F7452">
        <v>7447</v>
      </c>
      <c r="G7452" s="102">
        <f t="shared" ca="1" si="120"/>
        <v>0.10278984175191674</v>
      </c>
    </row>
    <row r="7453" spans="6:7" x14ac:dyDescent="0.35">
      <c r="F7453">
        <v>7448</v>
      </c>
      <c r="G7453" s="102">
        <f t="shared" ca="1" si="120"/>
        <v>8.4834746365466979E-2</v>
      </c>
    </row>
    <row r="7454" spans="6:7" x14ac:dyDescent="0.35">
      <c r="F7454">
        <v>7449</v>
      </c>
      <c r="G7454" s="102">
        <f t="shared" ca="1" si="120"/>
        <v>-1.77751732735742E-3</v>
      </c>
    </row>
    <row r="7455" spans="6:7" x14ac:dyDescent="0.35">
      <c r="F7455">
        <v>7450</v>
      </c>
      <c r="G7455" s="102">
        <f t="shared" ca="1" si="120"/>
        <v>-1.9964060753407446E-2</v>
      </c>
    </row>
    <row r="7456" spans="6:7" x14ac:dyDescent="0.35">
      <c r="F7456">
        <v>7451</v>
      </c>
      <c r="G7456" s="102">
        <f t="shared" ca="1" si="120"/>
        <v>0.11187453015939365</v>
      </c>
    </row>
    <row r="7457" spans="6:7" x14ac:dyDescent="0.35">
      <c r="F7457">
        <v>7452</v>
      </c>
      <c r="G7457" s="102">
        <f t="shared" ca="1" si="120"/>
        <v>-2.4187996716315538E-2</v>
      </c>
    </row>
    <row r="7458" spans="6:7" x14ac:dyDescent="0.35">
      <c r="F7458">
        <v>7453</v>
      </c>
      <c r="G7458" s="102">
        <f t="shared" ca="1" si="120"/>
        <v>-0.14709617306251918</v>
      </c>
    </row>
    <row r="7459" spans="6:7" x14ac:dyDescent="0.35">
      <c r="F7459">
        <v>7454</v>
      </c>
      <c r="G7459" s="102">
        <f t="shared" ca="1" si="120"/>
        <v>1.08936355024754E-2</v>
      </c>
    </row>
    <row r="7460" spans="6:7" x14ac:dyDescent="0.35">
      <c r="F7460">
        <v>7455</v>
      </c>
      <c r="G7460" s="102">
        <f t="shared" ca="1" si="120"/>
        <v>-1.5280516929028187E-2</v>
      </c>
    </row>
    <row r="7461" spans="6:7" x14ac:dyDescent="0.35">
      <c r="F7461">
        <v>7456</v>
      </c>
      <c r="G7461" s="102">
        <f t="shared" ca="1" si="120"/>
        <v>7.1055189602290611E-2</v>
      </c>
    </row>
    <row r="7462" spans="6:7" x14ac:dyDescent="0.35">
      <c r="F7462">
        <v>7457</v>
      </c>
      <c r="G7462" s="102">
        <f t="shared" ca="1" si="120"/>
        <v>5.0261138307069464E-2</v>
      </c>
    </row>
    <row r="7463" spans="6:7" x14ac:dyDescent="0.35">
      <c r="F7463">
        <v>7458</v>
      </c>
      <c r="G7463" s="102">
        <f t="shared" ca="1" si="120"/>
        <v>-4.7247901683197077E-2</v>
      </c>
    </row>
    <row r="7464" spans="6:7" x14ac:dyDescent="0.35">
      <c r="F7464">
        <v>7459</v>
      </c>
      <c r="G7464" s="102">
        <f t="shared" ca="1" si="120"/>
        <v>-9.2096990226075981E-2</v>
      </c>
    </row>
    <row r="7465" spans="6:7" x14ac:dyDescent="0.35">
      <c r="F7465">
        <v>7460</v>
      </c>
      <c r="G7465" s="102">
        <f t="shared" ca="1" si="120"/>
        <v>-7.6063535056467346E-2</v>
      </c>
    </row>
    <row r="7466" spans="6:7" x14ac:dyDescent="0.35">
      <c r="F7466">
        <v>7461</v>
      </c>
      <c r="G7466" s="102">
        <f t="shared" ca="1" si="120"/>
        <v>5.4110095541252762E-2</v>
      </c>
    </row>
    <row r="7467" spans="6:7" x14ac:dyDescent="0.35">
      <c r="F7467">
        <v>7462</v>
      </c>
      <c r="G7467" s="102">
        <f t="shared" ca="1" si="120"/>
        <v>3.190607422997041E-2</v>
      </c>
    </row>
    <row r="7468" spans="6:7" x14ac:dyDescent="0.35">
      <c r="F7468">
        <v>7463</v>
      </c>
      <c r="G7468" s="102">
        <f t="shared" ca="1" si="120"/>
        <v>-6.7312114599437534E-2</v>
      </c>
    </row>
    <row r="7469" spans="6:7" x14ac:dyDescent="0.35">
      <c r="F7469">
        <v>7464</v>
      </c>
      <c r="G7469" s="102">
        <f t="shared" ca="1" si="120"/>
        <v>-3.6716705076980896E-2</v>
      </c>
    </row>
    <row r="7470" spans="6:7" x14ac:dyDescent="0.35">
      <c r="F7470">
        <v>7465</v>
      </c>
      <c r="G7470" s="102">
        <f t="shared" ca="1" si="120"/>
        <v>-7.3358149771408324E-2</v>
      </c>
    </row>
    <row r="7471" spans="6:7" x14ac:dyDescent="0.35">
      <c r="F7471">
        <v>7466</v>
      </c>
      <c r="G7471" s="102">
        <f t="shared" ca="1" si="120"/>
        <v>2.6289684166670591E-2</v>
      </c>
    </row>
    <row r="7472" spans="6:7" x14ac:dyDescent="0.35">
      <c r="F7472">
        <v>7467</v>
      </c>
      <c r="G7472" s="102">
        <f t="shared" ca="1" si="120"/>
        <v>1.3830096486741803E-2</v>
      </c>
    </row>
    <row r="7473" spans="6:7" x14ac:dyDescent="0.35">
      <c r="F7473">
        <v>7468</v>
      </c>
      <c r="G7473" s="102">
        <f t="shared" ca="1" si="120"/>
        <v>-4.765006883097142E-2</v>
      </c>
    </row>
    <row r="7474" spans="6:7" x14ac:dyDescent="0.35">
      <c r="F7474">
        <v>7469</v>
      </c>
      <c r="G7474" s="102">
        <f t="shared" ca="1" si="120"/>
        <v>-3.4483159352733224E-2</v>
      </c>
    </row>
    <row r="7475" spans="6:7" x14ac:dyDescent="0.35">
      <c r="F7475">
        <v>7470</v>
      </c>
      <c r="G7475" s="102">
        <f t="shared" ca="1" si="120"/>
        <v>1.2371826660085794E-2</v>
      </c>
    </row>
    <row r="7476" spans="6:7" x14ac:dyDescent="0.35">
      <c r="F7476">
        <v>7471</v>
      </c>
      <c r="G7476" s="102">
        <f t="shared" ca="1" si="120"/>
        <v>3.3191288789860829E-3</v>
      </c>
    </row>
    <row r="7477" spans="6:7" x14ac:dyDescent="0.35">
      <c r="F7477">
        <v>7472</v>
      </c>
      <c r="G7477" s="102">
        <f t="shared" ca="1" si="120"/>
        <v>-8.1679007958096336E-2</v>
      </c>
    </row>
    <row r="7478" spans="6:7" x14ac:dyDescent="0.35">
      <c r="F7478">
        <v>7473</v>
      </c>
      <c r="G7478" s="102">
        <f t="shared" ca="1" si="120"/>
        <v>9.2048827627866175E-2</v>
      </c>
    </row>
    <row r="7479" spans="6:7" x14ac:dyDescent="0.35">
      <c r="F7479">
        <v>7474</v>
      </c>
      <c r="G7479" s="102">
        <f t="shared" ca="1" si="120"/>
        <v>3.42547584811662E-2</v>
      </c>
    </row>
    <row r="7480" spans="6:7" x14ac:dyDescent="0.35">
      <c r="F7480">
        <v>7475</v>
      </c>
      <c r="G7480" s="102">
        <f t="shared" ca="1" si="120"/>
        <v>7.676438911444422E-2</v>
      </c>
    </row>
    <row r="7481" spans="6:7" x14ac:dyDescent="0.35">
      <c r="F7481">
        <v>7476</v>
      </c>
      <c r="G7481" s="102">
        <f t="shared" ca="1" si="120"/>
        <v>-0.15261069519635459</v>
      </c>
    </row>
    <row r="7482" spans="6:7" x14ac:dyDescent="0.35">
      <c r="F7482">
        <v>7477</v>
      </c>
      <c r="G7482" s="102">
        <f t="shared" ca="1" si="120"/>
        <v>3.0654360877165675E-2</v>
      </c>
    </row>
    <row r="7483" spans="6:7" x14ac:dyDescent="0.35">
      <c r="F7483">
        <v>7478</v>
      </c>
      <c r="G7483" s="102">
        <f t="shared" ca="1" si="120"/>
        <v>-3.7526367131332214E-2</v>
      </c>
    </row>
    <row r="7484" spans="6:7" x14ac:dyDescent="0.35">
      <c r="F7484">
        <v>7479</v>
      </c>
      <c r="G7484" s="102">
        <f t="shared" ca="1" si="120"/>
        <v>7.1914527495272218E-2</v>
      </c>
    </row>
    <row r="7485" spans="6:7" x14ac:dyDescent="0.35">
      <c r="F7485">
        <v>7480</v>
      </c>
      <c r="G7485" s="102">
        <f t="shared" ca="1" si="120"/>
        <v>-6.0086455307500883E-2</v>
      </c>
    </row>
    <row r="7486" spans="6:7" x14ac:dyDescent="0.35">
      <c r="F7486">
        <v>7481</v>
      </c>
      <c r="G7486" s="102">
        <f t="shared" ca="1" si="120"/>
        <v>8.0359079208351836E-2</v>
      </c>
    </row>
    <row r="7487" spans="6:7" x14ac:dyDescent="0.35">
      <c r="F7487">
        <v>7482</v>
      </c>
      <c r="G7487" s="102">
        <f t="shared" ca="1" si="120"/>
        <v>0.1093778192892572</v>
      </c>
    </row>
    <row r="7488" spans="6:7" x14ac:dyDescent="0.35">
      <c r="F7488">
        <v>7483</v>
      </c>
      <c r="G7488" s="102">
        <f t="shared" ca="1" si="120"/>
        <v>6.1000014324213508E-2</v>
      </c>
    </row>
    <row r="7489" spans="6:7" x14ac:dyDescent="0.35">
      <c r="F7489">
        <v>7484</v>
      </c>
      <c r="G7489" s="102">
        <f t="shared" ca="1" si="120"/>
        <v>-7.8351414093802696E-3</v>
      </c>
    </row>
    <row r="7490" spans="6:7" x14ac:dyDescent="0.35">
      <c r="F7490">
        <v>7485</v>
      </c>
      <c r="G7490" s="102">
        <f t="shared" ca="1" si="120"/>
        <v>-0.14233639789625757</v>
      </c>
    </row>
    <row r="7491" spans="6:7" x14ac:dyDescent="0.35">
      <c r="F7491">
        <v>7486</v>
      </c>
      <c r="G7491" s="102">
        <f t="shared" ca="1" si="120"/>
        <v>-8.4024410044404946E-2</v>
      </c>
    </row>
    <row r="7492" spans="6:7" x14ac:dyDescent="0.35">
      <c r="F7492">
        <v>7487</v>
      </c>
      <c r="G7492" s="102">
        <f t="shared" ca="1" si="120"/>
        <v>-6.091704444135887E-2</v>
      </c>
    </row>
    <row r="7493" spans="6:7" x14ac:dyDescent="0.35">
      <c r="F7493">
        <v>7488</v>
      </c>
      <c r="G7493" s="102">
        <f t="shared" ca="1" si="120"/>
        <v>-0.12050854006033107</v>
      </c>
    </row>
    <row r="7494" spans="6:7" x14ac:dyDescent="0.35">
      <c r="F7494">
        <v>7489</v>
      </c>
      <c r="G7494" s="102">
        <f t="shared" ca="1" si="120"/>
        <v>-8.7348926839300484E-2</v>
      </c>
    </row>
    <row r="7495" spans="6:7" x14ac:dyDescent="0.35">
      <c r="F7495">
        <v>7490</v>
      </c>
      <c r="G7495" s="102">
        <f t="shared" ref="G7495:G7558" ca="1" si="121">_xlfn.NORM.INV(RAND(),M$9,M$10)</f>
        <v>-8.5600169832694792E-2</v>
      </c>
    </row>
    <row r="7496" spans="6:7" x14ac:dyDescent="0.35">
      <c r="F7496">
        <v>7491</v>
      </c>
      <c r="G7496" s="102">
        <f t="shared" ca="1" si="121"/>
        <v>-1.4504719323915538E-3</v>
      </c>
    </row>
    <row r="7497" spans="6:7" x14ac:dyDescent="0.35">
      <c r="F7497">
        <v>7492</v>
      </c>
      <c r="G7497" s="102">
        <f t="shared" ca="1" si="121"/>
        <v>-5.1343964602674791E-2</v>
      </c>
    </row>
    <row r="7498" spans="6:7" x14ac:dyDescent="0.35">
      <c r="F7498">
        <v>7493</v>
      </c>
      <c r="G7498" s="102">
        <f t="shared" ca="1" si="121"/>
        <v>-8.1665199763299428E-3</v>
      </c>
    </row>
    <row r="7499" spans="6:7" x14ac:dyDescent="0.35">
      <c r="F7499">
        <v>7494</v>
      </c>
      <c r="G7499" s="102">
        <f t="shared" ca="1" si="121"/>
        <v>8.8164902227880371E-2</v>
      </c>
    </row>
    <row r="7500" spans="6:7" x14ac:dyDescent="0.35">
      <c r="F7500">
        <v>7495</v>
      </c>
      <c r="G7500" s="102">
        <f t="shared" ca="1" si="121"/>
        <v>-3.0490038665056493E-2</v>
      </c>
    </row>
    <row r="7501" spans="6:7" x14ac:dyDescent="0.35">
      <c r="F7501">
        <v>7496</v>
      </c>
      <c r="G7501" s="102">
        <f t="shared" ca="1" si="121"/>
        <v>4.1972764472947732E-2</v>
      </c>
    </row>
    <row r="7502" spans="6:7" x14ac:dyDescent="0.35">
      <c r="F7502">
        <v>7497</v>
      </c>
      <c r="G7502" s="102">
        <f t="shared" ca="1" si="121"/>
        <v>7.3649079922305807E-2</v>
      </c>
    </row>
    <row r="7503" spans="6:7" x14ac:dyDescent="0.35">
      <c r="F7503">
        <v>7498</v>
      </c>
      <c r="G7503" s="102">
        <f t="shared" ca="1" si="121"/>
        <v>8.9149303623481141E-2</v>
      </c>
    </row>
    <row r="7504" spans="6:7" x14ac:dyDescent="0.35">
      <c r="F7504">
        <v>7499</v>
      </c>
      <c r="G7504" s="102">
        <f t="shared" ca="1" si="121"/>
        <v>0.1106225419040183</v>
      </c>
    </row>
    <row r="7505" spans="6:7" x14ac:dyDescent="0.35">
      <c r="F7505">
        <v>7500</v>
      </c>
      <c r="G7505" s="102">
        <f t="shared" ca="1" si="121"/>
        <v>-0.14667342169475164</v>
      </c>
    </row>
    <row r="7506" spans="6:7" x14ac:dyDescent="0.35">
      <c r="F7506">
        <v>7501</v>
      </c>
      <c r="G7506" s="102">
        <f t="shared" ca="1" si="121"/>
        <v>4.8074857407799251E-2</v>
      </c>
    </row>
    <row r="7507" spans="6:7" x14ac:dyDescent="0.35">
      <c r="F7507">
        <v>7502</v>
      </c>
      <c r="G7507" s="102">
        <f t="shared" ca="1" si="121"/>
        <v>6.8019500435348254E-2</v>
      </c>
    </row>
    <row r="7508" spans="6:7" x14ac:dyDescent="0.35">
      <c r="F7508">
        <v>7503</v>
      </c>
      <c r="G7508" s="102">
        <f t="shared" ca="1" si="121"/>
        <v>6.2507262374312256E-2</v>
      </c>
    </row>
    <row r="7509" spans="6:7" x14ac:dyDescent="0.35">
      <c r="F7509">
        <v>7504</v>
      </c>
      <c r="G7509" s="102">
        <f t="shared" ca="1" si="121"/>
        <v>-1.2485508582902254E-2</v>
      </c>
    </row>
    <row r="7510" spans="6:7" x14ac:dyDescent="0.35">
      <c r="F7510">
        <v>7505</v>
      </c>
      <c r="G7510" s="102">
        <f t="shared" ca="1" si="121"/>
        <v>5.8363133567513312E-2</v>
      </c>
    </row>
    <row r="7511" spans="6:7" x14ac:dyDescent="0.35">
      <c r="F7511">
        <v>7506</v>
      </c>
      <c r="G7511" s="102">
        <f t="shared" ca="1" si="121"/>
        <v>-1.0846253738661053E-2</v>
      </c>
    </row>
    <row r="7512" spans="6:7" x14ac:dyDescent="0.35">
      <c r="F7512">
        <v>7507</v>
      </c>
      <c r="G7512" s="102">
        <f t="shared" ca="1" si="121"/>
        <v>2.5494528165656938E-2</v>
      </c>
    </row>
    <row r="7513" spans="6:7" x14ac:dyDescent="0.35">
      <c r="F7513">
        <v>7508</v>
      </c>
      <c r="G7513" s="102">
        <f t="shared" ca="1" si="121"/>
        <v>-1.0341322920889356E-3</v>
      </c>
    </row>
    <row r="7514" spans="6:7" x14ac:dyDescent="0.35">
      <c r="F7514">
        <v>7509</v>
      </c>
      <c r="G7514" s="102">
        <f t="shared" ca="1" si="121"/>
        <v>5.0057468222712051E-2</v>
      </c>
    </row>
    <row r="7515" spans="6:7" x14ac:dyDescent="0.35">
      <c r="F7515">
        <v>7510</v>
      </c>
      <c r="G7515" s="102">
        <f t="shared" ca="1" si="121"/>
        <v>-4.1907595528792654E-2</v>
      </c>
    </row>
    <row r="7516" spans="6:7" x14ac:dyDescent="0.35">
      <c r="F7516">
        <v>7511</v>
      </c>
      <c r="G7516" s="102">
        <f t="shared" ca="1" si="121"/>
        <v>4.760264980980547E-2</v>
      </c>
    </row>
    <row r="7517" spans="6:7" x14ac:dyDescent="0.35">
      <c r="F7517">
        <v>7512</v>
      </c>
      <c r="G7517" s="102">
        <f t="shared" ca="1" si="121"/>
        <v>6.6384748067447763E-2</v>
      </c>
    </row>
    <row r="7518" spans="6:7" x14ac:dyDescent="0.35">
      <c r="F7518">
        <v>7513</v>
      </c>
      <c r="G7518" s="102">
        <f t="shared" ca="1" si="121"/>
        <v>-6.9964279176500055E-2</v>
      </c>
    </row>
    <row r="7519" spans="6:7" x14ac:dyDescent="0.35">
      <c r="F7519">
        <v>7514</v>
      </c>
      <c r="G7519" s="102">
        <f t="shared" ca="1" si="121"/>
        <v>1.9146817675785466E-2</v>
      </c>
    </row>
    <row r="7520" spans="6:7" x14ac:dyDescent="0.35">
      <c r="F7520">
        <v>7515</v>
      </c>
      <c r="G7520" s="102">
        <f t="shared" ca="1" si="121"/>
        <v>2.9572755088838765E-2</v>
      </c>
    </row>
    <row r="7521" spans="6:7" x14ac:dyDescent="0.35">
      <c r="F7521">
        <v>7516</v>
      </c>
      <c r="G7521" s="102">
        <f t="shared" ca="1" si="121"/>
        <v>-4.1999605389528238E-2</v>
      </c>
    </row>
    <row r="7522" spans="6:7" x14ac:dyDescent="0.35">
      <c r="F7522">
        <v>7517</v>
      </c>
      <c r="G7522" s="102">
        <f t="shared" ca="1" si="121"/>
        <v>-1.5514011427818147E-2</v>
      </c>
    </row>
    <row r="7523" spans="6:7" x14ac:dyDescent="0.35">
      <c r="F7523">
        <v>7518</v>
      </c>
      <c r="G7523" s="102">
        <f t="shared" ca="1" si="121"/>
        <v>6.3401941968458372E-2</v>
      </c>
    </row>
    <row r="7524" spans="6:7" x14ac:dyDescent="0.35">
      <c r="F7524">
        <v>7519</v>
      </c>
      <c r="G7524" s="102">
        <f t="shared" ca="1" si="121"/>
        <v>5.0820178643672484E-2</v>
      </c>
    </row>
    <row r="7525" spans="6:7" x14ac:dyDescent="0.35">
      <c r="F7525">
        <v>7520</v>
      </c>
      <c r="G7525" s="102">
        <f t="shared" ca="1" si="121"/>
        <v>-1.1667123843713524E-2</v>
      </c>
    </row>
    <row r="7526" spans="6:7" x14ac:dyDescent="0.35">
      <c r="F7526">
        <v>7521</v>
      </c>
      <c r="G7526" s="102">
        <f t="shared" ca="1" si="121"/>
        <v>-0.18119685372409697</v>
      </c>
    </row>
    <row r="7527" spans="6:7" x14ac:dyDescent="0.35">
      <c r="F7527">
        <v>7522</v>
      </c>
      <c r="G7527" s="102">
        <f t="shared" ca="1" si="121"/>
        <v>1.2955887427238952E-2</v>
      </c>
    </row>
    <row r="7528" spans="6:7" x14ac:dyDescent="0.35">
      <c r="F7528">
        <v>7523</v>
      </c>
      <c r="G7528" s="102">
        <f t="shared" ca="1" si="121"/>
        <v>7.4580209059810151E-3</v>
      </c>
    </row>
    <row r="7529" spans="6:7" x14ac:dyDescent="0.35">
      <c r="F7529">
        <v>7524</v>
      </c>
      <c r="G7529" s="102">
        <f t="shared" ca="1" si="121"/>
        <v>6.3472233510782957E-3</v>
      </c>
    </row>
    <row r="7530" spans="6:7" x14ac:dyDescent="0.35">
      <c r="F7530">
        <v>7525</v>
      </c>
      <c r="G7530" s="102">
        <f t="shared" ca="1" si="121"/>
        <v>-3.1692653881975882E-2</v>
      </c>
    </row>
    <row r="7531" spans="6:7" x14ac:dyDescent="0.35">
      <c r="F7531">
        <v>7526</v>
      </c>
      <c r="G7531" s="102">
        <f t="shared" ca="1" si="121"/>
        <v>-0.14322621655352019</v>
      </c>
    </row>
    <row r="7532" spans="6:7" x14ac:dyDescent="0.35">
      <c r="F7532">
        <v>7527</v>
      </c>
      <c r="G7532" s="102">
        <f t="shared" ca="1" si="121"/>
        <v>7.5348850298818645E-2</v>
      </c>
    </row>
    <row r="7533" spans="6:7" x14ac:dyDescent="0.35">
      <c r="F7533">
        <v>7528</v>
      </c>
      <c r="G7533" s="102">
        <f t="shared" ca="1" si="121"/>
        <v>-8.9309000395222313E-3</v>
      </c>
    </row>
    <row r="7534" spans="6:7" x14ac:dyDescent="0.35">
      <c r="F7534">
        <v>7529</v>
      </c>
      <c r="G7534" s="102">
        <f t="shared" ca="1" si="121"/>
        <v>-1.8997962826451205E-3</v>
      </c>
    </row>
    <row r="7535" spans="6:7" x14ac:dyDescent="0.35">
      <c r="F7535">
        <v>7530</v>
      </c>
      <c r="G7535" s="102">
        <f t="shared" ca="1" si="121"/>
        <v>-0.10453565893003415</v>
      </c>
    </row>
    <row r="7536" spans="6:7" x14ac:dyDescent="0.35">
      <c r="F7536">
        <v>7531</v>
      </c>
      <c r="G7536" s="102">
        <f t="shared" ca="1" si="121"/>
        <v>-8.3532340495359195E-2</v>
      </c>
    </row>
    <row r="7537" spans="6:7" x14ac:dyDescent="0.35">
      <c r="F7537">
        <v>7532</v>
      </c>
      <c r="G7537" s="102">
        <f t="shared" ca="1" si="121"/>
        <v>7.6663628085208824E-2</v>
      </c>
    </row>
    <row r="7538" spans="6:7" x14ac:dyDescent="0.35">
      <c r="F7538">
        <v>7533</v>
      </c>
      <c r="G7538" s="102">
        <f t="shared" ca="1" si="121"/>
        <v>-0.12822729201463504</v>
      </c>
    </row>
    <row r="7539" spans="6:7" x14ac:dyDescent="0.35">
      <c r="F7539">
        <v>7534</v>
      </c>
      <c r="G7539" s="102">
        <f t="shared" ca="1" si="121"/>
        <v>-4.2648933753322141E-2</v>
      </c>
    </row>
    <row r="7540" spans="6:7" x14ac:dyDescent="0.35">
      <c r="F7540">
        <v>7535</v>
      </c>
      <c r="G7540" s="102">
        <f t="shared" ca="1" si="121"/>
        <v>-1.8273542468036218E-2</v>
      </c>
    </row>
    <row r="7541" spans="6:7" x14ac:dyDescent="0.35">
      <c r="F7541">
        <v>7536</v>
      </c>
      <c r="G7541" s="102">
        <f t="shared" ca="1" si="121"/>
        <v>-8.0114682544309111E-3</v>
      </c>
    </row>
    <row r="7542" spans="6:7" x14ac:dyDescent="0.35">
      <c r="F7542">
        <v>7537</v>
      </c>
      <c r="G7542" s="102">
        <f t="shared" ca="1" si="121"/>
        <v>4.5074285090732621E-2</v>
      </c>
    </row>
    <row r="7543" spans="6:7" x14ac:dyDescent="0.35">
      <c r="F7543">
        <v>7538</v>
      </c>
      <c r="G7543" s="102">
        <f t="shared" ca="1" si="121"/>
        <v>-3.2593415110790482E-2</v>
      </c>
    </row>
    <row r="7544" spans="6:7" x14ac:dyDescent="0.35">
      <c r="F7544">
        <v>7539</v>
      </c>
      <c r="G7544" s="102">
        <f t="shared" ca="1" si="121"/>
        <v>-4.0786507798555069E-2</v>
      </c>
    </row>
    <row r="7545" spans="6:7" x14ac:dyDescent="0.35">
      <c r="F7545">
        <v>7540</v>
      </c>
      <c r="G7545" s="102">
        <f t="shared" ca="1" si="121"/>
        <v>8.6729552703131541E-2</v>
      </c>
    </row>
    <row r="7546" spans="6:7" x14ac:dyDescent="0.35">
      <c r="F7546">
        <v>7541</v>
      </c>
      <c r="G7546" s="102">
        <f t="shared" ca="1" si="121"/>
        <v>5.0222560766632479E-2</v>
      </c>
    </row>
    <row r="7547" spans="6:7" x14ac:dyDescent="0.35">
      <c r="F7547">
        <v>7542</v>
      </c>
      <c r="G7547" s="102">
        <f t="shared" ca="1" si="121"/>
        <v>3.9051785304938594E-2</v>
      </c>
    </row>
    <row r="7548" spans="6:7" x14ac:dyDescent="0.35">
      <c r="F7548">
        <v>7543</v>
      </c>
      <c r="G7548" s="102">
        <f t="shared" ca="1" si="121"/>
        <v>5.6728293878132441E-2</v>
      </c>
    </row>
    <row r="7549" spans="6:7" x14ac:dyDescent="0.35">
      <c r="F7549">
        <v>7544</v>
      </c>
      <c r="G7549" s="102">
        <f t="shared" ca="1" si="121"/>
        <v>-9.348378931204808E-2</v>
      </c>
    </row>
    <row r="7550" spans="6:7" x14ac:dyDescent="0.35">
      <c r="F7550">
        <v>7545</v>
      </c>
      <c r="G7550" s="102">
        <f t="shared" ca="1" si="121"/>
        <v>-4.2806883707665819E-2</v>
      </c>
    </row>
    <row r="7551" spans="6:7" x14ac:dyDescent="0.35">
      <c r="F7551">
        <v>7546</v>
      </c>
      <c r="G7551" s="102">
        <f t="shared" ca="1" si="121"/>
        <v>0.10048071764480165</v>
      </c>
    </row>
    <row r="7552" spans="6:7" x14ac:dyDescent="0.35">
      <c r="F7552">
        <v>7547</v>
      </c>
      <c r="G7552" s="102">
        <f t="shared" ca="1" si="121"/>
        <v>9.4744283193101825E-2</v>
      </c>
    </row>
    <row r="7553" spans="6:7" x14ac:dyDescent="0.35">
      <c r="F7553">
        <v>7548</v>
      </c>
      <c r="G7553" s="102">
        <f t="shared" ca="1" si="121"/>
        <v>-6.0746803965351384E-2</v>
      </c>
    </row>
    <row r="7554" spans="6:7" x14ac:dyDescent="0.35">
      <c r="F7554">
        <v>7549</v>
      </c>
      <c r="G7554" s="102">
        <f t="shared" ca="1" si="121"/>
        <v>-4.8921294527330197E-2</v>
      </c>
    </row>
    <row r="7555" spans="6:7" x14ac:dyDescent="0.35">
      <c r="F7555">
        <v>7550</v>
      </c>
      <c r="G7555" s="102">
        <f t="shared" ca="1" si="121"/>
        <v>3.4732610306203796E-2</v>
      </c>
    </row>
    <row r="7556" spans="6:7" x14ac:dyDescent="0.35">
      <c r="F7556">
        <v>7551</v>
      </c>
      <c r="G7556" s="102">
        <f t="shared" ca="1" si="121"/>
        <v>3.5116537431548633E-2</v>
      </c>
    </row>
    <row r="7557" spans="6:7" x14ac:dyDescent="0.35">
      <c r="F7557">
        <v>7552</v>
      </c>
      <c r="G7557" s="102">
        <f t="shared" ca="1" si="121"/>
        <v>-5.9857331007442116E-2</v>
      </c>
    </row>
    <row r="7558" spans="6:7" x14ac:dyDescent="0.35">
      <c r="F7558">
        <v>7553</v>
      </c>
      <c r="G7558" s="102">
        <f t="shared" ca="1" si="121"/>
        <v>3.7949626430168384E-3</v>
      </c>
    </row>
    <row r="7559" spans="6:7" x14ac:dyDescent="0.35">
      <c r="F7559">
        <v>7554</v>
      </c>
      <c r="G7559" s="102">
        <f t="shared" ref="G7559:G7622" ca="1" si="122">_xlfn.NORM.INV(RAND(),M$9,M$10)</f>
        <v>-4.7584030375407435E-3</v>
      </c>
    </row>
    <row r="7560" spans="6:7" x14ac:dyDescent="0.35">
      <c r="F7560">
        <v>7555</v>
      </c>
      <c r="G7560" s="102">
        <f t="shared" ca="1" si="122"/>
        <v>5.3556419856863297E-2</v>
      </c>
    </row>
    <row r="7561" spans="6:7" x14ac:dyDescent="0.35">
      <c r="F7561">
        <v>7556</v>
      </c>
      <c r="G7561" s="102">
        <f t="shared" ca="1" si="122"/>
        <v>-1.6078536061426542E-2</v>
      </c>
    </row>
    <row r="7562" spans="6:7" x14ac:dyDescent="0.35">
      <c r="F7562">
        <v>7557</v>
      </c>
      <c r="G7562" s="102">
        <f t="shared" ca="1" si="122"/>
        <v>-2.2790771528995831E-2</v>
      </c>
    </row>
    <row r="7563" spans="6:7" x14ac:dyDescent="0.35">
      <c r="F7563">
        <v>7558</v>
      </c>
      <c r="G7563" s="102">
        <f t="shared" ca="1" si="122"/>
        <v>-2.4163291006854645E-2</v>
      </c>
    </row>
    <row r="7564" spans="6:7" x14ac:dyDescent="0.35">
      <c r="F7564">
        <v>7559</v>
      </c>
      <c r="G7564" s="102">
        <f t="shared" ca="1" si="122"/>
        <v>5.0629319720522939E-2</v>
      </c>
    </row>
    <row r="7565" spans="6:7" x14ac:dyDescent="0.35">
      <c r="F7565">
        <v>7560</v>
      </c>
      <c r="G7565" s="102">
        <f t="shared" ca="1" si="122"/>
        <v>-7.9696893740289321E-2</v>
      </c>
    </row>
    <row r="7566" spans="6:7" x14ac:dyDescent="0.35">
      <c r="F7566">
        <v>7561</v>
      </c>
      <c r="G7566" s="102">
        <f t="shared" ca="1" si="122"/>
        <v>1.9057789779367187E-2</v>
      </c>
    </row>
    <row r="7567" spans="6:7" x14ac:dyDescent="0.35">
      <c r="F7567">
        <v>7562</v>
      </c>
      <c r="G7567" s="102">
        <f t="shared" ca="1" si="122"/>
        <v>6.5287368267554935E-2</v>
      </c>
    </row>
    <row r="7568" spans="6:7" x14ac:dyDescent="0.35">
      <c r="F7568">
        <v>7563</v>
      </c>
      <c r="G7568" s="102">
        <f t="shared" ca="1" si="122"/>
        <v>0.1118034415536474</v>
      </c>
    </row>
    <row r="7569" spans="6:7" x14ac:dyDescent="0.35">
      <c r="F7569">
        <v>7564</v>
      </c>
      <c r="G7569" s="102">
        <f t="shared" ca="1" si="122"/>
        <v>-2.6749100151716922E-2</v>
      </c>
    </row>
    <row r="7570" spans="6:7" x14ac:dyDescent="0.35">
      <c r="F7570">
        <v>7565</v>
      </c>
      <c r="G7570" s="102">
        <f t="shared" ca="1" si="122"/>
        <v>1.3519408184068753E-2</v>
      </c>
    </row>
    <row r="7571" spans="6:7" x14ac:dyDescent="0.35">
      <c r="F7571">
        <v>7566</v>
      </c>
      <c r="G7571" s="102">
        <f t="shared" ca="1" si="122"/>
        <v>2.522462390227061E-2</v>
      </c>
    </row>
    <row r="7572" spans="6:7" x14ac:dyDescent="0.35">
      <c r="F7572">
        <v>7567</v>
      </c>
      <c r="G7572" s="102">
        <f t="shared" ca="1" si="122"/>
        <v>0.12101054207846916</v>
      </c>
    </row>
    <row r="7573" spans="6:7" x14ac:dyDescent="0.35">
      <c r="F7573">
        <v>7568</v>
      </c>
      <c r="G7573" s="102">
        <f t="shared" ca="1" si="122"/>
        <v>-6.8973689739876359E-2</v>
      </c>
    </row>
    <row r="7574" spans="6:7" x14ac:dyDescent="0.35">
      <c r="F7574">
        <v>7569</v>
      </c>
      <c r="G7574" s="102">
        <f t="shared" ca="1" si="122"/>
        <v>-4.2989586486878908E-2</v>
      </c>
    </row>
    <row r="7575" spans="6:7" x14ac:dyDescent="0.35">
      <c r="F7575">
        <v>7570</v>
      </c>
      <c r="G7575" s="102">
        <f t="shared" ca="1" si="122"/>
        <v>4.5068963088204655E-2</v>
      </c>
    </row>
    <row r="7576" spans="6:7" x14ac:dyDescent="0.35">
      <c r="F7576">
        <v>7571</v>
      </c>
      <c r="G7576" s="102">
        <f t="shared" ca="1" si="122"/>
        <v>-6.218707126486217E-2</v>
      </c>
    </row>
    <row r="7577" spans="6:7" x14ac:dyDescent="0.35">
      <c r="F7577">
        <v>7572</v>
      </c>
      <c r="G7577" s="102">
        <f t="shared" ca="1" si="122"/>
        <v>-8.0467800206424758E-2</v>
      </c>
    </row>
    <row r="7578" spans="6:7" x14ac:dyDescent="0.35">
      <c r="F7578">
        <v>7573</v>
      </c>
      <c r="G7578" s="102">
        <f t="shared" ca="1" si="122"/>
        <v>-5.7652991709780693E-2</v>
      </c>
    </row>
    <row r="7579" spans="6:7" x14ac:dyDescent="0.35">
      <c r="F7579">
        <v>7574</v>
      </c>
      <c r="G7579" s="102">
        <f t="shared" ca="1" si="122"/>
        <v>-3.3173373024964162E-2</v>
      </c>
    </row>
    <row r="7580" spans="6:7" x14ac:dyDescent="0.35">
      <c r="F7580">
        <v>7575</v>
      </c>
      <c r="G7580" s="102">
        <f t="shared" ca="1" si="122"/>
        <v>6.8903818154887261E-2</v>
      </c>
    </row>
    <row r="7581" spans="6:7" x14ac:dyDescent="0.35">
      <c r="F7581">
        <v>7576</v>
      </c>
      <c r="G7581" s="102">
        <f t="shared" ca="1" si="122"/>
        <v>5.3037739367975453E-3</v>
      </c>
    </row>
    <row r="7582" spans="6:7" x14ac:dyDescent="0.35">
      <c r="F7582">
        <v>7577</v>
      </c>
      <c r="G7582" s="102">
        <f t="shared" ca="1" si="122"/>
        <v>-4.2125461392841221E-2</v>
      </c>
    </row>
    <row r="7583" spans="6:7" x14ac:dyDescent="0.35">
      <c r="F7583">
        <v>7578</v>
      </c>
      <c r="G7583" s="102">
        <f t="shared" ca="1" si="122"/>
        <v>6.1470770962712036E-3</v>
      </c>
    </row>
    <row r="7584" spans="6:7" x14ac:dyDescent="0.35">
      <c r="F7584">
        <v>7579</v>
      </c>
      <c r="G7584" s="102">
        <f t="shared" ca="1" si="122"/>
        <v>-8.9148685048034988E-3</v>
      </c>
    </row>
    <row r="7585" spans="6:7" x14ac:dyDescent="0.35">
      <c r="F7585">
        <v>7580</v>
      </c>
      <c r="G7585" s="102">
        <f t="shared" ca="1" si="122"/>
        <v>5.3132318459269384E-2</v>
      </c>
    </row>
    <row r="7586" spans="6:7" x14ac:dyDescent="0.35">
      <c r="F7586">
        <v>7581</v>
      </c>
      <c r="G7586" s="102">
        <f t="shared" ca="1" si="122"/>
        <v>-5.5329694580405334E-2</v>
      </c>
    </row>
    <row r="7587" spans="6:7" x14ac:dyDescent="0.35">
      <c r="F7587">
        <v>7582</v>
      </c>
      <c r="G7587" s="102">
        <f t="shared" ca="1" si="122"/>
        <v>5.1209279105144584E-2</v>
      </c>
    </row>
    <row r="7588" spans="6:7" x14ac:dyDescent="0.35">
      <c r="F7588">
        <v>7583</v>
      </c>
      <c r="G7588" s="102">
        <f t="shared" ca="1" si="122"/>
        <v>2.3760777091675657E-2</v>
      </c>
    </row>
    <row r="7589" spans="6:7" x14ac:dyDescent="0.35">
      <c r="F7589">
        <v>7584</v>
      </c>
      <c r="G7589" s="102">
        <f t="shared" ca="1" si="122"/>
        <v>6.483710834541094E-2</v>
      </c>
    </row>
    <row r="7590" spans="6:7" x14ac:dyDescent="0.35">
      <c r="F7590">
        <v>7585</v>
      </c>
      <c r="G7590" s="102">
        <f t="shared" ca="1" si="122"/>
        <v>5.4860439194421143E-2</v>
      </c>
    </row>
    <row r="7591" spans="6:7" x14ac:dyDescent="0.35">
      <c r="F7591">
        <v>7586</v>
      </c>
      <c r="G7591" s="102">
        <f t="shared" ca="1" si="122"/>
        <v>-0.11366924611806734</v>
      </c>
    </row>
    <row r="7592" spans="6:7" x14ac:dyDescent="0.35">
      <c r="F7592">
        <v>7587</v>
      </c>
      <c r="G7592" s="102">
        <f t="shared" ca="1" si="122"/>
        <v>5.4798101134501162E-2</v>
      </c>
    </row>
    <row r="7593" spans="6:7" x14ac:dyDescent="0.35">
      <c r="F7593">
        <v>7588</v>
      </c>
      <c r="G7593" s="102">
        <f t="shared" ca="1" si="122"/>
        <v>-5.7958316690099931E-2</v>
      </c>
    </row>
    <row r="7594" spans="6:7" x14ac:dyDescent="0.35">
      <c r="F7594">
        <v>7589</v>
      </c>
      <c r="G7594" s="102">
        <f t="shared" ca="1" si="122"/>
        <v>-0.10338683053322302</v>
      </c>
    </row>
    <row r="7595" spans="6:7" x14ac:dyDescent="0.35">
      <c r="F7595">
        <v>7590</v>
      </c>
      <c r="G7595" s="102">
        <f t="shared" ca="1" si="122"/>
        <v>1.6621912286819078E-2</v>
      </c>
    </row>
    <row r="7596" spans="6:7" x14ac:dyDescent="0.35">
      <c r="F7596">
        <v>7591</v>
      </c>
      <c r="G7596" s="102">
        <f t="shared" ca="1" si="122"/>
        <v>-3.49873307757491E-3</v>
      </c>
    </row>
    <row r="7597" spans="6:7" x14ac:dyDescent="0.35">
      <c r="F7597">
        <v>7592</v>
      </c>
      <c r="G7597" s="102">
        <f t="shared" ca="1" si="122"/>
        <v>-1.7497155616751268E-3</v>
      </c>
    </row>
    <row r="7598" spans="6:7" x14ac:dyDescent="0.35">
      <c r="F7598">
        <v>7593</v>
      </c>
      <c r="G7598" s="102">
        <f t="shared" ca="1" si="122"/>
        <v>-1.3337367313556177E-2</v>
      </c>
    </row>
    <row r="7599" spans="6:7" x14ac:dyDescent="0.35">
      <c r="F7599">
        <v>7594</v>
      </c>
      <c r="G7599" s="102">
        <f t="shared" ca="1" si="122"/>
        <v>5.4830196117466715E-2</v>
      </c>
    </row>
    <row r="7600" spans="6:7" x14ac:dyDescent="0.35">
      <c r="F7600">
        <v>7595</v>
      </c>
      <c r="G7600" s="102">
        <f t="shared" ca="1" si="122"/>
        <v>6.8627839134504948E-3</v>
      </c>
    </row>
    <row r="7601" spans="6:7" x14ac:dyDescent="0.35">
      <c r="F7601">
        <v>7596</v>
      </c>
      <c r="G7601" s="102">
        <f t="shared" ca="1" si="122"/>
        <v>-0.11087259553707174</v>
      </c>
    </row>
    <row r="7602" spans="6:7" x14ac:dyDescent="0.35">
      <c r="F7602">
        <v>7597</v>
      </c>
      <c r="G7602" s="102">
        <f t="shared" ca="1" si="122"/>
        <v>-8.0691566345495847E-2</v>
      </c>
    </row>
    <row r="7603" spans="6:7" x14ac:dyDescent="0.35">
      <c r="F7603">
        <v>7598</v>
      </c>
      <c r="G7603" s="102">
        <f t="shared" ca="1" si="122"/>
        <v>3.0931735244439946E-2</v>
      </c>
    </row>
    <row r="7604" spans="6:7" x14ac:dyDescent="0.35">
      <c r="F7604">
        <v>7599</v>
      </c>
      <c r="G7604" s="102">
        <f t="shared" ca="1" si="122"/>
        <v>-5.6021230819732933E-3</v>
      </c>
    </row>
    <row r="7605" spans="6:7" x14ac:dyDescent="0.35">
      <c r="F7605">
        <v>7600</v>
      </c>
      <c r="G7605" s="102">
        <f t="shared" ca="1" si="122"/>
        <v>-6.6159458191256265E-2</v>
      </c>
    </row>
    <row r="7606" spans="6:7" x14ac:dyDescent="0.35">
      <c r="F7606">
        <v>7601</v>
      </c>
      <c r="G7606" s="102">
        <f t="shared" ca="1" si="122"/>
        <v>-1.3041823137470168E-2</v>
      </c>
    </row>
    <row r="7607" spans="6:7" x14ac:dyDescent="0.35">
      <c r="F7607">
        <v>7602</v>
      </c>
      <c r="G7607" s="102">
        <f t="shared" ca="1" si="122"/>
        <v>3.3557278237759183E-2</v>
      </c>
    </row>
    <row r="7608" spans="6:7" x14ac:dyDescent="0.35">
      <c r="F7608">
        <v>7603</v>
      </c>
      <c r="G7608" s="102">
        <f t="shared" ca="1" si="122"/>
        <v>-5.4781200684794279E-2</v>
      </c>
    </row>
    <row r="7609" spans="6:7" x14ac:dyDescent="0.35">
      <c r="F7609">
        <v>7604</v>
      </c>
      <c r="G7609" s="102">
        <f t="shared" ca="1" si="122"/>
        <v>4.9843857678116971E-2</v>
      </c>
    </row>
    <row r="7610" spans="6:7" x14ac:dyDescent="0.35">
      <c r="F7610">
        <v>7605</v>
      </c>
      <c r="G7610" s="102">
        <f t="shared" ca="1" si="122"/>
        <v>9.7981961050707528E-2</v>
      </c>
    </row>
    <row r="7611" spans="6:7" x14ac:dyDescent="0.35">
      <c r="F7611">
        <v>7606</v>
      </c>
      <c r="G7611" s="102">
        <f t="shared" ca="1" si="122"/>
        <v>-5.8674478616868531E-2</v>
      </c>
    </row>
    <row r="7612" spans="6:7" x14ac:dyDescent="0.35">
      <c r="F7612">
        <v>7607</v>
      </c>
      <c r="G7612" s="102">
        <f t="shared" ca="1" si="122"/>
        <v>4.0848696781662308E-2</v>
      </c>
    </row>
    <row r="7613" spans="6:7" x14ac:dyDescent="0.35">
      <c r="F7613">
        <v>7608</v>
      </c>
      <c r="G7613" s="102">
        <f t="shared" ca="1" si="122"/>
        <v>-7.1569936811955214E-3</v>
      </c>
    </row>
    <row r="7614" spans="6:7" x14ac:dyDescent="0.35">
      <c r="F7614">
        <v>7609</v>
      </c>
      <c r="G7614" s="102">
        <f t="shared" ca="1" si="122"/>
        <v>-2.9503533161677708E-2</v>
      </c>
    </row>
    <row r="7615" spans="6:7" x14ac:dyDescent="0.35">
      <c r="F7615">
        <v>7610</v>
      </c>
      <c r="G7615" s="102">
        <f t="shared" ca="1" si="122"/>
        <v>-0.22076152932602738</v>
      </c>
    </row>
    <row r="7616" spans="6:7" x14ac:dyDescent="0.35">
      <c r="F7616">
        <v>7611</v>
      </c>
      <c r="G7616" s="102">
        <f t="shared" ca="1" si="122"/>
        <v>-3.9267546744438386E-2</v>
      </c>
    </row>
    <row r="7617" spans="6:7" x14ac:dyDescent="0.35">
      <c r="F7617">
        <v>7612</v>
      </c>
      <c r="G7617" s="102">
        <f t="shared" ca="1" si="122"/>
        <v>-1.6543649448498985E-2</v>
      </c>
    </row>
    <row r="7618" spans="6:7" x14ac:dyDescent="0.35">
      <c r="F7618">
        <v>7613</v>
      </c>
      <c r="G7618" s="102">
        <f t="shared" ca="1" si="122"/>
        <v>-1.549414877144484E-3</v>
      </c>
    </row>
    <row r="7619" spans="6:7" x14ac:dyDescent="0.35">
      <c r="F7619">
        <v>7614</v>
      </c>
      <c r="G7619" s="102">
        <f t="shared" ca="1" si="122"/>
        <v>4.3807027339752044E-2</v>
      </c>
    </row>
    <row r="7620" spans="6:7" x14ac:dyDescent="0.35">
      <c r="F7620">
        <v>7615</v>
      </c>
      <c r="G7620" s="102">
        <f t="shared" ca="1" si="122"/>
        <v>-5.274833682596286E-2</v>
      </c>
    </row>
    <row r="7621" spans="6:7" x14ac:dyDescent="0.35">
      <c r="F7621">
        <v>7616</v>
      </c>
      <c r="G7621" s="102">
        <f t="shared" ca="1" si="122"/>
        <v>-2.5093421779762707E-2</v>
      </c>
    </row>
    <row r="7622" spans="6:7" x14ac:dyDescent="0.35">
      <c r="F7622">
        <v>7617</v>
      </c>
      <c r="G7622" s="102">
        <f t="shared" ca="1" si="122"/>
        <v>-4.3249467901325639E-2</v>
      </c>
    </row>
    <row r="7623" spans="6:7" x14ac:dyDescent="0.35">
      <c r="F7623">
        <v>7618</v>
      </c>
      <c r="G7623" s="102">
        <f t="shared" ref="G7623:G7686" ca="1" si="123">_xlfn.NORM.INV(RAND(),M$9,M$10)</f>
        <v>-7.146733713256416E-2</v>
      </c>
    </row>
    <row r="7624" spans="6:7" x14ac:dyDescent="0.35">
      <c r="F7624">
        <v>7619</v>
      </c>
      <c r="G7624" s="102">
        <f t="shared" ca="1" si="123"/>
        <v>0.10195145983051837</v>
      </c>
    </row>
    <row r="7625" spans="6:7" x14ac:dyDescent="0.35">
      <c r="F7625">
        <v>7620</v>
      </c>
      <c r="G7625" s="102">
        <f t="shared" ca="1" si="123"/>
        <v>-4.2459476919929018E-2</v>
      </c>
    </row>
    <row r="7626" spans="6:7" x14ac:dyDescent="0.35">
      <c r="F7626">
        <v>7621</v>
      </c>
      <c r="G7626" s="102">
        <f t="shared" ca="1" si="123"/>
        <v>-3.1485990535218104E-2</v>
      </c>
    </row>
    <row r="7627" spans="6:7" x14ac:dyDescent="0.35">
      <c r="F7627">
        <v>7622</v>
      </c>
      <c r="G7627" s="102">
        <f t="shared" ca="1" si="123"/>
        <v>-3.5958125414657829E-2</v>
      </c>
    </row>
    <row r="7628" spans="6:7" x14ac:dyDescent="0.35">
      <c r="F7628">
        <v>7623</v>
      </c>
      <c r="G7628" s="102">
        <f t="shared" ca="1" si="123"/>
        <v>0.17014445594390812</v>
      </c>
    </row>
    <row r="7629" spans="6:7" x14ac:dyDescent="0.35">
      <c r="F7629">
        <v>7624</v>
      </c>
      <c r="G7629" s="102">
        <f t="shared" ca="1" si="123"/>
        <v>-4.3394084089451751E-2</v>
      </c>
    </row>
    <row r="7630" spans="6:7" x14ac:dyDescent="0.35">
      <c r="F7630">
        <v>7625</v>
      </c>
      <c r="G7630" s="102">
        <f t="shared" ca="1" si="123"/>
        <v>-7.6560885259081002E-2</v>
      </c>
    </row>
    <row r="7631" spans="6:7" x14ac:dyDescent="0.35">
      <c r="F7631">
        <v>7626</v>
      </c>
      <c r="G7631" s="102">
        <f t="shared" ca="1" si="123"/>
        <v>-1.204489329947326E-3</v>
      </c>
    </row>
    <row r="7632" spans="6:7" x14ac:dyDescent="0.35">
      <c r="F7632">
        <v>7627</v>
      </c>
      <c r="G7632" s="102">
        <f t="shared" ca="1" si="123"/>
        <v>1.9011590520613835E-2</v>
      </c>
    </row>
    <row r="7633" spans="6:7" x14ac:dyDescent="0.35">
      <c r="F7633">
        <v>7628</v>
      </c>
      <c r="G7633" s="102">
        <f t="shared" ca="1" si="123"/>
        <v>-0.12593296254635222</v>
      </c>
    </row>
    <row r="7634" spans="6:7" x14ac:dyDescent="0.35">
      <c r="F7634">
        <v>7629</v>
      </c>
      <c r="G7634" s="102">
        <f t="shared" ca="1" si="123"/>
        <v>-5.1033628872545686E-2</v>
      </c>
    </row>
    <row r="7635" spans="6:7" x14ac:dyDescent="0.35">
      <c r="F7635">
        <v>7630</v>
      </c>
      <c r="G7635" s="102">
        <f t="shared" ca="1" si="123"/>
        <v>-3.1954950209167554E-2</v>
      </c>
    </row>
    <row r="7636" spans="6:7" x14ac:dyDescent="0.35">
      <c r="F7636">
        <v>7631</v>
      </c>
      <c r="G7636" s="102">
        <f t="shared" ca="1" si="123"/>
        <v>-3.9677865078158195E-2</v>
      </c>
    </row>
    <row r="7637" spans="6:7" x14ac:dyDescent="0.35">
      <c r="F7637">
        <v>7632</v>
      </c>
      <c r="G7637" s="102">
        <f t="shared" ca="1" si="123"/>
        <v>-9.5544154592836786E-2</v>
      </c>
    </row>
    <row r="7638" spans="6:7" x14ac:dyDescent="0.35">
      <c r="F7638">
        <v>7633</v>
      </c>
      <c r="G7638" s="102">
        <f t="shared" ca="1" si="123"/>
        <v>-5.9146357377336201E-2</v>
      </c>
    </row>
    <row r="7639" spans="6:7" x14ac:dyDescent="0.35">
      <c r="F7639">
        <v>7634</v>
      </c>
      <c r="G7639" s="102">
        <f t="shared" ca="1" si="123"/>
        <v>-9.272605045471502E-2</v>
      </c>
    </row>
    <row r="7640" spans="6:7" x14ac:dyDescent="0.35">
      <c r="F7640">
        <v>7635</v>
      </c>
      <c r="G7640" s="102">
        <f t="shared" ca="1" si="123"/>
        <v>-8.8197520535908208E-2</v>
      </c>
    </row>
    <row r="7641" spans="6:7" x14ac:dyDescent="0.35">
      <c r="F7641">
        <v>7636</v>
      </c>
      <c r="G7641" s="102">
        <f t="shared" ca="1" si="123"/>
        <v>-2.5093704681415925E-2</v>
      </c>
    </row>
    <row r="7642" spans="6:7" x14ac:dyDescent="0.35">
      <c r="F7642">
        <v>7637</v>
      </c>
      <c r="G7642" s="102">
        <f t="shared" ca="1" si="123"/>
        <v>-3.0201776987096224E-2</v>
      </c>
    </row>
    <row r="7643" spans="6:7" x14ac:dyDescent="0.35">
      <c r="F7643">
        <v>7638</v>
      </c>
      <c r="G7643" s="102">
        <f t="shared" ca="1" si="123"/>
        <v>2.8870194208357267E-2</v>
      </c>
    </row>
    <row r="7644" spans="6:7" x14ac:dyDescent="0.35">
      <c r="F7644">
        <v>7639</v>
      </c>
      <c r="G7644" s="102">
        <f t="shared" ca="1" si="123"/>
        <v>-5.5692123759022244E-2</v>
      </c>
    </row>
    <row r="7645" spans="6:7" x14ac:dyDescent="0.35">
      <c r="F7645">
        <v>7640</v>
      </c>
      <c r="G7645" s="102">
        <f t="shared" ca="1" si="123"/>
        <v>-6.6761721258011775E-2</v>
      </c>
    </row>
    <row r="7646" spans="6:7" x14ac:dyDescent="0.35">
      <c r="F7646">
        <v>7641</v>
      </c>
      <c r="G7646" s="102">
        <f t="shared" ca="1" si="123"/>
        <v>-8.9065928102641537E-2</v>
      </c>
    </row>
    <row r="7647" spans="6:7" x14ac:dyDescent="0.35">
      <c r="F7647">
        <v>7642</v>
      </c>
      <c r="G7647" s="102">
        <f t="shared" ca="1" si="123"/>
        <v>4.079751448814202E-2</v>
      </c>
    </row>
    <row r="7648" spans="6:7" x14ac:dyDescent="0.35">
      <c r="F7648">
        <v>7643</v>
      </c>
      <c r="G7648" s="102">
        <f t="shared" ca="1" si="123"/>
        <v>-2.351927392952434E-2</v>
      </c>
    </row>
    <row r="7649" spans="6:7" x14ac:dyDescent="0.35">
      <c r="F7649">
        <v>7644</v>
      </c>
      <c r="G7649" s="102">
        <f t="shared" ca="1" si="123"/>
        <v>1.5653886018140049E-3</v>
      </c>
    </row>
    <row r="7650" spans="6:7" x14ac:dyDescent="0.35">
      <c r="F7650">
        <v>7645</v>
      </c>
      <c r="G7650" s="102">
        <f t="shared" ca="1" si="123"/>
        <v>-4.8659546308850846E-2</v>
      </c>
    </row>
    <row r="7651" spans="6:7" x14ac:dyDescent="0.35">
      <c r="F7651">
        <v>7646</v>
      </c>
      <c r="G7651" s="102">
        <f t="shared" ca="1" si="123"/>
        <v>-2.5456533246351755E-2</v>
      </c>
    </row>
    <row r="7652" spans="6:7" x14ac:dyDescent="0.35">
      <c r="F7652">
        <v>7647</v>
      </c>
      <c r="G7652" s="102">
        <f t="shared" ca="1" si="123"/>
        <v>8.4683897399910141E-2</v>
      </c>
    </row>
    <row r="7653" spans="6:7" x14ac:dyDescent="0.35">
      <c r="F7653">
        <v>7648</v>
      </c>
      <c r="G7653" s="102">
        <f t="shared" ca="1" si="123"/>
        <v>2.5395227467288346E-2</v>
      </c>
    </row>
    <row r="7654" spans="6:7" x14ac:dyDescent="0.35">
      <c r="F7654">
        <v>7649</v>
      </c>
      <c r="G7654" s="102">
        <f t="shared" ca="1" si="123"/>
        <v>-0.20348294985687093</v>
      </c>
    </row>
    <row r="7655" spans="6:7" x14ac:dyDescent="0.35">
      <c r="F7655">
        <v>7650</v>
      </c>
      <c r="G7655" s="102">
        <f t="shared" ca="1" si="123"/>
        <v>-2.2723904495736132E-2</v>
      </c>
    </row>
    <row r="7656" spans="6:7" x14ac:dyDescent="0.35">
      <c r="F7656">
        <v>7651</v>
      </c>
      <c r="G7656" s="102">
        <f t="shared" ca="1" si="123"/>
        <v>-4.4036355638812474E-2</v>
      </c>
    </row>
    <row r="7657" spans="6:7" x14ac:dyDescent="0.35">
      <c r="F7657">
        <v>7652</v>
      </c>
      <c r="G7657" s="102">
        <f t="shared" ca="1" si="123"/>
        <v>4.3398587620319326E-2</v>
      </c>
    </row>
    <row r="7658" spans="6:7" x14ac:dyDescent="0.35">
      <c r="F7658">
        <v>7653</v>
      </c>
      <c r="G7658" s="102">
        <f t="shared" ca="1" si="123"/>
        <v>-6.1761989727694436E-2</v>
      </c>
    </row>
    <row r="7659" spans="6:7" x14ac:dyDescent="0.35">
      <c r="F7659">
        <v>7654</v>
      </c>
      <c r="G7659" s="102">
        <f t="shared" ca="1" si="123"/>
        <v>2.3729989914042914E-2</v>
      </c>
    </row>
    <row r="7660" spans="6:7" x14ac:dyDescent="0.35">
      <c r="F7660">
        <v>7655</v>
      </c>
      <c r="G7660" s="102">
        <f t="shared" ca="1" si="123"/>
        <v>-3.243177694105745E-2</v>
      </c>
    </row>
    <row r="7661" spans="6:7" x14ac:dyDescent="0.35">
      <c r="F7661">
        <v>7656</v>
      </c>
      <c r="G7661" s="102">
        <f t="shared" ca="1" si="123"/>
        <v>5.2308122669476695E-2</v>
      </c>
    </row>
    <row r="7662" spans="6:7" x14ac:dyDescent="0.35">
      <c r="F7662">
        <v>7657</v>
      </c>
      <c r="G7662" s="102">
        <f t="shared" ca="1" si="123"/>
        <v>-0.12949307411062053</v>
      </c>
    </row>
    <row r="7663" spans="6:7" x14ac:dyDescent="0.35">
      <c r="F7663">
        <v>7658</v>
      </c>
      <c r="G7663" s="102">
        <f t="shared" ca="1" si="123"/>
        <v>-9.5090010526784549E-2</v>
      </c>
    </row>
    <row r="7664" spans="6:7" x14ac:dyDescent="0.35">
      <c r="F7664">
        <v>7659</v>
      </c>
      <c r="G7664" s="102">
        <f t="shared" ca="1" si="123"/>
        <v>1.17694156989884E-2</v>
      </c>
    </row>
    <row r="7665" spans="6:7" x14ac:dyDescent="0.35">
      <c r="F7665">
        <v>7660</v>
      </c>
      <c r="G7665" s="102">
        <f t="shared" ca="1" si="123"/>
        <v>-4.9541736821098692E-2</v>
      </c>
    </row>
    <row r="7666" spans="6:7" x14ac:dyDescent="0.35">
      <c r="F7666">
        <v>7661</v>
      </c>
      <c r="G7666" s="102">
        <f t="shared" ca="1" si="123"/>
        <v>3.5544284464225778E-2</v>
      </c>
    </row>
    <row r="7667" spans="6:7" x14ac:dyDescent="0.35">
      <c r="F7667">
        <v>7662</v>
      </c>
      <c r="G7667" s="102">
        <f t="shared" ca="1" si="123"/>
        <v>7.562816716551414E-2</v>
      </c>
    </row>
    <row r="7668" spans="6:7" x14ac:dyDescent="0.35">
      <c r="F7668">
        <v>7663</v>
      </c>
      <c r="G7668" s="102">
        <f t="shared" ca="1" si="123"/>
        <v>-2.6531185398072345E-2</v>
      </c>
    </row>
    <row r="7669" spans="6:7" x14ac:dyDescent="0.35">
      <c r="F7669">
        <v>7664</v>
      </c>
      <c r="G7669" s="102">
        <f t="shared" ca="1" si="123"/>
        <v>0.15263591244963745</v>
      </c>
    </row>
    <row r="7670" spans="6:7" x14ac:dyDescent="0.35">
      <c r="F7670">
        <v>7665</v>
      </c>
      <c r="G7670" s="102">
        <f t="shared" ca="1" si="123"/>
        <v>-0.10847836163461154</v>
      </c>
    </row>
    <row r="7671" spans="6:7" x14ac:dyDescent="0.35">
      <c r="F7671">
        <v>7666</v>
      </c>
      <c r="G7671" s="102">
        <f t="shared" ca="1" si="123"/>
        <v>-0.1011830358672491</v>
      </c>
    </row>
    <row r="7672" spans="6:7" x14ac:dyDescent="0.35">
      <c r="F7672">
        <v>7667</v>
      </c>
      <c r="G7672" s="102">
        <f t="shared" ca="1" si="123"/>
        <v>3.940082713455656E-2</v>
      </c>
    </row>
    <row r="7673" spans="6:7" x14ac:dyDescent="0.35">
      <c r="F7673">
        <v>7668</v>
      </c>
      <c r="G7673" s="102">
        <f t="shared" ca="1" si="123"/>
        <v>1.2718089330767915E-2</v>
      </c>
    </row>
    <row r="7674" spans="6:7" x14ac:dyDescent="0.35">
      <c r="F7674">
        <v>7669</v>
      </c>
      <c r="G7674" s="102">
        <f t="shared" ca="1" si="123"/>
        <v>-1.1478383745186668E-2</v>
      </c>
    </row>
    <row r="7675" spans="6:7" x14ac:dyDescent="0.35">
      <c r="F7675">
        <v>7670</v>
      </c>
      <c r="G7675" s="102">
        <f t="shared" ca="1" si="123"/>
        <v>-3.3236137019945246E-4</v>
      </c>
    </row>
    <row r="7676" spans="6:7" x14ac:dyDescent="0.35">
      <c r="F7676">
        <v>7671</v>
      </c>
      <c r="G7676" s="102">
        <f t="shared" ca="1" si="123"/>
        <v>2.3847078202402353E-2</v>
      </c>
    </row>
    <row r="7677" spans="6:7" x14ac:dyDescent="0.35">
      <c r="F7677">
        <v>7672</v>
      </c>
      <c r="G7677" s="102">
        <f t="shared" ca="1" si="123"/>
        <v>9.3252563989115744E-3</v>
      </c>
    </row>
    <row r="7678" spans="6:7" x14ac:dyDescent="0.35">
      <c r="F7678">
        <v>7673</v>
      </c>
      <c r="G7678" s="102">
        <f t="shared" ca="1" si="123"/>
        <v>-1.4091582703067767E-2</v>
      </c>
    </row>
    <row r="7679" spans="6:7" x14ac:dyDescent="0.35">
      <c r="F7679">
        <v>7674</v>
      </c>
      <c r="G7679" s="102">
        <f t="shared" ca="1" si="123"/>
        <v>3.316049568519084E-3</v>
      </c>
    </row>
    <row r="7680" spans="6:7" x14ac:dyDescent="0.35">
      <c r="F7680">
        <v>7675</v>
      </c>
      <c r="G7680" s="102">
        <f t="shared" ca="1" si="123"/>
        <v>4.0499195089760496E-3</v>
      </c>
    </row>
    <row r="7681" spans="6:7" x14ac:dyDescent="0.35">
      <c r="F7681">
        <v>7676</v>
      </c>
      <c r="G7681" s="102">
        <f t="shared" ca="1" si="123"/>
        <v>-4.5671838160352932E-2</v>
      </c>
    </row>
    <row r="7682" spans="6:7" x14ac:dyDescent="0.35">
      <c r="F7682">
        <v>7677</v>
      </c>
      <c r="G7682" s="102">
        <f t="shared" ca="1" si="123"/>
        <v>-4.5391675738148507E-2</v>
      </c>
    </row>
    <row r="7683" spans="6:7" x14ac:dyDescent="0.35">
      <c r="F7683">
        <v>7678</v>
      </c>
      <c r="G7683" s="102">
        <f t="shared" ca="1" si="123"/>
        <v>-5.6055800049197246E-2</v>
      </c>
    </row>
    <row r="7684" spans="6:7" x14ac:dyDescent="0.35">
      <c r="F7684">
        <v>7679</v>
      </c>
      <c r="G7684" s="102">
        <f t="shared" ca="1" si="123"/>
        <v>1.9376350644820194E-2</v>
      </c>
    </row>
    <row r="7685" spans="6:7" x14ac:dyDescent="0.35">
      <c r="F7685">
        <v>7680</v>
      </c>
      <c r="G7685" s="102">
        <f t="shared" ca="1" si="123"/>
        <v>-1.4245696673852084E-2</v>
      </c>
    </row>
    <row r="7686" spans="6:7" x14ac:dyDescent="0.35">
      <c r="F7686">
        <v>7681</v>
      </c>
      <c r="G7686" s="102">
        <f t="shared" ca="1" si="123"/>
        <v>3.2000674861136627E-2</v>
      </c>
    </row>
    <row r="7687" spans="6:7" x14ac:dyDescent="0.35">
      <c r="F7687">
        <v>7682</v>
      </c>
      <c r="G7687" s="102">
        <f t="shared" ref="G7687:G7750" ca="1" si="124">_xlfn.NORM.INV(RAND(),M$9,M$10)</f>
        <v>5.3498367996228521E-2</v>
      </c>
    </row>
    <row r="7688" spans="6:7" x14ac:dyDescent="0.35">
      <c r="F7688">
        <v>7683</v>
      </c>
      <c r="G7688" s="102">
        <f t="shared" ca="1" si="124"/>
        <v>2.8269990109674559E-2</v>
      </c>
    </row>
    <row r="7689" spans="6:7" x14ac:dyDescent="0.35">
      <c r="F7689">
        <v>7684</v>
      </c>
      <c r="G7689" s="102">
        <f t="shared" ca="1" si="124"/>
        <v>1.1159316692982455E-2</v>
      </c>
    </row>
    <row r="7690" spans="6:7" x14ac:dyDescent="0.35">
      <c r="F7690">
        <v>7685</v>
      </c>
      <c r="G7690" s="102">
        <f t="shared" ca="1" si="124"/>
        <v>1.4901938430257874E-2</v>
      </c>
    </row>
    <row r="7691" spans="6:7" x14ac:dyDescent="0.35">
      <c r="F7691">
        <v>7686</v>
      </c>
      <c r="G7691" s="102">
        <f t="shared" ca="1" si="124"/>
        <v>4.8457896069935988E-2</v>
      </c>
    </row>
    <row r="7692" spans="6:7" x14ac:dyDescent="0.35">
      <c r="F7692">
        <v>7687</v>
      </c>
      <c r="G7692" s="102">
        <f t="shared" ca="1" si="124"/>
        <v>1.4302091758352894E-2</v>
      </c>
    </row>
    <row r="7693" spans="6:7" x14ac:dyDescent="0.35">
      <c r="F7693">
        <v>7688</v>
      </c>
      <c r="G7693" s="102">
        <f t="shared" ca="1" si="124"/>
        <v>-2.6158222454379848E-2</v>
      </c>
    </row>
    <row r="7694" spans="6:7" x14ac:dyDescent="0.35">
      <c r="F7694">
        <v>7689</v>
      </c>
      <c r="G7694" s="102">
        <f t="shared" ca="1" si="124"/>
        <v>-6.144569202028341E-2</v>
      </c>
    </row>
    <row r="7695" spans="6:7" x14ac:dyDescent="0.35">
      <c r="F7695">
        <v>7690</v>
      </c>
      <c r="G7695" s="102">
        <f t="shared" ca="1" si="124"/>
        <v>3.3789177199834333E-2</v>
      </c>
    </row>
    <row r="7696" spans="6:7" x14ac:dyDescent="0.35">
      <c r="F7696">
        <v>7691</v>
      </c>
      <c r="G7696" s="102">
        <f t="shared" ca="1" si="124"/>
        <v>-7.5758099320450429E-3</v>
      </c>
    </row>
    <row r="7697" spans="6:7" x14ac:dyDescent="0.35">
      <c r="F7697">
        <v>7692</v>
      </c>
      <c r="G7697" s="102">
        <f t="shared" ca="1" si="124"/>
        <v>-2.6601207467524889E-2</v>
      </c>
    </row>
    <row r="7698" spans="6:7" x14ac:dyDescent="0.35">
      <c r="F7698">
        <v>7693</v>
      </c>
      <c r="G7698" s="102">
        <f t="shared" ca="1" si="124"/>
        <v>-0.10451463575007931</v>
      </c>
    </row>
    <row r="7699" spans="6:7" x14ac:dyDescent="0.35">
      <c r="F7699">
        <v>7694</v>
      </c>
      <c r="G7699" s="102">
        <f t="shared" ca="1" si="124"/>
        <v>6.8877077133411443E-2</v>
      </c>
    </row>
    <row r="7700" spans="6:7" x14ac:dyDescent="0.35">
      <c r="F7700">
        <v>7695</v>
      </c>
      <c r="G7700" s="102">
        <f t="shared" ca="1" si="124"/>
        <v>-0.11750023500135501</v>
      </c>
    </row>
    <row r="7701" spans="6:7" x14ac:dyDescent="0.35">
      <c r="F7701">
        <v>7696</v>
      </c>
      <c r="G7701" s="102">
        <f t="shared" ca="1" si="124"/>
        <v>3.601554498095498E-2</v>
      </c>
    </row>
    <row r="7702" spans="6:7" x14ac:dyDescent="0.35">
      <c r="F7702">
        <v>7697</v>
      </c>
      <c r="G7702" s="102">
        <f t="shared" ca="1" si="124"/>
        <v>-2.6916085278812313E-2</v>
      </c>
    </row>
    <row r="7703" spans="6:7" x14ac:dyDescent="0.35">
      <c r="F7703">
        <v>7698</v>
      </c>
      <c r="G7703" s="102">
        <f t="shared" ca="1" si="124"/>
        <v>-5.978195674612595E-2</v>
      </c>
    </row>
    <row r="7704" spans="6:7" x14ac:dyDescent="0.35">
      <c r="F7704">
        <v>7699</v>
      </c>
      <c r="G7704" s="102">
        <f t="shared" ca="1" si="124"/>
        <v>-1.4126545332781192E-2</v>
      </c>
    </row>
    <row r="7705" spans="6:7" x14ac:dyDescent="0.35">
      <c r="F7705">
        <v>7700</v>
      </c>
      <c r="G7705" s="102">
        <f t="shared" ca="1" si="124"/>
        <v>-4.3098982924698978E-2</v>
      </c>
    </row>
    <row r="7706" spans="6:7" x14ac:dyDescent="0.35">
      <c r="F7706">
        <v>7701</v>
      </c>
      <c r="G7706" s="102">
        <f t="shared" ca="1" si="124"/>
        <v>-5.6042867585486484E-3</v>
      </c>
    </row>
    <row r="7707" spans="6:7" x14ac:dyDescent="0.35">
      <c r="F7707">
        <v>7702</v>
      </c>
      <c r="G7707" s="102">
        <f t="shared" ca="1" si="124"/>
        <v>-3.0180849410263017E-2</v>
      </c>
    </row>
    <row r="7708" spans="6:7" x14ac:dyDescent="0.35">
      <c r="F7708">
        <v>7703</v>
      </c>
      <c r="G7708" s="102">
        <f t="shared" ca="1" si="124"/>
        <v>5.0404361466552909E-3</v>
      </c>
    </row>
    <row r="7709" spans="6:7" x14ac:dyDescent="0.35">
      <c r="F7709">
        <v>7704</v>
      </c>
      <c r="G7709" s="102">
        <f t="shared" ca="1" si="124"/>
        <v>-9.8023994206412127E-2</v>
      </c>
    </row>
    <row r="7710" spans="6:7" x14ac:dyDescent="0.35">
      <c r="F7710">
        <v>7705</v>
      </c>
      <c r="G7710" s="102">
        <f t="shared" ca="1" si="124"/>
        <v>-1.1165622474579206E-2</v>
      </c>
    </row>
    <row r="7711" spans="6:7" x14ac:dyDescent="0.35">
      <c r="F7711">
        <v>7706</v>
      </c>
      <c r="G7711" s="102">
        <f t="shared" ca="1" si="124"/>
        <v>-8.3865450479748888E-2</v>
      </c>
    </row>
    <row r="7712" spans="6:7" x14ac:dyDescent="0.35">
      <c r="F7712">
        <v>7707</v>
      </c>
      <c r="G7712" s="102">
        <f t="shared" ca="1" si="124"/>
        <v>-9.6556440133159765E-4</v>
      </c>
    </row>
    <row r="7713" spans="6:7" x14ac:dyDescent="0.35">
      <c r="F7713">
        <v>7708</v>
      </c>
      <c r="G7713" s="102">
        <f t="shared" ca="1" si="124"/>
        <v>3.492324385177473E-3</v>
      </c>
    </row>
    <row r="7714" spans="6:7" x14ac:dyDescent="0.35">
      <c r="F7714">
        <v>7709</v>
      </c>
      <c r="G7714" s="102">
        <f t="shared" ca="1" si="124"/>
        <v>-6.2173571906088701E-2</v>
      </c>
    </row>
    <row r="7715" spans="6:7" x14ac:dyDescent="0.35">
      <c r="F7715">
        <v>7710</v>
      </c>
      <c r="G7715" s="102">
        <f t="shared" ca="1" si="124"/>
        <v>-0.10131880919342662</v>
      </c>
    </row>
    <row r="7716" spans="6:7" x14ac:dyDescent="0.35">
      <c r="F7716">
        <v>7711</v>
      </c>
      <c r="G7716" s="102">
        <f t="shared" ca="1" si="124"/>
        <v>9.3986130826343856E-3</v>
      </c>
    </row>
    <row r="7717" spans="6:7" x14ac:dyDescent="0.35">
      <c r="F7717">
        <v>7712</v>
      </c>
      <c r="G7717" s="102">
        <f t="shared" ca="1" si="124"/>
        <v>8.7126735998697153E-3</v>
      </c>
    </row>
    <row r="7718" spans="6:7" x14ac:dyDescent="0.35">
      <c r="F7718">
        <v>7713</v>
      </c>
      <c r="G7718" s="102">
        <f t="shared" ca="1" si="124"/>
        <v>0.10373016655576306</v>
      </c>
    </row>
    <row r="7719" spans="6:7" x14ac:dyDescent="0.35">
      <c r="F7719">
        <v>7714</v>
      </c>
      <c r="G7719" s="102">
        <f t="shared" ca="1" si="124"/>
        <v>4.6506454790127646E-2</v>
      </c>
    </row>
    <row r="7720" spans="6:7" x14ac:dyDescent="0.35">
      <c r="F7720">
        <v>7715</v>
      </c>
      <c r="G7720" s="102">
        <f t="shared" ca="1" si="124"/>
        <v>-3.8743678332640308E-2</v>
      </c>
    </row>
    <row r="7721" spans="6:7" x14ac:dyDescent="0.35">
      <c r="F7721">
        <v>7716</v>
      </c>
      <c r="G7721" s="102">
        <f t="shared" ca="1" si="124"/>
        <v>-2.3156571277735938E-3</v>
      </c>
    </row>
    <row r="7722" spans="6:7" x14ac:dyDescent="0.35">
      <c r="F7722">
        <v>7717</v>
      </c>
      <c r="G7722" s="102">
        <f t="shared" ca="1" si="124"/>
        <v>-4.980887778162647E-3</v>
      </c>
    </row>
    <row r="7723" spans="6:7" x14ac:dyDescent="0.35">
      <c r="F7723">
        <v>7718</v>
      </c>
      <c r="G7723" s="102">
        <f t="shared" ca="1" si="124"/>
        <v>-5.7048166953140508E-2</v>
      </c>
    </row>
    <row r="7724" spans="6:7" x14ac:dyDescent="0.35">
      <c r="F7724">
        <v>7719</v>
      </c>
      <c r="G7724" s="102">
        <f t="shared" ca="1" si="124"/>
        <v>2.2926130279825655E-2</v>
      </c>
    </row>
    <row r="7725" spans="6:7" x14ac:dyDescent="0.35">
      <c r="F7725">
        <v>7720</v>
      </c>
      <c r="G7725" s="102">
        <f t="shared" ca="1" si="124"/>
        <v>-8.1460499638715114E-2</v>
      </c>
    </row>
    <row r="7726" spans="6:7" x14ac:dyDescent="0.35">
      <c r="F7726">
        <v>7721</v>
      </c>
      <c r="G7726" s="102">
        <f t="shared" ca="1" si="124"/>
        <v>-4.2189591561296619E-2</v>
      </c>
    </row>
    <row r="7727" spans="6:7" x14ac:dyDescent="0.35">
      <c r="F7727">
        <v>7722</v>
      </c>
      <c r="G7727" s="102">
        <f t="shared" ca="1" si="124"/>
        <v>-8.7684592041394928E-3</v>
      </c>
    </row>
    <row r="7728" spans="6:7" x14ac:dyDescent="0.35">
      <c r="F7728">
        <v>7723</v>
      </c>
      <c r="G7728" s="102">
        <f t="shared" ca="1" si="124"/>
        <v>-8.2141266331070759E-2</v>
      </c>
    </row>
    <row r="7729" spans="6:7" x14ac:dyDescent="0.35">
      <c r="F7729">
        <v>7724</v>
      </c>
      <c r="G7729" s="102">
        <f t="shared" ca="1" si="124"/>
        <v>-6.3989639503174198E-2</v>
      </c>
    </row>
    <row r="7730" spans="6:7" x14ac:dyDescent="0.35">
      <c r="F7730">
        <v>7725</v>
      </c>
      <c r="G7730" s="102">
        <f t="shared" ca="1" si="124"/>
        <v>-4.0963147752691845E-2</v>
      </c>
    </row>
    <row r="7731" spans="6:7" x14ac:dyDescent="0.35">
      <c r="F7731">
        <v>7726</v>
      </c>
      <c r="G7731" s="102">
        <f t="shared" ca="1" si="124"/>
        <v>-6.8810525564576105E-2</v>
      </c>
    </row>
    <row r="7732" spans="6:7" x14ac:dyDescent="0.35">
      <c r="F7732">
        <v>7727</v>
      </c>
      <c r="G7732" s="102">
        <f t="shared" ca="1" si="124"/>
        <v>-3.3521388513282433E-3</v>
      </c>
    </row>
    <row r="7733" spans="6:7" x14ac:dyDescent="0.35">
      <c r="F7733">
        <v>7728</v>
      </c>
      <c r="G7733" s="102">
        <f t="shared" ca="1" si="124"/>
        <v>-2.4054942848156318E-3</v>
      </c>
    </row>
    <row r="7734" spans="6:7" x14ac:dyDescent="0.35">
      <c r="F7734">
        <v>7729</v>
      </c>
      <c r="G7734" s="102">
        <f t="shared" ca="1" si="124"/>
        <v>-1.7644527231839971E-2</v>
      </c>
    </row>
    <row r="7735" spans="6:7" x14ac:dyDescent="0.35">
      <c r="F7735">
        <v>7730</v>
      </c>
      <c r="G7735" s="102">
        <f t="shared" ca="1" si="124"/>
        <v>-0.13471738743414013</v>
      </c>
    </row>
    <row r="7736" spans="6:7" x14ac:dyDescent="0.35">
      <c r="F7736">
        <v>7731</v>
      </c>
      <c r="G7736" s="102">
        <f t="shared" ca="1" si="124"/>
        <v>-8.9816376737597847E-2</v>
      </c>
    </row>
    <row r="7737" spans="6:7" x14ac:dyDescent="0.35">
      <c r="F7737">
        <v>7732</v>
      </c>
      <c r="G7737" s="102">
        <f t="shared" ca="1" si="124"/>
        <v>2.0851116727050468E-2</v>
      </c>
    </row>
    <row r="7738" spans="6:7" x14ac:dyDescent="0.35">
      <c r="F7738">
        <v>7733</v>
      </c>
      <c r="G7738" s="102">
        <f t="shared" ca="1" si="124"/>
        <v>9.139736317303114E-2</v>
      </c>
    </row>
    <row r="7739" spans="6:7" x14ac:dyDescent="0.35">
      <c r="F7739">
        <v>7734</v>
      </c>
      <c r="G7739" s="102">
        <f t="shared" ca="1" si="124"/>
        <v>-0.11114326895721033</v>
      </c>
    </row>
    <row r="7740" spans="6:7" x14ac:dyDescent="0.35">
      <c r="F7740">
        <v>7735</v>
      </c>
      <c r="G7740" s="102">
        <f t="shared" ca="1" si="124"/>
        <v>-0.10338716377100776</v>
      </c>
    </row>
    <row r="7741" spans="6:7" x14ac:dyDescent="0.35">
      <c r="F7741">
        <v>7736</v>
      </c>
      <c r="G7741" s="102">
        <f t="shared" ca="1" si="124"/>
        <v>-6.519587192930619E-2</v>
      </c>
    </row>
    <row r="7742" spans="6:7" x14ac:dyDescent="0.35">
      <c r="F7742">
        <v>7737</v>
      </c>
      <c r="G7742" s="102">
        <f t="shared" ca="1" si="124"/>
        <v>2.3870411081689174E-2</v>
      </c>
    </row>
    <row r="7743" spans="6:7" x14ac:dyDescent="0.35">
      <c r="F7743">
        <v>7738</v>
      </c>
      <c r="G7743" s="102">
        <f t="shared" ca="1" si="124"/>
        <v>-1.9071553598153362E-2</v>
      </c>
    </row>
    <row r="7744" spans="6:7" x14ac:dyDescent="0.35">
      <c r="F7744">
        <v>7739</v>
      </c>
      <c r="G7744" s="102">
        <f t="shared" ca="1" si="124"/>
        <v>7.0842079932640564E-2</v>
      </c>
    </row>
    <row r="7745" spans="6:7" x14ac:dyDescent="0.35">
      <c r="F7745">
        <v>7740</v>
      </c>
      <c r="G7745" s="102">
        <f t="shared" ca="1" si="124"/>
        <v>-3.2630035905787058E-2</v>
      </c>
    </row>
    <row r="7746" spans="6:7" x14ac:dyDescent="0.35">
      <c r="F7746">
        <v>7741</v>
      </c>
      <c r="G7746" s="102">
        <f t="shared" ca="1" si="124"/>
        <v>1.577114128819614E-2</v>
      </c>
    </row>
    <row r="7747" spans="6:7" x14ac:dyDescent="0.35">
      <c r="F7747">
        <v>7742</v>
      </c>
      <c r="G7747" s="102">
        <f t="shared" ca="1" si="124"/>
        <v>8.7899102776274232E-2</v>
      </c>
    </row>
    <row r="7748" spans="6:7" x14ac:dyDescent="0.35">
      <c r="F7748">
        <v>7743</v>
      </c>
      <c r="G7748" s="102">
        <f t="shared" ca="1" si="124"/>
        <v>0.11343826632985479</v>
      </c>
    </row>
    <row r="7749" spans="6:7" x14ac:dyDescent="0.35">
      <c r="F7749">
        <v>7744</v>
      </c>
      <c r="G7749" s="102">
        <f t="shared" ca="1" si="124"/>
        <v>-1.9315828394526086E-2</v>
      </c>
    </row>
    <row r="7750" spans="6:7" x14ac:dyDescent="0.35">
      <c r="F7750">
        <v>7745</v>
      </c>
      <c r="G7750" s="102">
        <f t="shared" ca="1" si="124"/>
        <v>7.5001555847164052E-3</v>
      </c>
    </row>
    <row r="7751" spans="6:7" x14ac:dyDescent="0.35">
      <c r="F7751">
        <v>7746</v>
      </c>
      <c r="G7751" s="102">
        <f t="shared" ref="G7751:G7814" ca="1" si="125">_xlfn.NORM.INV(RAND(),M$9,M$10)</f>
        <v>2.3814177548317047E-2</v>
      </c>
    </row>
    <row r="7752" spans="6:7" x14ac:dyDescent="0.35">
      <c r="F7752">
        <v>7747</v>
      </c>
      <c r="G7752" s="102">
        <f t="shared" ca="1" si="125"/>
        <v>6.5178925187107564E-2</v>
      </c>
    </row>
    <row r="7753" spans="6:7" x14ac:dyDescent="0.35">
      <c r="F7753">
        <v>7748</v>
      </c>
      <c r="G7753" s="102">
        <f t="shared" ca="1" si="125"/>
        <v>7.7410714930890898E-2</v>
      </c>
    </row>
    <row r="7754" spans="6:7" x14ac:dyDescent="0.35">
      <c r="F7754">
        <v>7749</v>
      </c>
      <c r="G7754" s="102">
        <f t="shared" ca="1" si="125"/>
        <v>-3.7378881533488034E-2</v>
      </c>
    </row>
    <row r="7755" spans="6:7" x14ac:dyDescent="0.35">
      <c r="F7755">
        <v>7750</v>
      </c>
      <c r="G7755" s="102">
        <f t="shared" ca="1" si="125"/>
        <v>2.0464530666177379E-2</v>
      </c>
    </row>
    <row r="7756" spans="6:7" x14ac:dyDescent="0.35">
      <c r="F7756">
        <v>7751</v>
      </c>
      <c r="G7756" s="102">
        <f t="shared" ca="1" si="125"/>
        <v>-5.6719705139605711E-2</v>
      </c>
    </row>
    <row r="7757" spans="6:7" x14ac:dyDescent="0.35">
      <c r="F7757">
        <v>7752</v>
      </c>
      <c r="G7757" s="102">
        <f t="shared" ca="1" si="125"/>
        <v>-7.9542074276470587E-2</v>
      </c>
    </row>
    <row r="7758" spans="6:7" x14ac:dyDescent="0.35">
      <c r="F7758">
        <v>7753</v>
      </c>
      <c r="G7758" s="102">
        <f t="shared" ca="1" si="125"/>
        <v>-4.7756303436868153E-2</v>
      </c>
    </row>
    <row r="7759" spans="6:7" x14ac:dyDescent="0.35">
      <c r="F7759">
        <v>7754</v>
      </c>
      <c r="G7759" s="102">
        <f t="shared" ca="1" si="125"/>
        <v>-3.0676557897174467E-3</v>
      </c>
    </row>
    <row r="7760" spans="6:7" x14ac:dyDescent="0.35">
      <c r="F7760">
        <v>7755</v>
      </c>
      <c r="G7760" s="102">
        <f t="shared" ca="1" si="125"/>
        <v>6.2310843171848554E-2</v>
      </c>
    </row>
    <row r="7761" spans="6:7" x14ac:dyDescent="0.35">
      <c r="F7761">
        <v>7756</v>
      </c>
      <c r="G7761" s="102">
        <f t="shared" ca="1" si="125"/>
        <v>-0.1249922415070393</v>
      </c>
    </row>
    <row r="7762" spans="6:7" x14ac:dyDescent="0.35">
      <c r="F7762">
        <v>7757</v>
      </c>
      <c r="G7762" s="102">
        <f t="shared" ca="1" si="125"/>
        <v>-3.5251519864635955E-2</v>
      </c>
    </row>
    <row r="7763" spans="6:7" x14ac:dyDescent="0.35">
      <c r="F7763">
        <v>7758</v>
      </c>
      <c r="G7763" s="102">
        <f t="shared" ca="1" si="125"/>
        <v>5.6628679997527714E-2</v>
      </c>
    </row>
    <row r="7764" spans="6:7" x14ac:dyDescent="0.35">
      <c r="F7764">
        <v>7759</v>
      </c>
      <c r="G7764" s="102">
        <f t="shared" ca="1" si="125"/>
        <v>1.0405198632481297E-2</v>
      </c>
    </row>
    <row r="7765" spans="6:7" x14ac:dyDescent="0.35">
      <c r="F7765">
        <v>7760</v>
      </c>
      <c r="G7765" s="102">
        <f t="shared" ca="1" si="125"/>
        <v>4.1937578759977126E-2</v>
      </c>
    </row>
    <row r="7766" spans="6:7" x14ac:dyDescent="0.35">
      <c r="F7766">
        <v>7761</v>
      </c>
      <c r="G7766" s="102">
        <f t="shared" ca="1" si="125"/>
        <v>8.3626302932266236E-2</v>
      </c>
    </row>
    <row r="7767" spans="6:7" x14ac:dyDescent="0.35">
      <c r="F7767">
        <v>7762</v>
      </c>
      <c r="G7767" s="102">
        <f t="shared" ca="1" si="125"/>
        <v>-2.8028215931813056E-2</v>
      </c>
    </row>
    <row r="7768" spans="6:7" x14ac:dyDescent="0.35">
      <c r="F7768">
        <v>7763</v>
      </c>
      <c r="G7768" s="102">
        <f t="shared" ca="1" si="125"/>
        <v>-7.4469452076762935E-2</v>
      </c>
    </row>
    <row r="7769" spans="6:7" x14ac:dyDescent="0.35">
      <c r="F7769">
        <v>7764</v>
      </c>
      <c r="G7769" s="102">
        <f t="shared" ca="1" si="125"/>
        <v>2.0871145438120658E-4</v>
      </c>
    </row>
    <row r="7770" spans="6:7" x14ac:dyDescent="0.35">
      <c r="F7770">
        <v>7765</v>
      </c>
      <c r="G7770" s="102">
        <f t="shared" ca="1" si="125"/>
        <v>1.358950242424644E-2</v>
      </c>
    </row>
    <row r="7771" spans="6:7" x14ac:dyDescent="0.35">
      <c r="F7771">
        <v>7766</v>
      </c>
      <c r="G7771" s="102">
        <f t="shared" ca="1" si="125"/>
        <v>-9.8092439176460683E-2</v>
      </c>
    </row>
    <row r="7772" spans="6:7" x14ac:dyDescent="0.35">
      <c r="F7772">
        <v>7767</v>
      </c>
      <c r="G7772" s="102">
        <f t="shared" ca="1" si="125"/>
        <v>7.8769626527544715E-3</v>
      </c>
    </row>
    <row r="7773" spans="6:7" x14ac:dyDescent="0.35">
      <c r="F7773">
        <v>7768</v>
      </c>
      <c r="G7773" s="102">
        <f t="shared" ca="1" si="125"/>
        <v>-2.2169710066590218E-2</v>
      </c>
    </row>
    <row r="7774" spans="6:7" x14ac:dyDescent="0.35">
      <c r="F7774">
        <v>7769</v>
      </c>
      <c r="G7774" s="102">
        <f t="shared" ca="1" si="125"/>
        <v>-3.0672192735278905E-2</v>
      </c>
    </row>
    <row r="7775" spans="6:7" x14ac:dyDescent="0.35">
      <c r="F7775">
        <v>7770</v>
      </c>
      <c r="G7775" s="102">
        <f t="shared" ca="1" si="125"/>
        <v>-5.8149671984633999E-2</v>
      </c>
    </row>
    <row r="7776" spans="6:7" x14ac:dyDescent="0.35">
      <c r="F7776">
        <v>7771</v>
      </c>
      <c r="G7776" s="102">
        <f t="shared" ca="1" si="125"/>
        <v>-5.4899751975850022E-2</v>
      </c>
    </row>
    <row r="7777" spans="6:7" x14ac:dyDescent="0.35">
      <c r="F7777">
        <v>7772</v>
      </c>
      <c r="G7777" s="102">
        <f t="shared" ca="1" si="125"/>
        <v>0.10560816427827537</v>
      </c>
    </row>
    <row r="7778" spans="6:7" x14ac:dyDescent="0.35">
      <c r="F7778">
        <v>7773</v>
      </c>
      <c r="G7778" s="102">
        <f t="shared" ca="1" si="125"/>
        <v>2.7768956837025734E-4</v>
      </c>
    </row>
    <row r="7779" spans="6:7" x14ac:dyDescent="0.35">
      <c r="F7779">
        <v>7774</v>
      </c>
      <c r="G7779" s="102">
        <f t="shared" ca="1" si="125"/>
        <v>-1.3966449476113953E-2</v>
      </c>
    </row>
    <row r="7780" spans="6:7" x14ac:dyDescent="0.35">
      <c r="F7780">
        <v>7775</v>
      </c>
      <c r="G7780" s="102">
        <f t="shared" ca="1" si="125"/>
        <v>7.8924292671909896E-2</v>
      </c>
    </row>
    <row r="7781" spans="6:7" x14ac:dyDescent="0.35">
      <c r="F7781">
        <v>7776</v>
      </c>
      <c r="G7781" s="102">
        <f t="shared" ca="1" si="125"/>
        <v>1.4218710100348288E-3</v>
      </c>
    </row>
    <row r="7782" spans="6:7" x14ac:dyDescent="0.35">
      <c r="F7782">
        <v>7777</v>
      </c>
      <c r="G7782" s="102">
        <f t="shared" ca="1" si="125"/>
        <v>4.4889498901768604E-2</v>
      </c>
    </row>
    <row r="7783" spans="6:7" x14ac:dyDescent="0.35">
      <c r="F7783">
        <v>7778</v>
      </c>
      <c r="G7783" s="102">
        <f t="shared" ca="1" si="125"/>
        <v>-2.0602875347406822E-2</v>
      </c>
    </row>
    <row r="7784" spans="6:7" x14ac:dyDescent="0.35">
      <c r="F7784">
        <v>7779</v>
      </c>
      <c r="G7784" s="102">
        <f t="shared" ca="1" si="125"/>
        <v>-6.1570204860692104E-2</v>
      </c>
    </row>
    <row r="7785" spans="6:7" x14ac:dyDescent="0.35">
      <c r="F7785">
        <v>7780</v>
      </c>
      <c r="G7785" s="102">
        <f t="shared" ca="1" si="125"/>
        <v>7.8926963356035093E-2</v>
      </c>
    </row>
    <row r="7786" spans="6:7" x14ac:dyDescent="0.35">
      <c r="F7786">
        <v>7781</v>
      </c>
      <c r="G7786" s="102">
        <f t="shared" ca="1" si="125"/>
        <v>-0.11269888360204247</v>
      </c>
    </row>
    <row r="7787" spans="6:7" x14ac:dyDescent="0.35">
      <c r="F7787">
        <v>7782</v>
      </c>
      <c r="G7787" s="102">
        <f t="shared" ca="1" si="125"/>
        <v>-8.973552589307579E-2</v>
      </c>
    </row>
    <row r="7788" spans="6:7" x14ac:dyDescent="0.35">
      <c r="F7788">
        <v>7783</v>
      </c>
      <c r="G7788" s="102">
        <f t="shared" ca="1" si="125"/>
        <v>-0.1011272994928559</v>
      </c>
    </row>
    <row r="7789" spans="6:7" x14ac:dyDescent="0.35">
      <c r="F7789">
        <v>7784</v>
      </c>
      <c r="G7789" s="102">
        <f t="shared" ca="1" si="125"/>
        <v>-2.7268417988087316E-2</v>
      </c>
    </row>
    <row r="7790" spans="6:7" x14ac:dyDescent="0.35">
      <c r="F7790">
        <v>7785</v>
      </c>
      <c r="G7790" s="102">
        <f t="shared" ca="1" si="125"/>
        <v>7.1159023205450492E-2</v>
      </c>
    </row>
    <row r="7791" spans="6:7" x14ac:dyDescent="0.35">
      <c r="F7791">
        <v>7786</v>
      </c>
      <c r="G7791" s="102">
        <f t="shared" ca="1" si="125"/>
        <v>-0.10249604025834455</v>
      </c>
    </row>
    <row r="7792" spans="6:7" x14ac:dyDescent="0.35">
      <c r="F7792">
        <v>7787</v>
      </c>
      <c r="G7792" s="102">
        <f t="shared" ca="1" si="125"/>
        <v>0.12377026854405575</v>
      </c>
    </row>
    <row r="7793" spans="6:7" x14ac:dyDescent="0.35">
      <c r="F7793">
        <v>7788</v>
      </c>
      <c r="G7793" s="102">
        <f t="shared" ca="1" si="125"/>
        <v>3.1148607582501899E-2</v>
      </c>
    </row>
    <row r="7794" spans="6:7" x14ac:dyDescent="0.35">
      <c r="F7794">
        <v>7789</v>
      </c>
      <c r="G7794" s="102">
        <f t="shared" ca="1" si="125"/>
        <v>0.11805942480402143</v>
      </c>
    </row>
    <row r="7795" spans="6:7" x14ac:dyDescent="0.35">
      <c r="F7795">
        <v>7790</v>
      </c>
      <c r="G7795" s="102">
        <f t="shared" ca="1" si="125"/>
        <v>7.1048516998130362E-2</v>
      </c>
    </row>
    <row r="7796" spans="6:7" x14ac:dyDescent="0.35">
      <c r="F7796">
        <v>7791</v>
      </c>
      <c r="G7796" s="102">
        <f t="shared" ca="1" si="125"/>
        <v>-3.3067037761214807E-2</v>
      </c>
    </row>
    <row r="7797" spans="6:7" x14ac:dyDescent="0.35">
      <c r="F7797">
        <v>7792</v>
      </c>
      <c r="G7797" s="102">
        <f t="shared" ca="1" si="125"/>
        <v>-4.0598257738927612E-2</v>
      </c>
    </row>
    <row r="7798" spans="6:7" x14ac:dyDescent="0.35">
      <c r="F7798">
        <v>7793</v>
      </c>
      <c r="G7798" s="102">
        <f t="shared" ca="1" si="125"/>
        <v>3.769657469701862E-2</v>
      </c>
    </row>
    <row r="7799" spans="6:7" x14ac:dyDescent="0.35">
      <c r="F7799">
        <v>7794</v>
      </c>
      <c r="G7799" s="102">
        <f t="shared" ca="1" si="125"/>
        <v>3.4415248784437732E-2</v>
      </c>
    </row>
    <row r="7800" spans="6:7" x14ac:dyDescent="0.35">
      <c r="F7800">
        <v>7795</v>
      </c>
      <c r="G7800" s="102">
        <f t="shared" ca="1" si="125"/>
        <v>-6.5027185485336869E-2</v>
      </c>
    </row>
    <row r="7801" spans="6:7" x14ac:dyDescent="0.35">
      <c r="F7801">
        <v>7796</v>
      </c>
      <c r="G7801" s="102">
        <f t="shared" ca="1" si="125"/>
        <v>5.660284488182625E-2</v>
      </c>
    </row>
    <row r="7802" spans="6:7" x14ac:dyDescent="0.35">
      <c r="F7802">
        <v>7797</v>
      </c>
      <c r="G7802" s="102">
        <f t="shared" ca="1" si="125"/>
        <v>-0.10830493304079079</v>
      </c>
    </row>
    <row r="7803" spans="6:7" x14ac:dyDescent="0.35">
      <c r="F7803">
        <v>7798</v>
      </c>
      <c r="G7803" s="102">
        <f t="shared" ca="1" si="125"/>
        <v>2.8202762630619226E-2</v>
      </c>
    </row>
    <row r="7804" spans="6:7" x14ac:dyDescent="0.35">
      <c r="F7804">
        <v>7799</v>
      </c>
      <c r="G7804" s="102">
        <f t="shared" ca="1" si="125"/>
        <v>-2.9910691561207212E-2</v>
      </c>
    </row>
    <row r="7805" spans="6:7" x14ac:dyDescent="0.35">
      <c r="F7805">
        <v>7800</v>
      </c>
      <c r="G7805" s="102">
        <f t="shared" ca="1" si="125"/>
        <v>7.6931183789695184E-2</v>
      </c>
    </row>
    <row r="7806" spans="6:7" x14ac:dyDescent="0.35">
      <c r="F7806">
        <v>7801</v>
      </c>
      <c r="G7806" s="102">
        <f t="shared" ca="1" si="125"/>
        <v>0.12348307315514805</v>
      </c>
    </row>
    <row r="7807" spans="6:7" x14ac:dyDescent="0.35">
      <c r="F7807">
        <v>7802</v>
      </c>
      <c r="G7807" s="102">
        <f t="shared" ca="1" si="125"/>
        <v>-6.1382304472603871E-2</v>
      </c>
    </row>
    <row r="7808" spans="6:7" x14ac:dyDescent="0.35">
      <c r="F7808">
        <v>7803</v>
      </c>
      <c r="G7808" s="102">
        <f t="shared" ca="1" si="125"/>
        <v>-1.5307206993696795E-2</v>
      </c>
    </row>
    <row r="7809" spans="6:7" x14ac:dyDescent="0.35">
      <c r="F7809">
        <v>7804</v>
      </c>
      <c r="G7809" s="102">
        <f t="shared" ca="1" si="125"/>
        <v>-3.2668729140798068E-2</v>
      </c>
    </row>
    <row r="7810" spans="6:7" x14ac:dyDescent="0.35">
      <c r="F7810">
        <v>7805</v>
      </c>
      <c r="G7810" s="102">
        <f t="shared" ca="1" si="125"/>
        <v>8.0638482834958558E-2</v>
      </c>
    </row>
    <row r="7811" spans="6:7" x14ac:dyDescent="0.35">
      <c r="F7811">
        <v>7806</v>
      </c>
      <c r="G7811" s="102">
        <f t="shared" ca="1" si="125"/>
        <v>7.2626822078455985E-2</v>
      </c>
    </row>
    <row r="7812" spans="6:7" x14ac:dyDescent="0.35">
      <c r="F7812">
        <v>7807</v>
      </c>
      <c r="G7812" s="102">
        <f t="shared" ca="1" si="125"/>
        <v>-4.5954074101035684E-3</v>
      </c>
    </row>
    <row r="7813" spans="6:7" x14ac:dyDescent="0.35">
      <c r="F7813">
        <v>7808</v>
      </c>
      <c r="G7813" s="102">
        <f t="shared" ca="1" si="125"/>
        <v>9.5612611011410081E-2</v>
      </c>
    </row>
    <row r="7814" spans="6:7" x14ac:dyDescent="0.35">
      <c r="F7814">
        <v>7809</v>
      </c>
      <c r="G7814" s="102">
        <f t="shared" ca="1" si="125"/>
        <v>9.7567865379627639E-2</v>
      </c>
    </row>
    <row r="7815" spans="6:7" x14ac:dyDescent="0.35">
      <c r="F7815">
        <v>7810</v>
      </c>
      <c r="G7815" s="102">
        <f t="shared" ref="G7815:G7878" ca="1" si="126">_xlfn.NORM.INV(RAND(),M$9,M$10)</f>
        <v>-2.1309057677603511E-2</v>
      </c>
    </row>
    <row r="7816" spans="6:7" x14ac:dyDescent="0.35">
      <c r="F7816">
        <v>7811</v>
      </c>
      <c r="G7816" s="102">
        <f t="shared" ca="1" si="126"/>
        <v>-3.1947762131668798E-2</v>
      </c>
    </row>
    <row r="7817" spans="6:7" x14ac:dyDescent="0.35">
      <c r="F7817">
        <v>7812</v>
      </c>
      <c r="G7817" s="102">
        <f t="shared" ca="1" si="126"/>
        <v>2.4377364418810797E-2</v>
      </c>
    </row>
    <row r="7818" spans="6:7" x14ac:dyDescent="0.35">
      <c r="F7818">
        <v>7813</v>
      </c>
      <c r="G7818" s="102">
        <f t="shared" ca="1" si="126"/>
        <v>-8.2033655377629161E-2</v>
      </c>
    </row>
    <row r="7819" spans="6:7" x14ac:dyDescent="0.35">
      <c r="F7819">
        <v>7814</v>
      </c>
      <c r="G7819" s="102">
        <f t="shared" ca="1" si="126"/>
        <v>-1.8692509561328105E-2</v>
      </c>
    </row>
    <row r="7820" spans="6:7" x14ac:dyDescent="0.35">
      <c r="F7820">
        <v>7815</v>
      </c>
      <c r="G7820" s="102">
        <f t="shared" ca="1" si="126"/>
        <v>1.5346650164231278E-3</v>
      </c>
    </row>
    <row r="7821" spans="6:7" x14ac:dyDescent="0.35">
      <c r="F7821">
        <v>7816</v>
      </c>
      <c r="G7821" s="102">
        <f t="shared" ca="1" si="126"/>
        <v>-1.6292413050009617E-2</v>
      </c>
    </row>
    <row r="7822" spans="6:7" x14ac:dyDescent="0.35">
      <c r="F7822">
        <v>7817</v>
      </c>
      <c r="G7822" s="102">
        <f t="shared" ca="1" si="126"/>
        <v>3.3433557745895931E-2</v>
      </c>
    </row>
    <row r="7823" spans="6:7" x14ac:dyDescent="0.35">
      <c r="F7823">
        <v>7818</v>
      </c>
      <c r="G7823" s="102">
        <f t="shared" ca="1" si="126"/>
        <v>-7.0940387300399255E-2</v>
      </c>
    </row>
    <row r="7824" spans="6:7" x14ac:dyDescent="0.35">
      <c r="F7824">
        <v>7819</v>
      </c>
      <c r="G7824" s="102">
        <f t="shared" ca="1" si="126"/>
        <v>3.4842530211675132E-2</v>
      </c>
    </row>
    <row r="7825" spans="6:7" x14ac:dyDescent="0.35">
      <c r="F7825">
        <v>7820</v>
      </c>
      <c r="G7825" s="102">
        <f t="shared" ca="1" si="126"/>
        <v>-1.3160577116871689E-2</v>
      </c>
    </row>
    <row r="7826" spans="6:7" x14ac:dyDescent="0.35">
      <c r="F7826">
        <v>7821</v>
      </c>
      <c r="G7826" s="102">
        <f t="shared" ca="1" si="126"/>
        <v>2.6571333349835278E-2</v>
      </c>
    </row>
    <row r="7827" spans="6:7" x14ac:dyDescent="0.35">
      <c r="F7827">
        <v>7822</v>
      </c>
      <c r="G7827" s="102">
        <f t="shared" ca="1" si="126"/>
        <v>-1.8387285775696732E-2</v>
      </c>
    </row>
    <row r="7828" spans="6:7" x14ac:dyDescent="0.35">
      <c r="F7828">
        <v>7823</v>
      </c>
      <c r="G7828" s="102">
        <f t="shared" ca="1" si="126"/>
        <v>0.10964775650919605</v>
      </c>
    </row>
    <row r="7829" spans="6:7" x14ac:dyDescent="0.35">
      <c r="F7829">
        <v>7824</v>
      </c>
      <c r="G7829" s="102">
        <f t="shared" ca="1" si="126"/>
        <v>-4.335290772220525E-2</v>
      </c>
    </row>
    <row r="7830" spans="6:7" x14ac:dyDescent="0.35">
      <c r="F7830">
        <v>7825</v>
      </c>
      <c r="G7830" s="102">
        <f t="shared" ca="1" si="126"/>
        <v>-8.9122292541464532E-2</v>
      </c>
    </row>
    <row r="7831" spans="6:7" x14ac:dyDescent="0.35">
      <c r="F7831">
        <v>7826</v>
      </c>
      <c r="G7831" s="102">
        <f t="shared" ca="1" si="126"/>
        <v>3.0465377230646563E-2</v>
      </c>
    </row>
    <row r="7832" spans="6:7" x14ac:dyDescent="0.35">
      <c r="F7832">
        <v>7827</v>
      </c>
      <c r="G7832" s="102">
        <f t="shared" ca="1" si="126"/>
        <v>4.6170588727397502E-2</v>
      </c>
    </row>
    <row r="7833" spans="6:7" x14ac:dyDescent="0.35">
      <c r="F7833">
        <v>7828</v>
      </c>
      <c r="G7833" s="102">
        <f t="shared" ca="1" si="126"/>
        <v>3.2509162079687015E-2</v>
      </c>
    </row>
    <row r="7834" spans="6:7" x14ac:dyDescent="0.35">
      <c r="F7834">
        <v>7829</v>
      </c>
      <c r="G7834" s="102">
        <f t="shared" ca="1" si="126"/>
        <v>6.12186200125025E-2</v>
      </c>
    </row>
    <row r="7835" spans="6:7" x14ac:dyDescent="0.35">
      <c r="F7835">
        <v>7830</v>
      </c>
      <c r="G7835" s="102">
        <f t="shared" ca="1" si="126"/>
        <v>-3.7219199858707697E-2</v>
      </c>
    </row>
    <row r="7836" spans="6:7" x14ac:dyDescent="0.35">
      <c r="F7836">
        <v>7831</v>
      </c>
      <c r="G7836" s="102">
        <f t="shared" ca="1" si="126"/>
        <v>-0.10099445271768802</v>
      </c>
    </row>
    <row r="7837" spans="6:7" x14ac:dyDescent="0.35">
      <c r="F7837">
        <v>7832</v>
      </c>
      <c r="G7837" s="102">
        <f t="shared" ca="1" si="126"/>
        <v>4.4221198622146851E-2</v>
      </c>
    </row>
    <row r="7838" spans="6:7" x14ac:dyDescent="0.35">
      <c r="F7838">
        <v>7833</v>
      </c>
      <c r="G7838" s="102">
        <f t="shared" ca="1" si="126"/>
        <v>1.1180132079917152E-2</v>
      </c>
    </row>
    <row r="7839" spans="6:7" x14ac:dyDescent="0.35">
      <c r="F7839">
        <v>7834</v>
      </c>
      <c r="G7839" s="102">
        <f t="shared" ca="1" si="126"/>
        <v>-7.3052567861198417E-2</v>
      </c>
    </row>
    <row r="7840" spans="6:7" x14ac:dyDescent="0.35">
      <c r="F7840">
        <v>7835</v>
      </c>
      <c r="G7840" s="102">
        <f t="shared" ca="1" si="126"/>
        <v>-4.0116957812373705E-2</v>
      </c>
    </row>
    <row r="7841" spans="6:7" x14ac:dyDescent="0.35">
      <c r="F7841">
        <v>7836</v>
      </c>
      <c r="G7841" s="102">
        <f t="shared" ca="1" si="126"/>
        <v>-9.7252473253655297E-2</v>
      </c>
    </row>
    <row r="7842" spans="6:7" x14ac:dyDescent="0.35">
      <c r="F7842">
        <v>7837</v>
      </c>
      <c r="G7842" s="102">
        <f t="shared" ca="1" si="126"/>
        <v>0.12700559228918198</v>
      </c>
    </row>
    <row r="7843" spans="6:7" x14ac:dyDescent="0.35">
      <c r="F7843">
        <v>7838</v>
      </c>
      <c r="G7843" s="102">
        <f t="shared" ca="1" si="126"/>
        <v>3.6163961965537533E-2</v>
      </c>
    </row>
    <row r="7844" spans="6:7" x14ac:dyDescent="0.35">
      <c r="F7844">
        <v>7839</v>
      </c>
      <c r="G7844" s="102">
        <f t="shared" ca="1" si="126"/>
        <v>-0.10307009675391915</v>
      </c>
    </row>
    <row r="7845" spans="6:7" x14ac:dyDescent="0.35">
      <c r="F7845">
        <v>7840</v>
      </c>
      <c r="G7845" s="102">
        <f t="shared" ca="1" si="126"/>
        <v>-4.8421829543391845E-2</v>
      </c>
    </row>
    <row r="7846" spans="6:7" x14ac:dyDescent="0.35">
      <c r="F7846">
        <v>7841</v>
      </c>
      <c r="G7846" s="102">
        <f t="shared" ca="1" si="126"/>
        <v>-4.9129791350915164E-2</v>
      </c>
    </row>
    <row r="7847" spans="6:7" x14ac:dyDescent="0.35">
      <c r="F7847">
        <v>7842</v>
      </c>
      <c r="G7847" s="102">
        <f t="shared" ca="1" si="126"/>
        <v>-3.104850682547998E-2</v>
      </c>
    </row>
    <row r="7848" spans="6:7" x14ac:dyDescent="0.35">
      <c r="F7848">
        <v>7843</v>
      </c>
      <c r="G7848" s="102">
        <f t="shared" ca="1" si="126"/>
        <v>-0.11317689542325599</v>
      </c>
    </row>
    <row r="7849" spans="6:7" x14ac:dyDescent="0.35">
      <c r="F7849">
        <v>7844</v>
      </c>
      <c r="G7849" s="102">
        <f t="shared" ca="1" si="126"/>
        <v>-0.11553126831185181</v>
      </c>
    </row>
    <row r="7850" spans="6:7" x14ac:dyDescent="0.35">
      <c r="F7850">
        <v>7845</v>
      </c>
      <c r="G7850" s="102">
        <f t="shared" ca="1" si="126"/>
        <v>8.2313423034948291E-2</v>
      </c>
    </row>
    <row r="7851" spans="6:7" x14ac:dyDescent="0.35">
      <c r="F7851">
        <v>7846</v>
      </c>
      <c r="G7851" s="102">
        <f t="shared" ca="1" si="126"/>
        <v>3.8878309522229967E-2</v>
      </c>
    </row>
    <row r="7852" spans="6:7" x14ac:dyDescent="0.35">
      <c r="F7852">
        <v>7847</v>
      </c>
      <c r="G7852" s="102">
        <f t="shared" ca="1" si="126"/>
        <v>-8.7674301970682173E-3</v>
      </c>
    </row>
    <row r="7853" spans="6:7" x14ac:dyDescent="0.35">
      <c r="F7853">
        <v>7848</v>
      </c>
      <c r="G7853" s="102">
        <f t="shared" ca="1" si="126"/>
        <v>-4.7915920612341359E-2</v>
      </c>
    </row>
    <row r="7854" spans="6:7" x14ac:dyDescent="0.35">
      <c r="F7854">
        <v>7849</v>
      </c>
      <c r="G7854" s="102">
        <f t="shared" ca="1" si="126"/>
        <v>0.13665673656111646</v>
      </c>
    </row>
    <row r="7855" spans="6:7" x14ac:dyDescent="0.35">
      <c r="F7855">
        <v>7850</v>
      </c>
      <c r="G7855" s="102">
        <f t="shared" ca="1" si="126"/>
        <v>4.461768183372343E-2</v>
      </c>
    </row>
    <row r="7856" spans="6:7" x14ac:dyDescent="0.35">
      <c r="F7856">
        <v>7851</v>
      </c>
      <c r="G7856" s="102">
        <f t="shared" ca="1" si="126"/>
        <v>-8.8578292330450184E-2</v>
      </c>
    </row>
    <row r="7857" spans="6:7" x14ac:dyDescent="0.35">
      <c r="F7857">
        <v>7852</v>
      </c>
      <c r="G7857" s="102">
        <f t="shared" ca="1" si="126"/>
        <v>-5.1845987271293886E-2</v>
      </c>
    </row>
    <row r="7858" spans="6:7" x14ac:dyDescent="0.35">
      <c r="F7858">
        <v>7853</v>
      </c>
      <c r="G7858" s="102">
        <f t="shared" ca="1" si="126"/>
        <v>5.3184925791671403E-2</v>
      </c>
    </row>
    <row r="7859" spans="6:7" x14ac:dyDescent="0.35">
      <c r="F7859">
        <v>7854</v>
      </c>
      <c r="G7859" s="102">
        <f t="shared" ca="1" si="126"/>
        <v>4.8470680380709744E-2</v>
      </c>
    </row>
    <row r="7860" spans="6:7" x14ac:dyDescent="0.35">
      <c r="F7860">
        <v>7855</v>
      </c>
      <c r="G7860" s="102">
        <f t="shared" ca="1" si="126"/>
        <v>2.4108466948007039E-2</v>
      </c>
    </row>
    <row r="7861" spans="6:7" x14ac:dyDescent="0.35">
      <c r="F7861">
        <v>7856</v>
      </c>
      <c r="G7861" s="102">
        <f t="shared" ca="1" si="126"/>
        <v>7.5208259336170015E-3</v>
      </c>
    </row>
    <row r="7862" spans="6:7" x14ac:dyDescent="0.35">
      <c r="F7862">
        <v>7857</v>
      </c>
      <c r="G7862" s="102">
        <f t="shared" ca="1" si="126"/>
        <v>-7.076091691254785E-2</v>
      </c>
    </row>
    <row r="7863" spans="6:7" x14ac:dyDescent="0.35">
      <c r="F7863">
        <v>7858</v>
      </c>
      <c r="G7863" s="102">
        <f t="shared" ca="1" si="126"/>
        <v>4.0208014445627764E-4</v>
      </c>
    </row>
    <row r="7864" spans="6:7" x14ac:dyDescent="0.35">
      <c r="F7864">
        <v>7859</v>
      </c>
      <c r="G7864" s="102">
        <f t="shared" ca="1" si="126"/>
        <v>-6.2971628376446067E-3</v>
      </c>
    </row>
    <row r="7865" spans="6:7" x14ac:dyDescent="0.35">
      <c r="F7865">
        <v>7860</v>
      </c>
      <c r="G7865" s="102">
        <f t="shared" ca="1" si="126"/>
        <v>-9.1278140449167489E-3</v>
      </c>
    </row>
    <row r="7866" spans="6:7" x14ac:dyDescent="0.35">
      <c r="F7866">
        <v>7861</v>
      </c>
      <c r="G7866" s="102">
        <f t="shared" ca="1" si="126"/>
        <v>5.5574146662994442E-2</v>
      </c>
    </row>
    <row r="7867" spans="6:7" x14ac:dyDescent="0.35">
      <c r="F7867">
        <v>7862</v>
      </c>
      <c r="G7867" s="102">
        <f t="shared" ca="1" si="126"/>
        <v>4.6315513842593956E-2</v>
      </c>
    </row>
    <row r="7868" spans="6:7" x14ac:dyDescent="0.35">
      <c r="F7868">
        <v>7863</v>
      </c>
      <c r="G7868" s="102">
        <f t="shared" ca="1" si="126"/>
        <v>6.2985397361655079E-2</v>
      </c>
    </row>
    <row r="7869" spans="6:7" x14ac:dyDescent="0.35">
      <c r="F7869">
        <v>7864</v>
      </c>
      <c r="G7869" s="102">
        <f t="shared" ca="1" si="126"/>
        <v>-0.10168251549735995</v>
      </c>
    </row>
    <row r="7870" spans="6:7" x14ac:dyDescent="0.35">
      <c r="F7870">
        <v>7865</v>
      </c>
      <c r="G7870" s="102">
        <f t="shared" ca="1" si="126"/>
        <v>1.1429120233246059E-2</v>
      </c>
    </row>
    <row r="7871" spans="6:7" x14ac:dyDescent="0.35">
      <c r="F7871">
        <v>7866</v>
      </c>
      <c r="G7871" s="102">
        <f t="shared" ca="1" si="126"/>
        <v>-5.6503318960151996E-2</v>
      </c>
    </row>
    <row r="7872" spans="6:7" x14ac:dyDescent="0.35">
      <c r="F7872">
        <v>7867</v>
      </c>
      <c r="G7872" s="102">
        <f t="shared" ca="1" si="126"/>
        <v>2.1084926987993247E-2</v>
      </c>
    </row>
    <row r="7873" spans="6:7" x14ac:dyDescent="0.35">
      <c r="F7873">
        <v>7868</v>
      </c>
      <c r="G7873" s="102">
        <f t="shared" ca="1" si="126"/>
        <v>1.7520313805521139E-2</v>
      </c>
    </row>
    <row r="7874" spans="6:7" x14ac:dyDescent="0.35">
      <c r="F7874">
        <v>7869</v>
      </c>
      <c r="G7874" s="102">
        <f t="shared" ca="1" si="126"/>
        <v>-7.0382071974133736E-2</v>
      </c>
    </row>
    <row r="7875" spans="6:7" x14ac:dyDescent="0.35">
      <c r="F7875">
        <v>7870</v>
      </c>
      <c r="G7875" s="102">
        <f t="shared" ca="1" si="126"/>
        <v>-2.8046176524048099E-2</v>
      </c>
    </row>
    <row r="7876" spans="6:7" x14ac:dyDescent="0.35">
      <c r="F7876">
        <v>7871</v>
      </c>
      <c r="G7876" s="102">
        <f t="shared" ca="1" si="126"/>
        <v>-3.1518378723240587E-3</v>
      </c>
    </row>
    <row r="7877" spans="6:7" x14ac:dyDescent="0.35">
      <c r="F7877">
        <v>7872</v>
      </c>
      <c r="G7877" s="102">
        <f t="shared" ca="1" si="126"/>
        <v>7.730544502905716E-3</v>
      </c>
    </row>
    <row r="7878" spans="6:7" x14ac:dyDescent="0.35">
      <c r="F7878">
        <v>7873</v>
      </c>
      <c r="G7878" s="102">
        <f t="shared" ca="1" si="126"/>
        <v>-2.0627414128362109E-2</v>
      </c>
    </row>
    <row r="7879" spans="6:7" x14ac:dyDescent="0.35">
      <c r="F7879">
        <v>7874</v>
      </c>
      <c r="G7879" s="102">
        <f t="shared" ref="G7879:G7942" ca="1" si="127">_xlfn.NORM.INV(RAND(),M$9,M$10)</f>
        <v>-3.6900275256782334E-3</v>
      </c>
    </row>
    <row r="7880" spans="6:7" x14ac:dyDescent="0.35">
      <c r="F7880">
        <v>7875</v>
      </c>
      <c r="G7880" s="102">
        <f t="shared" ca="1" si="127"/>
        <v>1.1383786225673681E-2</v>
      </c>
    </row>
    <row r="7881" spans="6:7" x14ac:dyDescent="0.35">
      <c r="F7881">
        <v>7876</v>
      </c>
      <c r="G7881" s="102">
        <f t="shared" ca="1" si="127"/>
        <v>-2.2854012887702238E-2</v>
      </c>
    </row>
    <row r="7882" spans="6:7" x14ac:dyDescent="0.35">
      <c r="F7882">
        <v>7877</v>
      </c>
      <c r="G7882" s="102">
        <f t="shared" ca="1" si="127"/>
        <v>5.3428445235084193E-2</v>
      </c>
    </row>
    <row r="7883" spans="6:7" x14ac:dyDescent="0.35">
      <c r="F7883">
        <v>7878</v>
      </c>
      <c r="G7883" s="102">
        <f t="shared" ca="1" si="127"/>
        <v>4.6970093215058503E-2</v>
      </c>
    </row>
    <row r="7884" spans="6:7" x14ac:dyDescent="0.35">
      <c r="F7884">
        <v>7879</v>
      </c>
      <c r="G7884" s="102">
        <f t="shared" ca="1" si="127"/>
        <v>1.1438505849810297E-2</v>
      </c>
    </row>
    <row r="7885" spans="6:7" x14ac:dyDescent="0.35">
      <c r="F7885">
        <v>7880</v>
      </c>
      <c r="G7885" s="102">
        <f t="shared" ca="1" si="127"/>
        <v>6.645743415504439E-2</v>
      </c>
    </row>
    <row r="7886" spans="6:7" x14ac:dyDescent="0.35">
      <c r="F7886">
        <v>7881</v>
      </c>
      <c r="G7886" s="102">
        <f t="shared" ca="1" si="127"/>
        <v>7.1287037760094263E-2</v>
      </c>
    </row>
    <row r="7887" spans="6:7" x14ac:dyDescent="0.35">
      <c r="F7887">
        <v>7882</v>
      </c>
      <c r="G7887" s="102">
        <f t="shared" ca="1" si="127"/>
        <v>-4.7866479758407007E-2</v>
      </c>
    </row>
    <row r="7888" spans="6:7" x14ac:dyDescent="0.35">
      <c r="F7888">
        <v>7883</v>
      </c>
      <c r="G7888" s="102">
        <f t="shared" ca="1" si="127"/>
        <v>1.5253774444437488E-3</v>
      </c>
    </row>
    <row r="7889" spans="6:7" x14ac:dyDescent="0.35">
      <c r="F7889">
        <v>7884</v>
      </c>
      <c r="G7889" s="102">
        <f t="shared" ca="1" si="127"/>
        <v>-4.8236546635757452E-2</v>
      </c>
    </row>
    <row r="7890" spans="6:7" x14ac:dyDescent="0.35">
      <c r="F7890">
        <v>7885</v>
      </c>
      <c r="G7890" s="102">
        <f t="shared" ca="1" si="127"/>
        <v>-4.6755894103074583E-2</v>
      </c>
    </row>
    <row r="7891" spans="6:7" x14ac:dyDescent="0.35">
      <c r="F7891">
        <v>7886</v>
      </c>
      <c r="G7891" s="102">
        <f t="shared" ca="1" si="127"/>
        <v>-2.5442179125110258E-2</v>
      </c>
    </row>
    <row r="7892" spans="6:7" x14ac:dyDescent="0.35">
      <c r="F7892">
        <v>7887</v>
      </c>
      <c r="G7892" s="102">
        <f t="shared" ca="1" si="127"/>
        <v>-2.4890036539601059E-2</v>
      </c>
    </row>
    <row r="7893" spans="6:7" x14ac:dyDescent="0.35">
      <c r="F7893">
        <v>7888</v>
      </c>
      <c r="G7893" s="102">
        <f t="shared" ca="1" si="127"/>
        <v>4.530852419500981E-3</v>
      </c>
    </row>
    <row r="7894" spans="6:7" x14ac:dyDescent="0.35">
      <c r="F7894">
        <v>7889</v>
      </c>
      <c r="G7894" s="102">
        <f t="shared" ca="1" si="127"/>
        <v>2.2509407944112714E-2</v>
      </c>
    </row>
    <row r="7895" spans="6:7" x14ac:dyDescent="0.35">
      <c r="F7895">
        <v>7890</v>
      </c>
      <c r="G7895" s="102">
        <f t="shared" ca="1" si="127"/>
        <v>4.9328460545842154E-2</v>
      </c>
    </row>
    <row r="7896" spans="6:7" x14ac:dyDescent="0.35">
      <c r="F7896">
        <v>7891</v>
      </c>
      <c r="G7896" s="102">
        <f t="shared" ca="1" si="127"/>
        <v>-4.1073538415426552E-3</v>
      </c>
    </row>
    <row r="7897" spans="6:7" x14ac:dyDescent="0.35">
      <c r="F7897">
        <v>7892</v>
      </c>
      <c r="G7897" s="102">
        <f t="shared" ca="1" si="127"/>
        <v>-0.10314975857235528</v>
      </c>
    </row>
    <row r="7898" spans="6:7" x14ac:dyDescent="0.35">
      <c r="F7898">
        <v>7893</v>
      </c>
      <c r="G7898" s="102">
        <f t="shared" ca="1" si="127"/>
        <v>-3.0691983206561812E-2</v>
      </c>
    </row>
    <row r="7899" spans="6:7" x14ac:dyDescent="0.35">
      <c r="F7899">
        <v>7894</v>
      </c>
      <c r="G7899" s="102">
        <f t="shared" ca="1" si="127"/>
        <v>4.1496882823097145E-2</v>
      </c>
    </row>
    <row r="7900" spans="6:7" x14ac:dyDescent="0.35">
      <c r="F7900">
        <v>7895</v>
      </c>
      <c r="G7900" s="102">
        <f t="shared" ca="1" si="127"/>
        <v>-2.7419949920273287E-2</v>
      </c>
    </row>
    <row r="7901" spans="6:7" x14ac:dyDescent="0.35">
      <c r="F7901">
        <v>7896</v>
      </c>
      <c r="G7901" s="102">
        <f t="shared" ca="1" si="127"/>
        <v>0.10117416867796972</v>
      </c>
    </row>
    <row r="7902" spans="6:7" x14ac:dyDescent="0.35">
      <c r="F7902">
        <v>7897</v>
      </c>
      <c r="G7902" s="102">
        <f t="shared" ca="1" si="127"/>
        <v>-2.0392210518435136E-2</v>
      </c>
    </row>
    <row r="7903" spans="6:7" x14ac:dyDescent="0.35">
      <c r="F7903">
        <v>7898</v>
      </c>
      <c r="G7903" s="102">
        <f t="shared" ca="1" si="127"/>
        <v>-8.3306319330715403E-2</v>
      </c>
    </row>
    <row r="7904" spans="6:7" x14ac:dyDescent="0.35">
      <c r="F7904">
        <v>7899</v>
      </c>
      <c r="G7904" s="102">
        <f t="shared" ca="1" si="127"/>
        <v>0.12065447403070385</v>
      </c>
    </row>
    <row r="7905" spans="6:7" x14ac:dyDescent="0.35">
      <c r="F7905">
        <v>7900</v>
      </c>
      <c r="G7905" s="102">
        <f t="shared" ca="1" si="127"/>
        <v>6.7441738155005079E-2</v>
      </c>
    </row>
    <row r="7906" spans="6:7" x14ac:dyDescent="0.35">
      <c r="F7906">
        <v>7901</v>
      </c>
      <c r="G7906" s="102">
        <f t="shared" ca="1" si="127"/>
        <v>2.4658222532421809E-2</v>
      </c>
    </row>
    <row r="7907" spans="6:7" x14ac:dyDescent="0.35">
      <c r="F7907">
        <v>7902</v>
      </c>
      <c r="G7907" s="102">
        <f t="shared" ca="1" si="127"/>
        <v>8.5691745264917778E-3</v>
      </c>
    </row>
    <row r="7908" spans="6:7" x14ac:dyDescent="0.35">
      <c r="F7908">
        <v>7903</v>
      </c>
      <c r="G7908" s="102">
        <f t="shared" ca="1" si="127"/>
        <v>9.4779853299442704E-2</v>
      </c>
    </row>
    <row r="7909" spans="6:7" x14ac:dyDescent="0.35">
      <c r="F7909">
        <v>7904</v>
      </c>
      <c r="G7909" s="102">
        <f t="shared" ca="1" si="127"/>
        <v>-2.8583084457631781E-2</v>
      </c>
    </row>
    <row r="7910" spans="6:7" x14ac:dyDescent="0.35">
      <c r="F7910">
        <v>7905</v>
      </c>
      <c r="G7910" s="102">
        <f t="shared" ca="1" si="127"/>
        <v>-1.3723867192360418E-2</v>
      </c>
    </row>
    <row r="7911" spans="6:7" x14ac:dyDescent="0.35">
      <c r="F7911">
        <v>7906</v>
      </c>
      <c r="G7911" s="102">
        <f t="shared" ca="1" si="127"/>
        <v>3.9091288218150166E-3</v>
      </c>
    </row>
    <row r="7912" spans="6:7" x14ac:dyDescent="0.35">
      <c r="F7912">
        <v>7907</v>
      </c>
      <c r="G7912" s="102">
        <f t="shared" ca="1" si="127"/>
        <v>5.3181824402999969E-2</v>
      </c>
    </row>
    <row r="7913" spans="6:7" x14ac:dyDescent="0.35">
      <c r="F7913">
        <v>7908</v>
      </c>
      <c r="G7913" s="102">
        <f t="shared" ca="1" si="127"/>
        <v>8.5474971555066209E-3</v>
      </c>
    </row>
    <row r="7914" spans="6:7" x14ac:dyDescent="0.35">
      <c r="F7914">
        <v>7909</v>
      </c>
      <c r="G7914" s="102">
        <f t="shared" ca="1" si="127"/>
        <v>3.3827123072764462E-2</v>
      </c>
    </row>
    <row r="7915" spans="6:7" x14ac:dyDescent="0.35">
      <c r="F7915">
        <v>7910</v>
      </c>
      <c r="G7915" s="102">
        <f t="shared" ca="1" si="127"/>
        <v>-3.3362150590879216E-3</v>
      </c>
    </row>
    <row r="7916" spans="6:7" x14ac:dyDescent="0.35">
      <c r="F7916">
        <v>7911</v>
      </c>
      <c r="G7916" s="102">
        <f t="shared" ca="1" si="127"/>
        <v>-4.5400074402737634E-2</v>
      </c>
    </row>
    <row r="7917" spans="6:7" x14ac:dyDescent="0.35">
      <c r="F7917">
        <v>7912</v>
      </c>
      <c r="G7917" s="102">
        <f t="shared" ca="1" si="127"/>
        <v>-0.10700054620011519</v>
      </c>
    </row>
    <row r="7918" spans="6:7" x14ac:dyDescent="0.35">
      <c r="F7918">
        <v>7913</v>
      </c>
      <c r="G7918" s="102">
        <f t="shared" ca="1" si="127"/>
        <v>0.1305351147835328</v>
      </c>
    </row>
    <row r="7919" spans="6:7" x14ac:dyDescent="0.35">
      <c r="F7919">
        <v>7914</v>
      </c>
      <c r="G7919" s="102">
        <f t="shared" ca="1" si="127"/>
        <v>1.773240118957051E-2</v>
      </c>
    </row>
    <row r="7920" spans="6:7" x14ac:dyDescent="0.35">
      <c r="F7920">
        <v>7915</v>
      </c>
      <c r="G7920" s="102">
        <f t="shared" ca="1" si="127"/>
        <v>1.9159305541885847E-2</v>
      </c>
    </row>
    <row r="7921" spans="6:7" x14ac:dyDescent="0.35">
      <c r="F7921">
        <v>7916</v>
      </c>
      <c r="G7921" s="102">
        <f t="shared" ca="1" si="127"/>
        <v>-7.3637302875607283E-2</v>
      </c>
    </row>
    <row r="7922" spans="6:7" x14ac:dyDescent="0.35">
      <c r="F7922">
        <v>7917</v>
      </c>
      <c r="G7922" s="102">
        <f t="shared" ca="1" si="127"/>
        <v>-8.4494776719741593E-2</v>
      </c>
    </row>
    <row r="7923" spans="6:7" x14ac:dyDescent="0.35">
      <c r="F7923">
        <v>7918</v>
      </c>
      <c r="G7923" s="102">
        <f t="shared" ca="1" si="127"/>
        <v>5.431482733603786E-2</v>
      </c>
    </row>
    <row r="7924" spans="6:7" x14ac:dyDescent="0.35">
      <c r="F7924">
        <v>7919</v>
      </c>
      <c r="G7924" s="102">
        <f t="shared" ca="1" si="127"/>
        <v>-1.5847221271038138E-2</v>
      </c>
    </row>
    <row r="7925" spans="6:7" x14ac:dyDescent="0.35">
      <c r="F7925">
        <v>7920</v>
      </c>
      <c r="G7925" s="102">
        <f t="shared" ca="1" si="127"/>
        <v>-2.1189321874399838E-2</v>
      </c>
    </row>
    <row r="7926" spans="6:7" x14ac:dyDescent="0.35">
      <c r="F7926">
        <v>7921</v>
      </c>
      <c r="G7926" s="102">
        <f t="shared" ca="1" si="127"/>
        <v>-5.5667706211667778E-2</v>
      </c>
    </row>
    <row r="7927" spans="6:7" x14ac:dyDescent="0.35">
      <c r="F7927">
        <v>7922</v>
      </c>
      <c r="G7927" s="102">
        <f t="shared" ca="1" si="127"/>
        <v>-5.8430829531735076E-2</v>
      </c>
    </row>
    <row r="7928" spans="6:7" x14ac:dyDescent="0.35">
      <c r="F7928">
        <v>7923</v>
      </c>
      <c r="G7928" s="102">
        <f t="shared" ca="1" si="127"/>
        <v>2.3229216044480507E-2</v>
      </c>
    </row>
    <row r="7929" spans="6:7" x14ac:dyDescent="0.35">
      <c r="F7929">
        <v>7924</v>
      </c>
      <c r="G7929" s="102">
        <f t="shared" ca="1" si="127"/>
        <v>3.0916179741091256E-2</v>
      </c>
    </row>
    <row r="7930" spans="6:7" x14ac:dyDescent="0.35">
      <c r="F7930">
        <v>7925</v>
      </c>
      <c r="G7930" s="102">
        <f t="shared" ca="1" si="127"/>
        <v>4.0890823550307261E-3</v>
      </c>
    </row>
    <row r="7931" spans="6:7" x14ac:dyDescent="0.35">
      <c r="F7931">
        <v>7926</v>
      </c>
      <c r="G7931" s="102">
        <f t="shared" ca="1" si="127"/>
        <v>5.9092933405587189E-2</v>
      </c>
    </row>
    <row r="7932" spans="6:7" x14ac:dyDescent="0.35">
      <c r="F7932">
        <v>7927</v>
      </c>
      <c r="G7932" s="102">
        <f t="shared" ca="1" si="127"/>
        <v>-0.10158537377170411</v>
      </c>
    </row>
    <row r="7933" spans="6:7" x14ac:dyDescent="0.35">
      <c r="F7933">
        <v>7928</v>
      </c>
      <c r="G7933" s="102">
        <f t="shared" ca="1" si="127"/>
        <v>3.0228027635167288E-2</v>
      </c>
    </row>
    <row r="7934" spans="6:7" x14ac:dyDescent="0.35">
      <c r="F7934">
        <v>7929</v>
      </c>
      <c r="G7934" s="102">
        <f t="shared" ca="1" si="127"/>
        <v>5.142805631275725E-2</v>
      </c>
    </row>
    <row r="7935" spans="6:7" x14ac:dyDescent="0.35">
      <c r="F7935">
        <v>7930</v>
      </c>
      <c r="G7935" s="102">
        <f t="shared" ca="1" si="127"/>
        <v>9.0257001971395939E-2</v>
      </c>
    </row>
    <row r="7936" spans="6:7" x14ac:dyDescent="0.35">
      <c r="F7936">
        <v>7931</v>
      </c>
      <c r="G7936" s="102">
        <f t="shared" ca="1" si="127"/>
        <v>-1.8007374314593792E-2</v>
      </c>
    </row>
    <row r="7937" spans="6:7" x14ac:dyDescent="0.35">
      <c r="F7937">
        <v>7932</v>
      </c>
      <c r="G7937" s="102">
        <f t="shared" ca="1" si="127"/>
        <v>-2.0735739992201914E-2</v>
      </c>
    </row>
    <row r="7938" spans="6:7" x14ac:dyDescent="0.35">
      <c r="F7938">
        <v>7933</v>
      </c>
      <c r="G7938" s="102">
        <f t="shared" ca="1" si="127"/>
        <v>-5.2393572952076986E-2</v>
      </c>
    </row>
    <row r="7939" spans="6:7" x14ac:dyDescent="0.35">
      <c r="F7939">
        <v>7934</v>
      </c>
      <c r="G7939" s="102">
        <f t="shared" ca="1" si="127"/>
        <v>-5.8933562943449064E-2</v>
      </c>
    </row>
    <row r="7940" spans="6:7" x14ac:dyDescent="0.35">
      <c r="F7940">
        <v>7935</v>
      </c>
      <c r="G7940" s="102">
        <f t="shared" ca="1" si="127"/>
        <v>-8.3661480966315496E-2</v>
      </c>
    </row>
    <row r="7941" spans="6:7" x14ac:dyDescent="0.35">
      <c r="F7941">
        <v>7936</v>
      </c>
      <c r="G7941" s="102">
        <f t="shared" ca="1" si="127"/>
        <v>-1.23214012921616E-2</v>
      </c>
    </row>
    <row r="7942" spans="6:7" x14ac:dyDescent="0.35">
      <c r="F7942">
        <v>7937</v>
      </c>
      <c r="G7942" s="102">
        <f t="shared" ca="1" si="127"/>
        <v>-2.2198216908331649E-2</v>
      </c>
    </row>
    <row r="7943" spans="6:7" x14ac:dyDescent="0.35">
      <c r="F7943">
        <v>7938</v>
      </c>
      <c r="G7943" s="102">
        <f t="shared" ref="G7943:G8006" ca="1" si="128">_xlfn.NORM.INV(RAND(),M$9,M$10)</f>
        <v>7.0649685583146049E-2</v>
      </c>
    </row>
    <row r="7944" spans="6:7" x14ac:dyDescent="0.35">
      <c r="F7944">
        <v>7939</v>
      </c>
      <c r="G7944" s="102">
        <f t="shared" ca="1" si="128"/>
        <v>9.3358090669711721E-2</v>
      </c>
    </row>
    <row r="7945" spans="6:7" x14ac:dyDescent="0.35">
      <c r="F7945">
        <v>7940</v>
      </c>
      <c r="G7945" s="102">
        <f t="shared" ca="1" si="128"/>
        <v>8.5732061917745336E-2</v>
      </c>
    </row>
    <row r="7946" spans="6:7" x14ac:dyDescent="0.35">
      <c r="F7946">
        <v>7941</v>
      </c>
      <c r="G7946" s="102">
        <f t="shared" ca="1" si="128"/>
        <v>7.3591029031383981E-2</v>
      </c>
    </row>
    <row r="7947" spans="6:7" x14ac:dyDescent="0.35">
      <c r="F7947">
        <v>7942</v>
      </c>
      <c r="G7947" s="102">
        <f t="shared" ca="1" si="128"/>
        <v>6.9879007436702265E-2</v>
      </c>
    </row>
    <row r="7948" spans="6:7" x14ac:dyDescent="0.35">
      <c r="F7948">
        <v>7943</v>
      </c>
      <c r="G7948" s="102">
        <f t="shared" ca="1" si="128"/>
        <v>1.7521439506708404E-2</v>
      </c>
    </row>
    <row r="7949" spans="6:7" x14ac:dyDescent="0.35">
      <c r="F7949">
        <v>7944</v>
      </c>
      <c r="G7949" s="102">
        <f t="shared" ca="1" si="128"/>
        <v>9.189731240760099E-4</v>
      </c>
    </row>
    <row r="7950" spans="6:7" x14ac:dyDescent="0.35">
      <c r="F7950">
        <v>7945</v>
      </c>
      <c r="G7950" s="102">
        <f t="shared" ca="1" si="128"/>
        <v>2.4014633146825167E-2</v>
      </c>
    </row>
    <row r="7951" spans="6:7" x14ac:dyDescent="0.35">
      <c r="F7951">
        <v>7946</v>
      </c>
      <c r="G7951" s="102">
        <f t="shared" ca="1" si="128"/>
        <v>-2.755094164748375E-2</v>
      </c>
    </row>
    <row r="7952" spans="6:7" x14ac:dyDescent="0.35">
      <c r="F7952">
        <v>7947</v>
      </c>
      <c r="G7952" s="102">
        <f t="shared" ca="1" si="128"/>
        <v>7.7844135135696574E-2</v>
      </c>
    </row>
    <row r="7953" spans="6:7" x14ac:dyDescent="0.35">
      <c r="F7953">
        <v>7948</v>
      </c>
      <c r="G7953" s="102">
        <f t="shared" ca="1" si="128"/>
        <v>-6.4976519348195427E-2</v>
      </c>
    </row>
    <row r="7954" spans="6:7" x14ac:dyDescent="0.35">
      <c r="F7954">
        <v>7949</v>
      </c>
      <c r="G7954" s="102">
        <f t="shared" ca="1" si="128"/>
        <v>-5.0147118752320599E-2</v>
      </c>
    </row>
    <row r="7955" spans="6:7" x14ac:dyDescent="0.35">
      <c r="F7955">
        <v>7950</v>
      </c>
      <c r="G7955" s="102">
        <f t="shared" ca="1" si="128"/>
        <v>-0.17355285832269804</v>
      </c>
    </row>
    <row r="7956" spans="6:7" x14ac:dyDescent="0.35">
      <c r="F7956">
        <v>7951</v>
      </c>
      <c r="G7956" s="102">
        <f t="shared" ca="1" si="128"/>
        <v>-2.1989586234004616E-2</v>
      </c>
    </row>
    <row r="7957" spans="6:7" x14ac:dyDescent="0.35">
      <c r="F7957">
        <v>7952</v>
      </c>
      <c r="G7957" s="102">
        <f t="shared" ca="1" si="128"/>
        <v>7.1485552794401469E-2</v>
      </c>
    </row>
    <row r="7958" spans="6:7" x14ac:dyDescent="0.35">
      <c r="F7958">
        <v>7953</v>
      </c>
      <c r="G7958" s="102">
        <f t="shared" ca="1" si="128"/>
        <v>-0.12102887253908355</v>
      </c>
    </row>
    <row r="7959" spans="6:7" x14ac:dyDescent="0.35">
      <c r="F7959">
        <v>7954</v>
      </c>
      <c r="G7959" s="102">
        <f t="shared" ca="1" si="128"/>
        <v>-4.5365180461225008E-2</v>
      </c>
    </row>
    <row r="7960" spans="6:7" x14ac:dyDescent="0.35">
      <c r="F7960">
        <v>7955</v>
      </c>
      <c r="G7960" s="102">
        <f t="shared" ca="1" si="128"/>
        <v>-0.1152998728634464</v>
      </c>
    </row>
    <row r="7961" spans="6:7" x14ac:dyDescent="0.35">
      <c r="F7961">
        <v>7956</v>
      </c>
      <c r="G7961" s="102">
        <f t="shared" ca="1" si="128"/>
        <v>6.4508581231005724E-2</v>
      </c>
    </row>
    <row r="7962" spans="6:7" x14ac:dyDescent="0.35">
      <c r="F7962">
        <v>7957</v>
      </c>
      <c r="G7962" s="102">
        <f t="shared" ca="1" si="128"/>
        <v>-6.8810289677853173E-2</v>
      </c>
    </row>
    <row r="7963" spans="6:7" x14ac:dyDescent="0.35">
      <c r="F7963">
        <v>7958</v>
      </c>
      <c r="G7963" s="102">
        <f t="shared" ca="1" si="128"/>
        <v>-1.345965145875138E-2</v>
      </c>
    </row>
    <row r="7964" spans="6:7" x14ac:dyDescent="0.35">
      <c r="F7964">
        <v>7959</v>
      </c>
      <c r="G7964" s="102">
        <f t="shared" ca="1" si="128"/>
        <v>3.6263614195315291E-2</v>
      </c>
    </row>
    <row r="7965" spans="6:7" x14ac:dyDescent="0.35">
      <c r="F7965">
        <v>7960</v>
      </c>
      <c r="G7965" s="102">
        <f t="shared" ca="1" si="128"/>
        <v>7.7746098696542323E-3</v>
      </c>
    </row>
    <row r="7966" spans="6:7" x14ac:dyDescent="0.35">
      <c r="F7966">
        <v>7961</v>
      </c>
      <c r="G7966" s="102">
        <f t="shared" ca="1" si="128"/>
        <v>-0.12060224811610835</v>
      </c>
    </row>
    <row r="7967" spans="6:7" x14ac:dyDescent="0.35">
      <c r="F7967">
        <v>7962</v>
      </c>
      <c r="G7967" s="102">
        <f t="shared" ca="1" si="128"/>
        <v>2.0194833124255206E-2</v>
      </c>
    </row>
    <row r="7968" spans="6:7" x14ac:dyDescent="0.35">
      <c r="F7968">
        <v>7963</v>
      </c>
      <c r="G7968" s="102">
        <f t="shared" ca="1" si="128"/>
        <v>2.7056232872541251E-2</v>
      </c>
    </row>
    <row r="7969" spans="6:7" x14ac:dyDescent="0.35">
      <c r="F7969">
        <v>7964</v>
      </c>
      <c r="G7969" s="102">
        <f t="shared" ca="1" si="128"/>
        <v>2.8015958802658506E-2</v>
      </c>
    </row>
    <row r="7970" spans="6:7" x14ac:dyDescent="0.35">
      <c r="F7970">
        <v>7965</v>
      </c>
      <c r="G7970" s="102">
        <f t="shared" ca="1" si="128"/>
        <v>-2.8828006629696062E-2</v>
      </c>
    </row>
    <row r="7971" spans="6:7" x14ac:dyDescent="0.35">
      <c r="F7971">
        <v>7966</v>
      </c>
      <c r="G7971" s="102">
        <f t="shared" ca="1" si="128"/>
        <v>-2.6736409814811568E-2</v>
      </c>
    </row>
    <row r="7972" spans="6:7" x14ac:dyDescent="0.35">
      <c r="F7972">
        <v>7967</v>
      </c>
      <c r="G7972" s="102">
        <f t="shared" ca="1" si="128"/>
        <v>-1.8999938230382922E-2</v>
      </c>
    </row>
    <row r="7973" spans="6:7" x14ac:dyDescent="0.35">
      <c r="F7973">
        <v>7968</v>
      </c>
      <c r="G7973" s="102">
        <f t="shared" ca="1" si="128"/>
        <v>-1.5527519733557271E-2</v>
      </c>
    </row>
    <row r="7974" spans="6:7" x14ac:dyDescent="0.35">
      <c r="F7974">
        <v>7969</v>
      </c>
      <c r="G7974" s="102">
        <f t="shared" ca="1" si="128"/>
        <v>2.3488997955342743E-2</v>
      </c>
    </row>
    <row r="7975" spans="6:7" x14ac:dyDescent="0.35">
      <c r="F7975">
        <v>7970</v>
      </c>
      <c r="G7975" s="102">
        <f t="shared" ca="1" si="128"/>
        <v>-7.7075320499543118E-2</v>
      </c>
    </row>
    <row r="7976" spans="6:7" x14ac:dyDescent="0.35">
      <c r="F7976">
        <v>7971</v>
      </c>
      <c r="G7976" s="102">
        <f t="shared" ca="1" si="128"/>
        <v>1.8625196506724787E-2</v>
      </c>
    </row>
    <row r="7977" spans="6:7" x14ac:dyDescent="0.35">
      <c r="F7977">
        <v>7972</v>
      </c>
      <c r="G7977" s="102">
        <f t="shared" ca="1" si="128"/>
        <v>-0.17929619554365539</v>
      </c>
    </row>
    <row r="7978" spans="6:7" x14ac:dyDescent="0.35">
      <c r="F7978">
        <v>7973</v>
      </c>
      <c r="G7978" s="102">
        <f t="shared" ca="1" si="128"/>
        <v>-5.3798071189952818E-3</v>
      </c>
    </row>
    <row r="7979" spans="6:7" x14ac:dyDescent="0.35">
      <c r="F7979">
        <v>7974</v>
      </c>
      <c r="G7979" s="102">
        <f t="shared" ca="1" si="128"/>
        <v>5.6695655855855093E-2</v>
      </c>
    </row>
    <row r="7980" spans="6:7" x14ac:dyDescent="0.35">
      <c r="F7980">
        <v>7975</v>
      </c>
      <c r="G7980" s="102">
        <f t="shared" ca="1" si="128"/>
        <v>-1.2259322576627874E-2</v>
      </c>
    </row>
    <row r="7981" spans="6:7" x14ac:dyDescent="0.35">
      <c r="F7981">
        <v>7976</v>
      </c>
      <c r="G7981" s="102">
        <f t="shared" ca="1" si="128"/>
        <v>3.2376852483515739E-2</v>
      </c>
    </row>
    <row r="7982" spans="6:7" x14ac:dyDescent="0.35">
      <c r="F7982">
        <v>7977</v>
      </c>
      <c r="G7982" s="102">
        <f t="shared" ca="1" si="128"/>
        <v>5.3725998685045878E-2</v>
      </c>
    </row>
    <row r="7983" spans="6:7" x14ac:dyDescent="0.35">
      <c r="F7983">
        <v>7978</v>
      </c>
      <c r="G7983" s="102">
        <f t="shared" ca="1" si="128"/>
        <v>6.4648665665213448E-2</v>
      </c>
    </row>
    <row r="7984" spans="6:7" x14ac:dyDescent="0.35">
      <c r="F7984">
        <v>7979</v>
      </c>
      <c r="G7984" s="102">
        <f t="shared" ca="1" si="128"/>
        <v>-1.7608478378104801E-2</v>
      </c>
    </row>
    <row r="7985" spans="6:7" x14ac:dyDescent="0.35">
      <c r="F7985">
        <v>7980</v>
      </c>
      <c r="G7985" s="102">
        <f t="shared" ca="1" si="128"/>
        <v>-4.1830814263860247E-2</v>
      </c>
    </row>
    <row r="7986" spans="6:7" x14ac:dyDescent="0.35">
      <c r="F7986">
        <v>7981</v>
      </c>
      <c r="G7986" s="102">
        <f t="shared" ca="1" si="128"/>
        <v>6.9835384934334638E-2</v>
      </c>
    </row>
    <row r="7987" spans="6:7" x14ac:dyDescent="0.35">
      <c r="F7987">
        <v>7982</v>
      </c>
      <c r="G7987" s="102">
        <f t="shared" ca="1" si="128"/>
        <v>-2.1260780238185551E-2</v>
      </c>
    </row>
    <row r="7988" spans="6:7" x14ac:dyDescent="0.35">
      <c r="F7988">
        <v>7983</v>
      </c>
      <c r="G7988" s="102">
        <f t="shared" ca="1" si="128"/>
        <v>7.5754740882789426E-2</v>
      </c>
    </row>
    <row r="7989" spans="6:7" x14ac:dyDescent="0.35">
      <c r="F7989">
        <v>7984</v>
      </c>
      <c r="G7989" s="102">
        <f t="shared" ca="1" si="128"/>
        <v>-7.5192422743831866E-2</v>
      </c>
    </row>
    <row r="7990" spans="6:7" x14ac:dyDescent="0.35">
      <c r="F7990">
        <v>7985</v>
      </c>
      <c r="G7990" s="102">
        <f t="shared" ca="1" si="128"/>
        <v>-6.8368796187169553E-2</v>
      </c>
    </row>
    <row r="7991" spans="6:7" x14ac:dyDescent="0.35">
      <c r="F7991">
        <v>7986</v>
      </c>
      <c r="G7991" s="102">
        <f t="shared" ca="1" si="128"/>
        <v>1.1120046404781814E-2</v>
      </c>
    </row>
    <row r="7992" spans="6:7" x14ac:dyDescent="0.35">
      <c r="F7992">
        <v>7987</v>
      </c>
      <c r="G7992" s="102">
        <f t="shared" ca="1" si="128"/>
        <v>-9.2368594751308819E-2</v>
      </c>
    </row>
    <row r="7993" spans="6:7" x14ac:dyDescent="0.35">
      <c r="F7993">
        <v>7988</v>
      </c>
      <c r="G7993" s="102">
        <f t="shared" ca="1" si="128"/>
        <v>1.7084812251543697E-2</v>
      </c>
    </row>
    <row r="7994" spans="6:7" x14ac:dyDescent="0.35">
      <c r="F7994">
        <v>7989</v>
      </c>
      <c r="G7994" s="102">
        <f t="shared" ca="1" si="128"/>
        <v>5.1300303963348892E-2</v>
      </c>
    </row>
    <row r="7995" spans="6:7" x14ac:dyDescent="0.35">
      <c r="F7995">
        <v>7990</v>
      </c>
      <c r="G7995" s="102">
        <f t="shared" ca="1" si="128"/>
        <v>-9.7058627906494777E-2</v>
      </c>
    </row>
    <row r="7996" spans="6:7" x14ac:dyDescent="0.35">
      <c r="F7996">
        <v>7991</v>
      </c>
      <c r="G7996" s="102">
        <f t="shared" ca="1" si="128"/>
        <v>-5.5274103810463602E-3</v>
      </c>
    </row>
    <row r="7997" spans="6:7" x14ac:dyDescent="0.35">
      <c r="F7997">
        <v>7992</v>
      </c>
      <c r="G7997" s="102">
        <f t="shared" ca="1" si="128"/>
        <v>-3.5286264269293863E-2</v>
      </c>
    </row>
    <row r="7998" spans="6:7" x14ac:dyDescent="0.35">
      <c r="F7998">
        <v>7993</v>
      </c>
      <c r="G7998" s="102">
        <f t="shared" ca="1" si="128"/>
        <v>3.1846473171588785E-2</v>
      </c>
    </row>
    <row r="7999" spans="6:7" x14ac:dyDescent="0.35">
      <c r="F7999">
        <v>7994</v>
      </c>
      <c r="G7999" s="102">
        <f t="shared" ca="1" si="128"/>
        <v>-2.8868235768111428E-2</v>
      </c>
    </row>
    <row r="8000" spans="6:7" x14ac:dyDescent="0.35">
      <c r="F8000">
        <v>7995</v>
      </c>
      <c r="G8000" s="102">
        <f t="shared" ca="1" si="128"/>
        <v>5.9031031931516681E-2</v>
      </c>
    </row>
    <row r="8001" spans="6:7" x14ac:dyDescent="0.35">
      <c r="F8001">
        <v>7996</v>
      </c>
      <c r="G8001" s="102">
        <f t="shared" ca="1" si="128"/>
        <v>-5.6457904373715465E-2</v>
      </c>
    </row>
    <row r="8002" spans="6:7" x14ac:dyDescent="0.35">
      <c r="F8002">
        <v>7997</v>
      </c>
      <c r="G8002" s="102">
        <f t="shared" ca="1" si="128"/>
        <v>5.8519705759024709E-2</v>
      </c>
    </row>
    <row r="8003" spans="6:7" x14ac:dyDescent="0.35">
      <c r="F8003">
        <v>7998</v>
      </c>
      <c r="G8003" s="102">
        <f t="shared" ca="1" si="128"/>
        <v>-4.6211701346329639E-2</v>
      </c>
    </row>
    <row r="8004" spans="6:7" x14ac:dyDescent="0.35">
      <c r="F8004">
        <v>7999</v>
      </c>
      <c r="G8004" s="102">
        <f t="shared" ca="1" si="128"/>
        <v>-5.6119801632807331E-2</v>
      </c>
    </row>
    <row r="8005" spans="6:7" x14ac:dyDescent="0.35">
      <c r="F8005">
        <v>8000</v>
      </c>
      <c r="G8005" s="102">
        <f t="shared" ca="1" si="128"/>
        <v>9.6711609828125641E-2</v>
      </c>
    </row>
    <row r="8006" spans="6:7" x14ac:dyDescent="0.35">
      <c r="F8006">
        <v>8001</v>
      </c>
      <c r="G8006" s="102">
        <f t="shared" ca="1" si="128"/>
        <v>-7.1242416692524679E-2</v>
      </c>
    </row>
    <row r="8007" spans="6:7" x14ac:dyDescent="0.35">
      <c r="F8007">
        <v>8002</v>
      </c>
      <c r="G8007" s="102">
        <f t="shared" ref="G8007:G8070" ca="1" si="129">_xlfn.NORM.INV(RAND(),M$9,M$10)</f>
        <v>-0.10538627993785131</v>
      </c>
    </row>
    <row r="8008" spans="6:7" x14ac:dyDescent="0.35">
      <c r="F8008">
        <v>8003</v>
      </c>
      <c r="G8008" s="102">
        <f t="shared" ca="1" si="129"/>
        <v>-3.7470588083156869E-2</v>
      </c>
    </row>
    <row r="8009" spans="6:7" x14ac:dyDescent="0.35">
      <c r="F8009">
        <v>8004</v>
      </c>
      <c r="G8009" s="102">
        <f t="shared" ca="1" si="129"/>
        <v>-2.3543374395050515E-2</v>
      </c>
    </row>
    <row r="8010" spans="6:7" x14ac:dyDescent="0.35">
      <c r="F8010">
        <v>8005</v>
      </c>
      <c r="G8010" s="102">
        <f t="shared" ca="1" si="129"/>
        <v>-1.0333229180577455E-2</v>
      </c>
    </row>
    <row r="8011" spans="6:7" x14ac:dyDescent="0.35">
      <c r="F8011">
        <v>8006</v>
      </c>
      <c r="G8011" s="102">
        <f t="shared" ca="1" si="129"/>
        <v>-5.0591782299494417E-2</v>
      </c>
    </row>
    <row r="8012" spans="6:7" x14ac:dyDescent="0.35">
      <c r="F8012">
        <v>8007</v>
      </c>
      <c r="G8012" s="102">
        <f t="shared" ca="1" si="129"/>
        <v>-7.2454246229311341E-3</v>
      </c>
    </row>
    <row r="8013" spans="6:7" x14ac:dyDescent="0.35">
      <c r="F8013">
        <v>8008</v>
      </c>
      <c r="G8013" s="102">
        <f t="shared" ca="1" si="129"/>
        <v>-3.6757041438566868E-2</v>
      </c>
    </row>
    <row r="8014" spans="6:7" x14ac:dyDescent="0.35">
      <c r="F8014">
        <v>8009</v>
      </c>
      <c r="G8014" s="102">
        <f t="shared" ca="1" si="129"/>
        <v>-0.10484802789264495</v>
      </c>
    </row>
    <row r="8015" spans="6:7" x14ac:dyDescent="0.35">
      <c r="F8015">
        <v>8010</v>
      </c>
      <c r="G8015" s="102">
        <f t="shared" ca="1" si="129"/>
        <v>-0.1021267901605173</v>
      </c>
    </row>
    <row r="8016" spans="6:7" x14ac:dyDescent="0.35">
      <c r="F8016">
        <v>8011</v>
      </c>
      <c r="G8016" s="102">
        <f t="shared" ca="1" si="129"/>
        <v>5.7792187480015328E-2</v>
      </c>
    </row>
    <row r="8017" spans="6:7" x14ac:dyDescent="0.35">
      <c r="F8017">
        <v>8012</v>
      </c>
      <c r="G8017" s="102">
        <f t="shared" ca="1" si="129"/>
        <v>-1.6104896482592539E-2</v>
      </c>
    </row>
    <row r="8018" spans="6:7" x14ac:dyDescent="0.35">
      <c r="F8018">
        <v>8013</v>
      </c>
      <c r="G8018" s="102">
        <f t="shared" ca="1" si="129"/>
        <v>-7.7906290982039071E-3</v>
      </c>
    </row>
    <row r="8019" spans="6:7" x14ac:dyDescent="0.35">
      <c r="F8019">
        <v>8014</v>
      </c>
      <c r="G8019" s="102">
        <f t="shared" ca="1" si="129"/>
        <v>-0.11193710886592263</v>
      </c>
    </row>
    <row r="8020" spans="6:7" x14ac:dyDescent="0.35">
      <c r="F8020">
        <v>8015</v>
      </c>
      <c r="G8020" s="102">
        <f t="shared" ca="1" si="129"/>
        <v>5.6156345351431353E-2</v>
      </c>
    </row>
    <row r="8021" spans="6:7" x14ac:dyDescent="0.35">
      <c r="F8021">
        <v>8016</v>
      </c>
      <c r="G8021" s="102">
        <f t="shared" ca="1" si="129"/>
        <v>2.2898188838173364E-2</v>
      </c>
    </row>
    <row r="8022" spans="6:7" x14ac:dyDescent="0.35">
      <c r="F8022">
        <v>8017</v>
      </c>
      <c r="G8022" s="102">
        <f t="shared" ca="1" si="129"/>
        <v>-2.5810285791726929E-2</v>
      </c>
    </row>
    <row r="8023" spans="6:7" x14ac:dyDescent="0.35">
      <c r="F8023">
        <v>8018</v>
      </c>
      <c r="G8023" s="102">
        <f t="shared" ca="1" si="129"/>
        <v>-8.5369876494373401E-2</v>
      </c>
    </row>
    <row r="8024" spans="6:7" x14ac:dyDescent="0.35">
      <c r="F8024">
        <v>8019</v>
      </c>
      <c r="G8024" s="102">
        <f t="shared" ca="1" si="129"/>
        <v>-0.13195948611257505</v>
      </c>
    </row>
    <row r="8025" spans="6:7" x14ac:dyDescent="0.35">
      <c r="F8025">
        <v>8020</v>
      </c>
      <c r="G8025" s="102">
        <f t="shared" ca="1" si="129"/>
        <v>-5.5839513992866546E-2</v>
      </c>
    </row>
    <row r="8026" spans="6:7" x14ac:dyDescent="0.35">
      <c r="F8026">
        <v>8021</v>
      </c>
      <c r="G8026" s="102">
        <f t="shared" ca="1" si="129"/>
        <v>-4.0348572766319063E-2</v>
      </c>
    </row>
    <row r="8027" spans="6:7" x14ac:dyDescent="0.35">
      <c r="F8027">
        <v>8022</v>
      </c>
      <c r="G8027" s="102">
        <f t="shared" ca="1" si="129"/>
        <v>5.5325847319522194E-3</v>
      </c>
    </row>
    <row r="8028" spans="6:7" x14ac:dyDescent="0.35">
      <c r="F8028">
        <v>8023</v>
      </c>
      <c r="G8028" s="102">
        <f t="shared" ca="1" si="129"/>
        <v>5.4473691447740669E-2</v>
      </c>
    </row>
    <row r="8029" spans="6:7" x14ac:dyDescent="0.35">
      <c r="F8029">
        <v>8024</v>
      </c>
      <c r="G8029" s="102">
        <f t="shared" ca="1" si="129"/>
        <v>-3.808502782883344E-2</v>
      </c>
    </row>
    <row r="8030" spans="6:7" x14ac:dyDescent="0.35">
      <c r="F8030">
        <v>8025</v>
      </c>
      <c r="G8030" s="102">
        <f t="shared" ca="1" si="129"/>
        <v>-9.9452560324881395E-2</v>
      </c>
    </row>
    <row r="8031" spans="6:7" x14ac:dyDescent="0.35">
      <c r="F8031">
        <v>8026</v>
      </c>
      <c r="G8031" s="102">
        <f t="shared" ca="1" si="129"/>
        <v>-4.5703933846266823E-2</v>
      </c>
    </row>
    <row r="8032" spans="6:7" x14ac:dyDescent="0.35">
      <c r="F8032">
        <v>8027</v>
      </c>
      <c r="G8032" s="102">
        <f t="shared" ca="1" si="129"/>
        <v>-4.8014744586047462E-3</v>
      </c>
    </row>
    <row r="8033" spans="6:7" x14ac:dyDescent="0.35">
      <c r="F8033">
        <v>8028</v>
      </c>
      <c r="G8033" s="102">
        <f t="shared" ca="1" si="129"/>
        <v>8.4168951086493943E-2</v>
      </c>
    </row>
    <row r="8034" spans="6:7" x14ac:dyDescent="0.35">
      <c r="F8034">
        <v>8029</v>
      </c>
      <c r="G8034" s="102">
        <f t="shared" ca="1" si="129"/>
        <v>0.10049746032009697</v>
      </c>
    </row>
    <row r="8035" spans="6:7" x14ac:dyDescent="0.35">
      <c r="F8035">
        <v>8030</v>
      </c>
      <c r="G8035" s="102">
        <f t="shared" ca="1" si="129"/>
        <v>3.0658929728380985E-2</v>
      </c>
    </row>
    <row r="8036" spans="6:7" x14ac:dyDescent="0.35">
      <c r="F8036">
        <v>8031</v>
      </c>
      <c r="G8036" s="102">
        <f t="shared" ca="1" si="129"/>
        <v>-0.1116218198649495</v>
      </c>
    </row>
    <row r="8037" spans="6:7" x14ac:dyDescent="0.35">
      <c r="F8037">
        <v>8032</v>
      </c>
      <c r="G8037" s="102">
        <f t="shared" ca="1" si="129"/>
        <v>-2.4772073660546939E-2</v>
      </c>
    </row>
    <row r="8038" spans="6:7" x14ac:dyDescent="0.35">
      <c r="F8038">
        <v>8033</v>
      </c>
      <c r="G8038" s="102">
        <f t="shared" ca="1" si="129"/>
        <v>-9.1623781897505734E-3</v>
      </c>
    </row>
    <row r="8039" spans="6:7" x14ac:dyDescent="0.35">
      <c r="F8039">
        <v>8034</v>
      </c>
      <c r="G8039" s="102">
        <f t="shared" ca="1" si="129"/>
        <v>-4.8878148085087725E-2</v>
      </c>
    </row>
    <row r="8040" spans="6:7" x14ac:dyDescent="0.35">
      <c r="F8040">
        <v>8035</v>
      </c>
      <c r="G8040" s="102">
        <f t="shared" ca="1" si="129"/>
        <v>-5.2486332385549658E-2</v>
      </c>
    </row>
    <row r="8041" spans="6:7" x14ac:dyDescent="0.35">
      <c r="F8041">
        <v>8036</v>
      </c>
      <c r="G8041" s="102">
        <f t="shared" ca="1" si="129"/>
        <v>-6.9669164160766003E-2</v>
      </c>
    </row>
    <row r="8042" spans="6:7" x14ac:dyDescent="0.35">
      <c r="F8042">
        <v>8037</v>
      </c>
      <c r="G8042" s="102">
        <f t="shared" ca="1" si="129"/>
        <v>2.5789125078291928E-2</v>
      </c>
    </row>
    <row r="8043" spans="6:7" x14ac:dyDescent="0.35">
      <c r="F8043">
        <v>8038</v>
      </c>
      <c r="G8043" s="102">
        <f t="shared" ca="1" si="129"/>
        <v>-9.0286757268835088E-2</v>
      </c>
    </row>
    <row r="8044" spans="6:7" x14ac:dyDescent="0.35">
      <c r="F8044">
        <v>8039</v>
      </c>
      <c r="G8044" s="102">
        <f t="shared" ca="1" si="129"/>
        <v>0.14035115102841378</v>
      </c>
    </row>
    <row r="8045" spans="6:7" x14ac:dyDescent="0.35">
      <c r="F8045">
        <v>8040</v>
      </c>
      <c r="G8045" s="102">
        <f t="shared" ca="1" si="129"/>
        <v>9.0811708544983535E-2</v>
      </c>
    </row>
    <row r="8046" spans="6:7" x14ac:dyDescent="0.35">
      <c r="F8046">
        <v>8041</v>
      </c>
      <c r="G8046" s="102">
        <f t="shared" ca="1" si="129"/>
        <v>5.127482853312354E-2</v>
      </c>
    </row>
    <row r="8047" spans="6:7" x14ac:dyDescent="0.35">
      <c r="F8047">
        <v>8042</v>
      </c>
      <c r="G8047" s="102">
        <f t="shared" ca="1" si="129"/>
        <v>5.5038520602758607E-3</v>
      </c>
    </row>
    <row r="8048" spans="6:7" x14ac:dyDescent="0.35">
      <c r="F8048">
        <v>8043</v>
      </c>
      <c r="G8048" s="102">
        <f t="shared" ca="1" si="129"/>
        <v>-0.14151467803153028</v>
      </c>
    </row>
    <row r="8049" spans="6:7" x14ac:dyDescent="0.35">
      <c r="F8049">
        <v>8044</v>
      </c>
      <c r="G8049" s="102">
        <f t="shared" ca="1" si="129"/>
        <v>2.6343468533039555E-2</v>
      </c>
    </row>
    <row r="8050" spans="6:7" x14ac:dyDescent="0.35">
      <c r="F8050">
        <v>8045</v>
      </c>
      <c r="G8050" s="102">
        <f t="shared" ca="1" si="129"/>
        <v>-1.3337418130054767E-2</v>
      </c>
    </row>
    <row r="8051" spans="6:7" x14ac:dyDescent="0.35">
      <c r="F8051">
        <v>8046</v>
      </c>
      <c r="G8051" s="102">
        <f t="shared" ca="1" si="129"/>
        <v>-2.463369649390668E-2</v>
      </c>
    </row>
    <row r="8052" spans="6:7" x14ac:dyDescent="0.35">
      <c r="F8052">
        <v>8047</v>
      </c>
      <c r="G8052" s="102">
        <f t="shared" ca="1" si="129"/>
        <v>1.6339069074054274E-2</v>
      </c>
    </row>
    <row r="8053" spans="6:7" x14ac:dyDescent="0.35">
      <c r="F8053">
        <v>8048</v>
      </c>
      <c r="G8053" s="102">
        <f t="shared" ca="1" si="129"/>
        <v>-3.5422580051865785E-2</v>
      </c>
    </row>
    <row r="8054" spans="6:7" x14ac:dyDescent="0.35">
      <c r="F8054">
        <v>8049</v>
      </c>
      <c r="G8054" s="102">
        <f t="shared" ca="1" si="129"/>
        <v>-3.9151312403412741E-2</v>
      </c>
    </row>
    <row r="8055" spans="6:7" x14ac:dyDescent="0.35">
      <c r="F8055">
        <v>8050</v>
      </c>
      <c r="G8055" s="102">
        <f t="shared" ca="1" si="129"/>
        <v>-0.22571976629787094</v>
      </c>
    </row>
    <row r="8056" spans="6:7" x14ac:dyDescent="0.35">
      <c r="F8056">
        <v>8051</v>
      </c>
      <c r="G8056" s="102">
        <f t="shared" ca="1" si="129"/>
        <v>-3.4921136895561991E-2</v>
      </c>
    </row>
    <row r="8057" spans="6:7" x14ac:dyDescent="0.35">
      <c r="F8057">
        <v>8052</v>
      </c>
      <c r="G8057" s="102">
        <f t="shared" ca="1" si="129"/>
        <v>-0.11266933432006465</v>
      </c>
    </row>
    <row r="8058" spans="6:7" x14ac:dyDescent="0.35">
      <c r="F8058">
        <v>8053</v>
      </c>
      <c r="G8058" s="102">
        <f t="shared" ca="1" si="129"/>
        <v>8.1566063348643122E-2</v>
      </c>
    </row>
    <row r="8059" spans="6:7" x14ac:dyDescent="0.35">
      <c r="F8059">
        <v>8054</v>
      </c>
      <c r="G8059" s="102">
        <f t="shared" ca="1" si="129"/>
        <v>9.8851985100630757E-2</v>
      </c>
    </row>
    <row r="8060" spans="6:7" x14ac:dyDescent="0.35">
      <c r="F8060">
        <v>8055</v>
      </c>
      <c r="G8060" s="102">
        <f t="shared" ca="1" si="129"/>
        <v>-9.6687151257110731E-3</v>
      </c>
    </row>
    <row r="8061" spans="6:7" x14ac:dyDescent="0.35">
      <c r="F8061">
        <v>8056</v>
      </c>
      <c r="G8061" s="102">
        <f t="shared" ca="1" si="129"/>
        <v>-4.2237391487637541E-2</v>
      </c>
    </row>
    <row r="8062" spans="6:7" x14ac:dyDescent="0.35">
      <c r="F8062">
        <v>8057</v>
      </c>
      <c r="G8062" s="102">
        <f t="shared" ca="1" si="129"/>
        <v>3.0851866547205661E-3</v>
      </c>
    </row>
    <row r="8063" spans="6:7" x14ac:dyDescent="0.35">
      <c r="F8063">
        <v>8058</v>
      </c>
      <c r="G8063" s="102">
        <f t="shared" ca="1" si="129"/>
        <v>8.5491967133703481E-2</v>
      </c>
    </row>
    <row r="8064" spans="6:7" x14ac:dyDescent="0.35">
      <c r="F8064">
        <v>8059</v>
      </c>
      <c r="G8064" s="102">
        <f t="shared" ca="1" si="129"/>
        <v>0.18942874059736137</v>
      </c>
    </row>
    <row r="8065" spans="6:7" x14ac:dyDescent="0.35">
      <c r="F8065">
        <v>8060</v>
      </c>
      <c r="G8065" s="102">
        <f t="shared" ca="1" si="129"/>
        <v>6.4879093226053758E-2</v>
      </c>
    </row>
    <row r="8066" spans="6:7" x14ac:dyDescent="0.35">
      <c r="F8066">
        <v>8061</v>
      </c>
      <c r="G8066" s="102">
        <f t="shared" ca="1" si="129"/>
        <v>-5.5936350948128669E-2</v>
      </c>
    </row>
    <row r="8067" spans="6:7" x14ac:dyDescent="0.35">
      <c r="F8067">
        <v>8062</v>
      </c>
      <c r="G8067" s="102">
        <f t="shared" ca="1" si="129"/>
        <v>0.14147066763171529</v>
      </c>
    </row>
    <row r="8068" spans="6:7" x14ac:dyDescent="0.35">
      <c r="F8068">
        <v>8063</v>
      </c>
      <c r="G8068" s="102">
        <f t="shared" ca="1" si="129"/>
        <v>3.4579468109747508E-3</v>
      </c>
    </row>
    <row r="8069" spans="6:7" x14ac:dyDescent="0.35">
      <c r="F8069">
        <v>8064</v>
      </c>
      <c r="G8069" s="102">
        <f t="shared" ca="1" si="129"/>
        <v>0.11384665949175891</v>
      </c>
    </row>
    <row r="8070" spans="6:7" x14ac:dyDescent="0.35">
      <c r="F8070">
        <v>8065</v>
      </c>
      <c r="G8070" s="102">
        <f t="shared" ca="1" si="129"/>
        <v>2.1350150966762401E-2</v>
      </c>
    </row>
    <row r="8071" spans="6:7" x14ac:dyDescent="0.35">
      <c r="F8071">
        <v>8066</v>
      </c>
      <c r="G8071" s="102">
        <f t="shared" ref="G8071:G8134" ca="1" si="130">_xlfn.NORM.INV(RAND(),M$9,M$10)</f>
        <v>1.1377793366746096E-2</v>
      </c>
    </row>
    <row r="8072" spans="6:7" x14ac:dyDescent="0.35">
      <c r="F8072">
        <v>8067</v>
      </c>
      <c r="G8072" s="102">
        <f t="shared" ca="1" si="130"/>
        <v>0.10122785444730756</v>
      </c>
    </row>
    <row r="8073" spans="6:7" x14ac:dyDescent="0.35">
      <c r="F8073">
        <v>8068</v>
      </c>
      <c r="G8073" s="102">
        <f t="shared" ca="1" si="130"/>
        <v>-3.0065738001086601E-2</v>
      </c>
    </row>
    <row r="8074" spans="6:7" x14ac:dyDescent="0.35">
      <c r="F8074">
        <v>8069</v>
      </c>
      <c r="G8074" s="102">
        <f t="shared" ca="1" si="130"/>
        <v>5.689448213648679E-2</v>
      </c>
    </row>
    <row r="8075" spans="6:7" x14ac:dyDescent="0.35">
      <c r="F8075">
        <v>8070</v>
      </c>
      <c r="G8075" s="102">
        <f t="shared" ca="1" si="130"/>
        <v>1.4000988550648075E-2</v>
      </c>
    </row>
    <row r="8076" spans="6:7" x14ac:dyDescent="0.35">
      <c r="F8076">
        <v>8071</v>
      </c>
      <c r="G8076" s="102">
        <f t="shared" ca="1" si="130"/>
        <v>7.9034189273322994E-2</v>
      </c>
    </row>
    <row r="8077" spans="6:7" x14ac:dyDescent="0.35">
      <c r="F8077">
        <v>8072</v>
      </c>
      <c r="G8077" s="102">
        <f t="shared" ca="1" si="130"/>
        <v>9.5430557629291989E-3</v>
      </c>
    </row>
    <row r="8078" spans="6:7" x14ac:dyDescent="0.35">
      <c r="F8078">
        <v>8073</v>
      </c>
      <c r="G8078" s="102">
        <f t="shared" ca="1" si="130"/>
        <v>-0.11791253267809294</v>
      </c>
    </row>
    <row r="8079" spans="6:7" x14ac:dyDescent="0.35">
      <c r="F8079">
        <v>8074</v>
      </c>
      <c r="G8079" s="102">
        <f t="shared" ca="1" si="130"/>
        <v>-2.1859603295223028E-2</v>
      </c>
    </row>
    <row r="8080" spans="6:7" x14ac:dyDescent="0.35">
      <c r="F8080">
        <v>8075</v>
      </c>
      <c r="G8080" s="102">
        <f t="shared" ca="1" si="130"/>
        <v>-4.7384803744581025E-2</v>
      </c>
    </row>
    <row r="8081" spans="6:7" x14ac:dyDescent="0.35">
      <c r="F8081">
        <v>8076</v>
      </c>
      <c r="G8081" s="102">
        <f t="shared" ca="1" si="130"/>
        <v>9.4484980844585217E-2</v>
      </c>
    </row>
    <row r="8082" spans="6:7" x14ac:dyDescent="0.35">
      <c r="F8082">
        <v>8077</v>
      </c>
      <c r="G8082" s="102">
        <f t="shared" ca="1" si="130"/>
        <v>5.0060591468047672E-2</v>
      </c>
    </row>
    <row r="8083" spans="6:7" x14ac:dyDescent="0.35">
      <c r="F8083">
        <v>8078</v>
      </c>
      <c r="G8083" s="102">
        <f t="shared" ca="1" si="130"/>
        <v>2.1759983562615753E-2</v>
      </c>
    </row>
    <row r="8084" spans="6:7" x14ac:dyDescent="0.35">
      <c r="F8084">
        <v>8079</v>
      </c>
      <c r="G8084" s="102">
        <f t="shared" ca="1" si="130"/>
        <v>1.9456720219680156E-2</v>
      </c>
    </row>
    <row r="8085" spans="6:7" x14ac:dyDescent="0.35">
      <c r="F8085">
        <v>8080</v>
      </c>
      <c r="G8085" s="102">
        <f t="shared" ca="1" si="130"/>
        <v>2.1167708521914519E-2</v>
      </c>
    </row>
    <row r="8086" spans="6:7" x14ac:dyDescent="0.35">
      <c r="F8086">
        <v>8081</v>
      </c>
      <c r="G8086" s="102">
        <f t="shared" ca="1" si="130"/>
        <v>5.2088554491061728E-2</v>
      </c>
    </row>
    <row r="8087" spans="6:7" x14ac:dyDescent="0.35">
      <c r="F8087">
        <v>8082</v>
      </c>
      <c r="G8087" s="102">
        <f t="shared" ca="1" si="130"/>
        <v>-6.6801945176901217E-2</v>
      </c>
    </row>
    <row r="8088" spans="6:7" x14ac:dyDescent="0.35">
      <c r="F8088">
        <v>8083</v>
      </c>
      <c r="G8088" s="102">
        <f t="shared" ca="1" si="130"/>
        <v>1.8524767947325927E-2</v>
      </c>
    </row>
    <row r="8089" spans="6:7" x14ac:dyDescent="0.35">
      <c r="F8089">
        <v>8084</v>
      </c>
      <c r="G8089" s="102">
        <f t="shared" ca="1" si="130"/>
        <v>-3.2224082857294223E-2</v>
      </c>
    </row>
    <row r="8090" spans="6:7" x14ac:dyDescent="0.35">
      <c r="F8090">
        <v>8085</v>
      </c>
      <c r="G8090" s="102">
        <f t="shared" ca="1" si="130"/>
        <v>1.2601263699753951E-2</v>
      </c>
    </row>
    <row r="8091" spans="6:7" x14ac:dyDescent="0.35">
      <c r="F8091">
        <v>8086</v>
      </c>
      <c r="G8091" s="102">
        <f t="shared" ca="1" si="130"/>
        <v>3.9209727140489981E-2</v>
      </c>
    </row>
    <row r="8092" spans="6:7" x14ac:dyDescent="0.35">
      <c r="F8092">
        <v>8087</v>
      </c>
      <c r="G8092" s="102">
        <f t="shared" ca="1" si="130"/>
        <v>1.9787038740661286E-2</v>
      </c>
    </row>
    <row r="8093" spans="6:7" x14ac:dyDescent="0.35">
      <c r="F8093">
        <v>8088</v>
      </c>
      <c r="G8093" s="102">
        <f t="shared" ca="1" si="130"/>
        <v>0.1276454610435494</v>
      </c>
    </row>
    <row r="8094" spans="6:7" x14ac:dyDescent="0.35">
      <c r="F8094">
        <v>8089</v>
      </c>
      <c r="G8094" s="102">
        <f t="shared" ca="1" si="130"/>
        <v>5.4335177613759264E-2</v>
      </c>
    </row>
    <row r="8095" spans="6:7" x14ac:dyDescent="0.35">
      <c r="F8095">
        <v>8090</v>
      </c>
      <c r="G8095" s="102">
        <f t="shared" ca="1" si="130"/>
        <v>-2.7105034539059533E-2</v>
      </c>
    </row>
    <row r="8096" spans="6:7" x14ac:dyDescent="0.35">
      <c r="F8096">
        <v>8091</v>
      </c>
      <c r="G8096" s="102">
        <f t="shared" ca="1" si="130"/>
        <v>1.260646793762191E-2</v>
      </c>
    </row>
    <row r="8097" spans="6:7" x14ac:dyDescent="0.35">
      <c r="F8097">
        <v>8092</v>
      </c>
      <c r="G8097" s="102">
        <f t="shared" ca="1" si="130"/>
        <v>-5.4535083643008318E-3</v>
      </c>
    </row>
    <row r="8098" spans="6:7" x14ac:dyDescent="0.35">
      <c r="F8098">
        <v>8093</v>
      </c>
      <c r="G8098" s="102">
        <f t="shared" ca="1" si="130"/>
        <v>1.8073578573486349E-2</v>
      </c>
    </row>
    <row r="8099" spans="6:7" x14ac:dyDescent="0.35">
      <c r="F8099">
        <v>8094</v>
      </c>
      <c r="G8099" s="102">
        <f t="shared" ca="1" si="130"/>
        <v>1.1078866948760063E-2</v>
      </c>
    </row>
    <row r="8100" spans="6:7" x14ac:dyDescent="0.35">
      <c r="F8100">
        <v>8095</v>
      </c>
      <c r="G8100" s="102">
        <f t="shared" ca="1" si="130"/>
        <v>4.3458183218675894E-2</v>
      </c>
    </row>
    <row r="8101" spans="6:7" x14ac:dyDescent="0.35">
      <c r="F8101">
        <v>8096</v>
      </c>
      <c r="G8101" s="102">
        <f t="shared" ca="1" si="130"/>
        <v>-6.5431656426470737E-3</v>
      </c>
    </row>
    <row r="8102" spans="6:7" x14ac:dyDescent="0.35">
      <c r="F8102">
        <v>8097</v>
      </c>
      <c r="G8102" s="102">
        <f t="shared" ca="1" si="130"/>
        <v>-4.4557153285598224E-3</v>
      </c>
    </row>
    <row r="8103" spans="6:7" x14ac:dyDescent="0.35">
      <c r="F8103">
        <v>8098</v>
      </c>
      <c r="G8103" s="102">
        <f t="shared" ca="1" si="130"/>
        <v>-0.1233781429922908</v>
      </c>
    </row>
    <row r="8104" spans="6:7" x14ac:dyDescent="0.35">
      <c r="F8104">
        <v>8099</v>
      </c>
      <c r="G8104" s="102">
        <f t="shared" ca="1" si="130"/>
        <v>-0.10116005563537116</v>
      </c>
    </row>
    <row r="8105" spans="6:7" x14ac:dyDescent="0.35">
      <c r="F8105">
        <v>8100</v>
      </c>
      <c r="G8105" s="102">
        <f t="shared" ca="1" si="130"/>
        <v>-1.5023697592043994E-2</v>
      </c>
    </row>
    <row r="8106" spans="6:7" x14ac:dyDescent="0.35">
      <c r="F8106">
        <v>8101</v>
      </c>
      <c r="G8106" s="102">
        <f t="shared" ca="1" si="130"/>
        <v>-1.6236631248950813E-2</v>
      </c>
    </row>
    <row r="8107" spans="6:7" x14ac:dyDescent="0.35">
      <c r="F8107">
        <v>8102</v>
      </c>
      <c r="G8107" s="102">
        <f t="shared" ca="1" si="130"/>
        <v>-7.0569881969999998E-2</v>
      </c>
    </row>
    <row r="8108" spans="6:7" x14ac:dyDescent="0.35">
      <c r="F8108">
        <v>8103</v>
      </c>
      <c r="G8108" s="102">
        <f t="shared" ca="1" si="130"/>
        <v>8.5596304633849193E-2</v>
      </c>
    </row>
    <row r="8109" spans="6:7" x14ac:dyDescent="0.35">
      <c r="F8109">
        <v>8104</v>
      </c>
      <c r="G8109" s="102">
        <f t="shared" ca="1" si="130"/>
        <v>-1.0730782654312484E-2</v>
      </c>
    </row>
    <row r="8110" spans="6:7" x14ac:dyDescent="0.35">
      <c r="F8110">
        <v>8105</v>
      </c>
      <c r="G8110" s="102">
        <f t="shared" ca="1" si="130"/>
        <v>-3.8710865841937135E-3</v>
      </c>
    </row>
    <row r="8111" spans="6:7" x14ac:dyDescent="0.35">
      <c r="F8111">
        <v>8106</v>
      </c>
      <c r="G8111" s="102">
        <f t="shared" ca="1" si="130"/>
        <v>1.5251765795404767E-2</v>
      </c>
    </row>
    <row r="8112" spans="6:7" x14ac:dyDescent="0.35">
      <c r="F8112">
        <v>8107</v>
      </c>
      <c r="G8112" s="102">
        <f t="shared" ca="1" si="130"/>
        <v>-7.465355219771673E-2</v>
      </c>
    </row>
    <row r="8113" spans="6:7" x14ac:dyDescent="0.35">
      <c r="F8113">
        <v>8108</v>
      </c>
      <c r="G8113" s="102">
        <f t="shared" ca="1" si="130"/>
        <v>5.478082574742392E-2</v>
      </c>
    </row>
    <row r="8114" spans="6:7" x14ac:dyDescent="0.35">
      <c r="F8114">
        <v>8109</v>
      </c>
      <c r="G8114" s="102">
        <f t="shared" ca="1" si="130"/>
        <v>6.2637629067052045E-2</v>
      </c>
    </row>
    <row r="8115" spans="6:7" x14ac:dyDescent="0.35">
      <c r="F8115">
        <v>8110</v>
      </c>
      <c r="G8115" s="102">
        <f t="shared" ca="1" si="130"/>
        <v>-4.863694261400342E-2</v>
      </c>
    </row>
    <row r="8116" spans="6:7" x14ac:dyDescent="0.35">
      <c r="F8116">
        <v>8111</v>
      </c>
      <c r="G8116" s="102">
        <f t="shared" ca="1" si="130"/>
        <v>-2.5732165333470544E-2</v>
      </c>
    </row>
    <row r="8117" spans="6:7" x14ac:dyDescent="0.35">
      <c r="F8117">
        <v>8112</v>
      </c>
      <c r="G8117" s="102">
        <f t="shared" ca="1" si="130"/>
        <v>-5.1085686083101198E-2</v>
      </c>
    </row>
    <row r="8118" spans="6:7" x14ac:dyDescent="0.35">
      <c r="F8118">
        <v>8113</v>
      </c>
      <c r="G8118" s="102">
        <f t="shared" ca="1" si="130"/>
        <v>3.4913418926591333E-2</v>
      </c>
    </row>
    <row r="8119" spans="6:7" x14ac:dyDescent="0.35">
      <c r="F8119">
        <v>8114</v>
      </c>
      <c r="G8119" s="102">
        <f t="shared" ca="1" si="130"/>
        <v>1.4532794655070552E-2</v>
      </c>
    </row>
    <row r="8120" spans="6:7" x14ac:dyDescent="0.35">
      <c r="F8120">
        <v>8115</v>
      </c>
      <c r="G8120" s="102">
        <f t="shared" ca="1" si="130"/>
        <v>9.5855530350466941E-2</v>
      </c>
    </row>
    <row r="8121" spans="6:7" x14ac:dyDescent="0.35">
      <c r="F8121">
        <v>8116</v>
      </c>
      <c r="G8121" s="102">
        <f t="shared" ca="1" si="130"/>
        <v>-7.3054639753540235E-2</v>
      </c>
    </row>
    <row r="8122" spans="6:7" x14ac:dyDescent="0.35">
      <c r="F8122">
        <v>8117</v>
      </c>
      <c r="G8122" s="102">
        <f t="shared" ca="1" si="130"/>
        <v>-2.7551764173790782E-3</v>
      </c>
    </row>
    <row r="8123" spans="6:7" x14ac:dyDescent="0.35">
      <c r="F8123">
        <v>8118</v>
      </c>
      <c r="G8123" s="102">
        <f t="shared" ca="1" si="130"/>
        <v>6.0156269098997558E-2</v>
      </c>
    </row>
    <row r="8124" spans="6:7" x14ac:dyDescent="0.35">
      <c r="F8124">
        <v>8119</v>
      </c>
      <c r="G8124" s="102">
        <f t="shared" ca="1" si="130"/>
        <v>5.4099503203082794E-2</v>
      </c>
    </row>
    <row r="8125" spans="6:7" x14ac:dyDescent="0.35">
      <c r="F8125">
        <v>8120</v>
      </c>
      <c r="G8125" s="102">
        <f t="shared" ca="1" si="130"/>
        <v>-1.3225461967888368E-2</v>
      </c>
    </row>
    <row r="8126" spans="6:7" x14ac:dyDescent="0.35">
      <c r="F8126">
        <v>8121</v>
      </c>
      <c r="G8126" s="102">
        <f t="shared" ca="1" si="130"/>
        <v>-9.0291899266932554E-2</v>
      </c>
    </row>
    <row r="8127" spans="6:7" x14ac:dyDescent="0.35">
      <c r="F8127">
        <v>8122</v>
      </c>
      <c r="G8127" s="102">
        <f t="shared" ca="1" si="130"/>
        <v>9.4289295208381349E-2</v>
      </c>
    </row>
    <row r="8128" spans="6:7" x14ac:dyDescent="0.35">
      <c r="F8128">
        <v>8123</v>
      </c>
      <c r="G8128" s="102">
        <f t="shared" ca="1" si="130"/>
        <v>-3.4270312946530518E-2</v>
      </c>
    </row>
    <row r="8129" spans="6:7" x14ac:dyDescent="0.35">
      <c r="F8129">
        <v>8124</v>
      </c>
      <c r="G8129" s="102">
        <f t="shared" ca="1" si="130"/>
        <v>-0.10711343865831667</v>
      </c>
    </row>
    <row r="8130" spans="6:7" x14ac:dyDescent="0.35">
      <c r="F8130">
        <v>8125</v>
      </c>
      <c r="G8130" s="102">
        <f t="shared" ca="1" si="130"/>
        <v>-2.8879340483838896E-2</v>
      </c>
    </row>
    <row r="8131" spans="6:7" x14ac:dyDescent="0.35">
      <c r="F8131">
        <v>8126</v>
      </c>
      <c r="G8131" s="102">
        <f t="shared" ca="1" si="130"/>
        <v>-3.1461185861260274E-2</v>
      </c>
    </row>
    <row r="8132" spans="6:7" x14ac:dyDescent="0.35">
      <c r="F8132">
        <v>8127</v>
      </c>
      <c r="G8132" s="102">
        <f t="shared" ca="1" si="130"/>
        <v>-6.0213001210795022E-2</v>
      </c>
    </row>
    <row r="8133" spans="6:7" x14ac:dyDescent="0.35">
      <c r="F8133">
        <v>8128</v>
      </c>
      <c r="G8133" s="102">
        <f t="shared" ca="1" si="130"/>
        <v>-6.0036267643301749E-2</v>
      </c>
    </row>
    <row r="8134" spans="6:7" x14ac:dyDescent="0.35">
      <c r="F8134">
        <v>8129</v>
      </c>
      <c r="G8134" s="102">
        <f t="shared" ca="1" si="130"/>
        <v>7.7609390162586306E-2</v>
      </c>
    </row>
    <row r="8135" spans="6:7" x14ac:dyDescent="0.35">
      <c r="F8135">
        <v>8130</v>
      </c>
      <c r="G8135" s="102">
        <f t="shared" ref="G8135:G8198" ca="1" si="131">_xlfn.NORM.INV(RAND(),M$9,M$10)</f>
        <v>2.4460491114077169E-2</v>
      </c>
    </row>
    <row r="8136" spans="6:7" x14ac:dyDescent="0.35">
      <c r="F8136">
        <v>8131</v>
      </c>
      <c r="G8136" s="102">
        <f t="shared" ca="1" si="131"/>
        <v>-1.4289703054013631E-2</v>
      </c>
    </row>
    <row r="8137" spans="6:7" x14ac:dyDescent="0.35">
      <c r="F8137">
        <v>8132</v>
      </c>
      <c r="G8137" s="102">
        <f t="shared" ca="1" si="131"/>
        <v>7.1746402101608556E-2</v>
      </c>
    </row>
    <row r="8138" spans="6:7" x14ac:dyDescent="0.35">
      <c r="F8138">
        <v>8133</v>
      </c>
      <c r="G8138" s="102">
        <f t="shared" ca="1" si="131"/>
        <v>-1.2699604836201452E-2</v>
      </c>
    </row>
    <row r="8139" spans="6:7" x14ac:dyDescent="0.35">
      <c r="F8139">
        <v>8134</v>
      </c>
      <c r="G8139" s="102">
        <f t="shared" ca="1" si="131"/>
        <v>-2.8846889849832767E-2</v>
      </c>
    </row>
    <row r="8140" spans="6:7" x14ac:dyDescent="0.35">
      <c r="F8140">
        <v>8135</v>
      </c>
      <c r="G8140" s="102">
        <f t="shared" ca="1" si="131"/>
        <v>-8.9576329630852394E-2</v>
      </c>
    </row>
    <row r="8141" spans="6:7" x14ac:dyDescent="0.35">
      <c r="F8141">
        <v>8136</v>
      </c>
      <c r="G8141" s="102">
        <f t="shared" ca="1" si="131"/>
        <v>7.1864926251409028E-2</v>
      </c>
    </row>
    <row r="8142" spans="6:7" x14ac:dyDescent="0.35">
      <c r="F8142">
        <v>8137</v>
      </c>
      <c r="G8142" s="102">
        <f t="shared" ca="1" si="131"/>
        <v>0.10488280800055935</v>
      </c>
    </row>
    <row r="8143" spans="6:7" x14ac:dyDescent="0.35">
      <c r="F8143">
        <v>8138</v>
      </c>
      <c r="G8143" s="102">
        <f t="shared" ca="1" si="131"/>
        <v>1.4095936179198125E-2</v>
      </c>
    </row>
    <row r="8144" spans="6:7" x14ac:dyDescent="0.35">
      <c r="F8144">
        <v>8139</v>
      </c>
      <c r="G8144" s="102">
        <f t="shared" ca="1" si="131"/>
        <v>6.8394290106704406E-2</v>
      </c>
    </row>
    <row r="8145" spans="6:7" x14ac:dyDescent="0.35">
      <c r="F8145">
        <v>8140</v>
      </c>
      <c r="G8145" s="102">
        <f t="shared" ca="1" si="131"/>
        <v>9.4737926327071231E-2</v>
      </c>
    </row>
    <row r="8146" spans="6:7" x14ac:dyDescent="0.35">
      <c r="F8146">
        <v>8141</v>
      </c>
      <c r="G8146" s="102">
        <f t="shared" ca="1" si="131"/>
        <v>0.10046555579277246</v>
      </c>
    </row>
    <row r="8147" spans="6:7" x14ac:dyDescent="0.35">
      <c r="F8147">
        <v>8142</v>
      </c>
      <c r="G8147" s="102">
        <f t="shared" ca="1" si="131"/>
        <v>2.2282546262913101E-2</v>
      </c>
    </row>
    <row r="8148" spans="6:7" x14ac:dyDescent="0.35">
      <c r="F8148">
        <v>8143</v>
      </c>
      <c r="G8148" s="102">
        <f t="shared" ca="1" si="131"/>
        <v>0.11422607062356707</v>
      </c>
    </row>
    <row r="8149" spans="6:7" x14ac:dyDescent="0.35">
      <c r="F8149">
        <v>8144</v>
      </c>
      <c r="G8149" s="102">
        <f t="shared" ca="1" si="131"/>
        <v>-3.6373608895184859E-2</v>
      </c>
    </row>
    <row r="8150" spans="6:7" x14ac:dyDescent="0.35">
      <c r="F8150">
        <v>8145</v>
      </c>
      <c r="G8150" s="102">
        <f t="shared" ca="1" si="131"/>
        <v>7.9985940452391643E-2</v>
      </c>
    </row>
    <row r="8151" spans="6:7" x14ac:dyDescent="0.35">
      <c r="F8151">
        <v>8146</v>
      </c>
      <c r="G8151" s="102">
        <f t="shared" ca="1" si="131"/>
        <v>3.7934889495762708E-2</v>
      </c>
    </row>
    <row r="8152" spans="6:7" x14ac:dyDescent="0.35">
      <c r="F8152">
        <v>8147</v>
      </c>
      <c r="G8152" s="102">
        <f t="shared" ca="1" si="131"/>
        <v>8.8157650012993291E-2</v>
      </c>
    </row>
    <row r="8153" spans="6:7" x14ac:dyDescent="0.35">
      <c r="F8153">
        <v>8148</v>
      </c>
      <c r="G8153" s="102">
        <f t="shared" ca="1" si="131"/>
        <v>6.946966973106318E-2</v>
      </c>
    </row>
    <row r="8154" spans="6:7" x14ac:dyDescent="0.35">
      <c r="F8154">
        <v>8149</v>
      </c>
      <c r="G8154" s="102">
        <f t="shared" ca="1" si="131"/>
        <v>-2.466830602484639E-2</v>
      </c>
    </row>
    <row r="8155" spans="6:7" x14ac:dyDescent="0.35">
      <c r="F8155">
        <v>8150</v>
      </c>
      <c r="G8155" s="102">
        <f t="shared" ca="1" si="131"/>
        <v>-2.4961661460802906E-2</v>
      </c>
    </row>
    <row r="8156" spans="6:7" x14ac:dyDescent="0.35">
      <c r="F8156">
        <v>8151</v>
      </c>
      <c r="G8156" s="102">
        <f t="shared" ca="1" si="131"/>
        <v>3.232901942465817E-2</v>
      </c>
    </row>
    <row r="8157" spans="6:7" x14ac:dyDescent="0.35">
      <c r="F8157">
        <v>8152</v>
      </c>
      <c r="G8157" s="102">
        <f t="shared" ca="1" si="131"/>
        <v>-3.9096636239556129E-2</v>
      </c>
    </row>
    <row r="8158" spans="6:7" x14ac:dyDescent="0.35">
      <c r="F8158">
        <v>8153</v>
      </c>
      <c r="G8158" s="102">
        <f t="shared" ca="1" si="131"/>
        <v>-0.13989001332577972</v>
      </c>
    </row>
    <row r="8159" spans="6:7" x14ac:dyDescent="0.35">
      <c r="F8159">
        <v>8154</v>
      </c>
      <c r="G8159" s="102">
        <f t="shared" ca="1" si="131"/>
        <v>-2.2336242556006209E-2</v>
      </c>
    </row>
    <row r="8160" spans="6:7" x14ac:dyDescent="0.35">
      <c r="F8160">
        <v>8155</v>
      </c>
      <c r="G8160" s="102">
        <f t="shared" ca="1" si="131"/>
        <v>5.9105306860515336E-2</v>
      </c>
    </row>
    <row r="8161" spans="6:7" x14ac:dyDescent="0.35">
      <c r="F8161">
        <v>8156</v>
      </c>
      <c r="G8161" s="102">
        <f t="shared" ca="1" si="131"/>
        <v>-8.7391413542353677E-2</v>
      </c>
    </row>
    <row r="8162" spans="6:7" x14ac:dyDescent="0.35">
      <c r="F8162">
        <v>8157</v>
      </c>
      <c r="G8162" s="102">
        <f t="shared" ca="1" si="131"/>
        <v>7.3135433311453266E-2</v>
      </c>
    </row>
    <row r="8163" spans="6:7" x14ac:dyDescent="0.35">
      <c r="F8163">
        <v>8158</v>
      </c>
      <c r="G8163" s="102">
        <f t="shared" ca="1" si="131"/>
        <v>-6.425823551220769E-2</v>
      </c>
    </row>
    <row r="8164" spans="6:7" x14ac:dyDescent="0.35">
      <c r="F8164">
        <v>8159</v>
      </c>
      <c r="G8164" s="102">
        <f t="shared" ca="1" si="131"/>
        <v>-6.0960446215519923E-2</v>
      </c>
    </row>
    <row r="8165" spans="6:7" x14ac:dyDescent="0.35">
      <c r="F8165">
        <v>8160</v>
      </c>
      <c r="G8165" s="102">
        <f t="shared" ca="1" si="131"/>
        <v>3.1791527008036058E-2</v>
      </c>
    </row>
    <row r="8166" spans="6:7" x14ac:dyDescent="0.35">
      <c r="F8166">
        <v>8161</v>
      </c>
      <c r="G8166" s="102">
        <f t="shared" ca="1" si="131"/>
        <v>-6.4114035264488139E-2</v>
      </c>
    </row>
    <row r="8167" spans="6:7" x14ac:dyDescent="0.35">
      <c r="F8167">
        <v>8162</v>
      </c>
      <c r="G8167" s="102">
        <f t="shared" ca="1" si="131"/>
        <v>-2.9236298330391916E-2</v>
      </c>
    </row>
    <row r="8168" spans="6:7" x14ac:dyDescent="0.35">
      <c r="F8168">
        <v>8163</v>
      </c>
      <c r="G8168" s="102">
        <f t="shared" ca="1" si="131"/>
        <v>-1.3804081090682544E-2</v>
      </c>
    </row>
    <row r="8169" spans="6:7" x14ac:dyDescent="0.35">
      <c r="F8169">
        <v>8164</v>
      </c>
      <c r="G8169" s="102">
        <f t="shared" ca="1" si="131"/>
        <v>-2.1413909012124692E-2</v>
      </c>
    </row>
    <row r="8170" spans="6:7" x14ac:dyDescent="0.35">
      <c r="F8170">
        <v>8165</v>
      </c>
      <c r="G8170" s="102">
        <f t="shared" ca="1" si="131"/>
        <v>5.2457561849359458E-2</v>
      </c>
    </row>
    <row r="8171" spans="6:7" x14ac:dyDescent="0.35">
      <c r="F8171">
        <v>8166</v>
      </c>
      <c r="G8171" s="102">
        <f t="shared" ca="1" si="131"/>
        <v>4.6579279324775666E-2</v>
      </c>
    </row>
    <row r="8172" spans="6:7" x14ac:dyDescent="0.35">
      <c r="F8172">
        <v>8167</v>
      </c>
      <c r="G8172" s="102">
        <f t="shared" ca="1" si="131"/>
        <v>-4.7973260324604819E-2</v>
      </c>
    </row>
    <row r="8173" spans="6:7" x14ac:dyDescent="0.35">
      <c r="F8173">
        <v>8168</v>
      </c>
      <c r="G8173" s="102">
        <f t="shared" ca="1" si="131"/>
        <v>5.3155035064903711E-2</v>
      </c>
    </row>
    <row r="8174" spans="6:7" x14ac:dyDescent="0.35">
      <c r="F8174">
        <v>8169</v>
      </c>
      <c r="G8174" s="102">
        <f t="shared" ca="1" si="131"/>
        <v>7.6634931619787947E-2</v>
      </c>
    </row>
    <row r="8175" spans="6:7" x14ac:dyDescent="0.35">
      <c r="F8175">
        <v>8170</v>
      </c>
      <c r="G8175" s="102">
        <f t="shared" ca="1" si="131"/>
        <v>1.5414548233954335E-2</v>
      </c>
    </row>
    <row r="8176" spans="6:7" x14ac:dyDescent="0.35">
      <c r="F8176">
        <v>8171</v>
      </c>
      <c r="G8176" s="102">
        <f t="shared" ca="1" si="131"/>
        <v>6.801601716911089E-2</v>
      </c>
    </row>
    <row r="8177" spans="6:7" x14ac:dyDescent="0.35">
      <c r="F8177">
        <v>8172</v>
      </c>
      <c r="G8177" s="102">
        <f t="shared" ca="1" si="131"/>
        <v>5.758441034291735E-2</v>
      </c>
    </row>
    <row r="8178" spans="6:7" x14ac:dyDescent="0.35">
      <c r="F8178">
        <v>8173</v>
      </c>
      <c r="G8178" s="102">
        <f t="shared" ca="1" si="131"/>
        <v>1.0562437221218749E-2</v>
      </c>
    </row>
    <row r="8179" spans="6:7" x14ac:dyDescent="0.35">
      <c r="F8179">
        <v>8174</v>
      </c>
      <c r="G8179" s="102">
        <f t="shared" ca="1" si="131"/>
        <v>-9.8025073974616662E-3</v>
      </c>
    </row>
    <row r="8180" spans="6:7" x14ac:dyDescent="0.35">
      <c r="F8180">
        <v>8175</v>
      </c>
      <c r="G8180" s="102">
        <f t="shared" ca="1" si="131"/>
        <v>3.2652535044483774E-2</v>
      </c>
    </row>
    <row r="8181" spans="6:7" x14ac:dyDescent="0.35">
      <c r="F8181">
        <v>8176</v>
      </c>
      <c r="G8181" s="102">
        <f t="shared" ca="1" si="131"/>
        <v>-4.7733156641061383E-2</v>
      </c>
    </row>
    <row r="8182" spans="6:7" x14ac:dyDescent="0.35">
      <c r="F8182">
        <v>8177</v>
      </c>
      <c r="G8182" s="102">
        <f t="shared" ca="1" si="131"/>
        <v>-2.714881217846896E-2</v>
      </c>
    </row>
    <row r="8183" spans="6:7" x14ac:dyDescent="0.35">
      <c r="F8183">
        <v>8178</v>
      </c>
      <c r="G8183" s="102">
        <f t="shared" ca="1" si="131"/>
        <v>1.6610329710138535E-2</v>
      </c>
    </row>
    <row r="8184" spans="6:7" x14ac:dyDescent="0.35">
      <c r="F8184">
        <v>8179</v>
      </c>
      <c r="G8184" s="102">
        <f t="shared" ca="1" si="131"/>
        <v>9.5412388493268385E-4</v>
      </c>
    </row>
    <row r="8185" spans="6:7" x14ac:dyDescent="0.35">
      <c r="F8185">
        <v>8180</v>
      </c>
      <c r="G8185" s="102">
        <f t="shared" ca="1" si="131"/>
        <v>8.0671687470913661E-2</v>
      </c>
    </row>
    <row r="8186" spans="6:7" x14ac:dyDescent="0.35">
      <c r="F8186">
        <v>8181</v>
      </c>
      <c r="G8186" s="102">
        <f t="shared" ca="1" si="131"/>
        <v>2.3797770734897083E-2</v>
      </c>
    </row>
    <row r="8187" spans="6:7" x14ac:dyDescent="0.35">
      <c r="F8187">
        <v>8182</v>
      </c>
      <c r="G8187" s="102">
        <f t="shared" ca="1" si="131"/>
        <v>-5.1756677708000035E-2</v>
      </c>
    </row>
    <row r="8188" spans="6:7" x14ac:dyDescent="0.35">
      <c r="F8188">
        <v>8183</v>
      </c>
      <c r="G8188" s="102">
        <f t="shared" ca="1" si="131"/>
        <v>7.5092785117293726E-2</v>
      </c>
    </row>
    <row r="8189" spans="6:7" x14ac:dyDescent="0.35">
      <c r="F8189">
        <v>8184</v>
      </c>
      <c r="G8189" s="102">
        <f t="shared" ca="1" si="131"/>
        <v>3.4335738696094006E-2</v>
      </c>
    </row>
    <row r="8190" spans="6:7" x14ac:dyDescent="0.35">
      <c r="F8190">
        <v>8185</v>
      </c>
      <c r="G8190" s="102">
        <f t="shared" ca="1" si="131"/>
        <v>6.1247465884011462E-2</v>
      </c>
    </row>
    <row r="8191" spans="6:7" x14ac:dyDescent="0.35">
      <c r="F8191">
        <v>8186</v>
      </c>
      <c r="G8191" s="102">
        <f t="shared" ca="1" si="131"/>
        <v>3.4802826719305263E-2</v>
      </c>
    </row>
    <row r="8192" spans="6:7" x14ac:dyDescent="0.35">
      <c r="F8192">
        <v>8187</v>
      </c>
      <c r="G8192" s="102">
        <f t="shared" ca="1" si="131"/>
        <v>9.89824311002441E-2</v>
      </c>
    </row>
    <row r="8193" spans="6:7" x14ac:dyDescent="0.35">
      <c r="F8193">
        <v>8188</v>
      </c>
      <c r="G8193" s="102">
        <f t="shared" ca="1" si="131"/>
        <v>-8.6647967011395197E-2</v>
      </c>
    </row>
    <row r="8194" spans="6:7" x14ac:dyDescent="0.35">
      <c r="F8194">
        <v>8189</v>
      </c>
      <c r="G8194" s="102">
        <f t="shared" ca="1" si="131"/>
        <v>1.412642318822209E-2</v>
      </c>
    </row>
    <row r="8195" spans="6:7" x14ac:dyDescent="0.35">
      <c r="F8195">
        <v>8190</v>
      </c>
      <c r="G8195" s="102">
        <f t="shared" ca="1" si="131"/>
        <v>7.7289041662209415E-2</v>
      </c>
    </row>
    <row r="8196" spans="6:7" x14ac:dyDescent="0.35">
      <c r="F8196">
        <v>8191</v>
      </c>
      <c r="G8196" s="102">
        <f t="shared" ca="1" si="131"/>
        <v>0.10241533722464648</v>
      </c>
    </row>
    <row r="8197" spans="6:7" x14ac:dyDescent="0.35">
      <c r="F8197">
        <v>8192</v>
      </c>
      <c r="G8197" s="102">
        <f t="shared" ca="1" si="131"/>
        <v>0.11027874502968391</v>
      </c>
    </row>
    <row r="8198" spans="6:7" x14ac:dyDescent="0.35">
      <c r="F8198">
        <v>8193</v>
      </c>
      <c r="G8198" s="102">
        <f t="shared" ca="1" si="131"/>
        <v>1.6322270015210024E-2</v>
      </c>
    </row>
    <row r="8199" spans="6:7" x14ac:dyDescent="0.35">
      <c r="F8199">
        <v>8194</v>
      </c>
      <c r="G8199" s="102">
        <f t="shared" ref="G8199:G8262" ca="1" si="132">_xlfn.NORM.INV(RAND(),M$9,M$10)</f>
        <v>-1.2732304030647325E-2</v>
      </c>
    </row>
    <row r="8200" spans="6:7" x14ac:dyDescent="0.35">
      <c r="F8200">
        <v>8195</v>
      </c>
      <c r="G8200" s="102">
        <f t="shared" ca="1" si="132"/>
        <v>-8.2292525231424218E-2</v>
      </c>
    </row>
    <row r="8201" spans="6:7" x14ac:dyDescent="0.35">
      <c r="F8201">
        <v>8196</v>
      </c>
      <c r="G8201" s="102">
        <f t="shared" ca="1" si="132"/>
        <v>1.8920488596987577E-2</v>
      </c>
    </row>
    <row r="8202" spans="6:7" x14ac:dyDescent="0.35">
      <c r="F8202">
        <v>8197</v>
      </c>
      <c r="G8202" s="102">
        <f t="shared" ca="1" si="132"/>
        <v>-6.2025112827879453E-2</v>
      </c>
    </row>
    <row r="8203" spans="6:7" x14ac:dyDescent="0.35">
      <c r="F8203">
        <v>8198</v>
      </c>
      <c r="G8203" s="102">
        <f t="shared" ca="1" si="132"/>
        <v>4.5787312842986885E-2</v>
      </c>
    </row>
    <row r="8204" spans="6:7" x14ac:dyDescent="0.35">
      <c r="F8204">
        <v>8199</v>
      </c>
      <c r="G8204" s="102">
        <f t="shared" ca="1" si="132"/>
        <v>1.3416206220994292E-3</v>
      </c>
    </row>
    <row r="8205" spans="6:7" x14ac:dyDescent="0.35">
      <c r="F8205">
        <v>8200</v>
      </c>
      <c r="G8205" s="102">
        <f t="shared" ca="1" si="132"/>
        <v>-4.4394705762766204E-2</v>
      </c>
    </row>
    <row r="8206" spans="6:7" x14ac:dyDescent="0.35">
      <c r="F8206">
        <v>8201</v>
      </c>
      <c r="G8206" s="102">
        <f t="shared" ca="1" si="132"/>
        <v>0.13212961343493154</v>
      </c>
    </row>
    <row r="8207" spans="6:7" x14ac:dyDescent="0.35">
      <c r="F8207">
        <v>8202</v>
      </c>
      <c r="G8207" s="102">
        <f t="shared" ca="1" si="132"/>
        <v>-3.1704866335606069E-2</v>
      </c>
    </row>
    <row r="8208" spans="6:7" x14ac:dyDescent="0.35">
      <c r="F8208">
        <v>8203</v>
      </c>
      <c r="G8208" s="102">
        <f t="shared" ca="1" si="132"/>
        <v>3.280222733158375E-2</v>
      </c>
    </row>
    <row r="8209" spans="6:7" x14ac:dyDescent="0.35">
      <c r="F8209">
        <v>8204</v>
      </c>
      <c r="G8209" s="102">
        <f t="shared" ca="1" si="132"/>
        <v>5.4697241849248207E-2</v>
      </c>
    </row>
    <row r="8210" spans="6:7" x14ac:dyDescent="0.35">
      <c r="F8210">
        <v>8205</v>
      </c>
      <c r="G8210" s="102">
        <f t="shared" ca="1" si="132"/>
        <v>-5.2107456376967835E-4</v>
      </c>
    </row>
    <row r="8211" spans="6:7" x14ac:dyDescent="0.35">
      <c r="F8211">
        <v>8206</v>
      </c>
      <c r="G8211" s="102">
        <f t="shared" ca="1" si="132"/>
        <v>4.5931577046057465E-2</v>
      </c>
    </row>
    <row r="8212" spans="6:7" x14ac:dyDescent="0.35">
      <c r="F8212">
        <v>8207</v>
      </c>
      <c r="G8212" s="102">
        <f t="shared" ca="1" si="132"/>
        <v>4.1613943815489274E-2</v>
      </c>
    </row>
    <row r="8213" spans="6:7" x14ac:dyDescent="0.35">
      <c r="F8213">
        <v>8208</v>
      </c>
      <c r="G8213" s="102">
        <f t="shared" ca="1" si="132"/>
        <v>-3.24945491754174E-2</v>
      </c>
    </row>
    <row r="8214" spans="6:7" x14ac:dyDescent="0.35">
      <c r="F8214">
        <v>8209</v>
      </c>
      <c r="G8214" s="102">
        <f t="shared" ca="1" si="132"/>
        <v>-1.0766181297710684E-2</v>
      </c>
    </row>
    <row r="8215" spans="6:7" x14ac:dyDescent="0.35">
      <c r="F8215">
        <v>8210</v>
      </c>
      <c r="G8215" s="102">
        <f t="shared" ca="1" si="132"/>
        <v>9.2828575021443621E-2</v>
      </c>
    </row>
    <row r="8216" spans="6:7" x14ac:dyDescent="0.35">
      <c r="F8216">
        <v>8211</v>
      </c>
      <c r="G8216" s="102">
        <f t="shared" ca="1" si="132"/>
        <v>-7.7509903097481458E-2</v>
      </c>
    </row>
    <row r="8217" spans="6:7" x14ac:dyDescent="0.35">
      <c r="F8217">
        <v>8212</v>
      </c>
      <c r="G8217" s="102">
        <f t="shared" ca="1" si="132"/>
        <v>1.2456219363176146E-2</v>
      </c>
    </row>
    <row r="8218" spans="6:7" x14ac:dyDescent="0.35">
      <c r="F8218">
        <v>8213</v>
      </c>
      <c r="G8218" s="102">
        <f t="shared" ca="1" si="132"/>
        <v>2.9433475873394555E-2</v>
      </c>
    </row>
    <row r="8219" spans="6:7" x14ac:dyDescent="0.35">
      <c r="F8219">
        <v>8214</v>
      </c>
      <c r="G8219" s="102">
        <f t="shared" ca="1" si="132"/>
        <v>-7.1856570746907669E-2</v>
      </c>
    </row>
    <row r="8220" spans="6:7" x14ac:dyDescent="0.35">
      <c r="F8220">
        <v>8215</v>
      </c>
      <c r="G8220" s="102">
        <f t="shared" ca="1" si="132"/>
        <v>1.1684538997284173E-2</v>
      </c>
    </row>
    <row r="8221" spans="6:7" x14ac:dyDescent="0.35">
      <c r="F8221">
        <v>8216</v>
      </c>
      <c r="G8221" s="102">
        <f t="shared" ca="1" si="132"/>
        <v>-0.10134480981965473</v>
      </c>
    </row>
    <row r="8222" spans="6:7" x14ac:dyDescent="0.35">
      <c r="F8222">
        <v>8217</v>
      </c>
      <c r="G8222" s="102">
        <f t="shared" ca="1" si="132"/>
        <v>-9.0970831184589401E-2</v>
      </c>
    </row>
    <row r="8223" spans="6:7" x14ac:dyDescent="0.35">
      <c r="F8223">
        <v>8218</v>
      </c>
      <c r="G8223" s="102">
        <f t="shared" ca="1" si="132"/>
        <v>8.8603624027849395E-2</v>
      </c>
    </row>
    <row r="8224" spans="6:7" x14ac:dyDescent="0.35">
      <c r="F8224">
        <v>8219</v>
      </c>
      <c r="G8224" s="102">
        <f t="shared" ca="1" si="132"/>
        <v>4.8658896126129142E-2</v>
      </c>
    </row>
    <row r="8225" spans="6:7" x14ac:dyDescent="0.35">
      <c r="F8225">
        <v>8220</v>
      </c>
      <c r="G8225" s="102">
        <f t="shared" ca="1" si="132"/>
        <v>6.6909119051007424E-2</v>
      </c>
    </row>
    <row r="8226" spans="6:7" x14ac:dyDescent="0.35">
      <c r="F8226">
        <v>8221</v>
      </c>
      <c r="G8226" s="102">
        <f t="shared" ca="1" si="132"/>
        <v>-2.2151972391554784E-2</v>
      </c>
    </row>
    <row r="8227" spans="6:7" x14ac:dyDescent="0.35">
      <c r="F8227">
        <v>8222</v>
      </c>
      <c r="G8227" s="102">
        <f t="shared" ca="1" si="132"/>
        <v>5.0841492909548761E-3</v>
      </c>
    </row>
    <row r="8228" spans="6:7" x14ac:dyDescent="0.35">
      <c r="F8228">
        <v>8223</v>
      </c>
      <c r="G8228" s="102">
        <f t="shared" ca="1" si="132"/>
        <v>-5.7968791136539868E-2</v>
      </c>
    </row>
    <row r="8229" spans="6:7" x14ac:dyDescent="0.35">
      <c r="F8229">
        <v>8224</v>
      </c>
      <c r="G8229" s="102">
        <f t="shared" ca="1" si="132"/>
        <v>4.151176310557865E-2</v>
      </c>
    </row>
    <row r="8230" spans="6:7" x14ac:dyDescent="0.35">
      <c r="F8230">
        <v>8225</v>
      </c>
      <c r="G8230" s="102">
        <f t="shared" ca="1" si="132"/>
        <v>1.8768170875272928E-2</v>
      </c>
    </row>
    <row r="8231" spans="6:7" x14ac:dyDescent="0.35">
      <c r="F8231">
        <v>8226</v>
      </c>
      <c r="G8231" s="102">
        <f t="shared" ca="1" si="132"/>
        <v>1.2058181798920778E-2</v>
      </c>
    </row>
    <row r="8232" spans="6:7" x14ac:dyDescent="0.35">
      <c r="F8232">
        <v>8227</v>
      </c>
      <c r="G8232" s="102">
        <f t="shared" ca="1" si="132"/>
        <v>3.9447556516062757E-2</v>
      </c>
    </row>
    <row r="8233" spans="6:7" x14ac:dyDescent="0.35">
      <c r="F8233">
        <v>8228</v>
      </c>
      <c r="G8233" s="102">
        <f t="shared" ca="1" si="132"/>
        <v>7.4746598947911108E-2</v>
      </c>
    </row>
    <row r="8234" spans="6:7" x14ac:dyDescent="0.35">
      <c r="F8234">
        <v>8229</v>
      </c>
      <c r="G8234" s="102">
        <f t="shared" ca="1" si="132"/>
        <v>4.6577314883837193E-2</v>
      </c>
    </row>
    <row r="8235" spans="6:7" x14ac:dyDescent="0.35">
      <c r="F8235">
        <v>8230</v>
      </c>
      <c r="G8235" s="102">
        <f t="shared" ca="1" si="132"/>
        <v>6.65573381922938E-2</v>
      </c>
    </row>
    <row r="8236" spans="6:7" x14ac:dyDescent="0.35">
      <c r="F8236">
        <v>8231</v>
      </c>
      <c r="G8236" s="102">
        <f t="shared" ca="1" si="132"/>
        <v>-3.2489891041232635E-2</v>
      </c>
    </row>
    <row r="8237" spans="6:7" x14ac:dyDescent="0.35">
      <c r="F8237">
        <v>8232</v>
      </c>
      <c r="G8237" s="102">
        <f t="shared" ca="1" si="132"/>
        <v>5.1420910396760638E-2</v>
      </c>
    </row>
    <row r="8238" spans="6:7" x14ac:dyDescent="0.35">
      <c r="F8238">
        <v>8233</v>
      </c>
      <c r="G8238" s="102">
        <f t="shared" ca="1" si="132"/>
        <v>9.5801018446735595E-2</v>
      </c>
    </row>
    <row r="8239" spans="6:7" x14ac:dyDescent="0.35">
      <c r="F8239">
        <v>8234</v>
      </c>
      <c r="G8239" s="102">
        <f t="shared" ca="1" si="132"/>
        <v>-7.7964554400940314E-2</v>
      </c>
    </row>
    <row r="8240" spans="6:7" x14ac:dyDescent="0.35">
      <c r="F8240">
        <v>8235</v>
      </c>
      <c r="G8240" s="102">
        <f t="shared" ca="1" si="132"/>
        <v>-8.3659018198547597E-2</v>
      </c>
    </row>
    <row r="8241" spans="6:7" x14ac:dyDescent="0.35">
      <c r="F8241">
        <v>8236</v>
      </c>
      <c r="G8241" s="102">
        <f t="shared" ca="1" si="132"/>
        <v>6.2757562038163132E-3</v>
      </c>
    </row>
    <row r="8242" spans="6:7" x14ac:dyDescent="0.35">
      <c r="F8242">
        <v>8237</v>
      </c>
      <c r="G8242" s="102">
        <f t="shared" ca="1" si="132"/>
        <v>-0.13677099146643334</v>
      </c>
    </row>
    <row r="8243" spans="6:7" x14ac:dyDescent="0.35">
      <c r="F8243">
        <v>8238</v>
      </c>
      <c r="G8243" s="102">
        <f t="shared" ca="1" si="132"/>
        <v>4.847808450588835E-2</v>
      </c>
    </row>
    <row r="8244" spans="6:7" x14ac:dyDescent="0.35">
      <c r="F8244">
        <v>8239</v>
      </c>
      <c r="G8244" s="102">
        <f t="shared" ca="1" si="132"/>
        <v>-8.1597031564085751E-2</v>
      </c>
    </row>
    <row r="8245" spans="6:7" x14ac:dyDescent="0.35">
      <c r="F8245">
        <v>8240</v>
      </c>
      <c r="G8245" s="102">
        <f t="shared" ca="1" si="132"/>
        <v>1.0128233703062973E-2</v>
      </c>
    </row>
    <row r="8246" spans="6:7" x14ac:dyDescent="0.35">
      <c r="F8246">
        <v>8241</v>
      </c>
      <c r="G8246" s="102">
        <f t="shared" ca="1" si="132"/>
        <v>-6.252458754625545E-2</v>
      </c>
    </row>
    <row r="8247" spans="6:7" x14ac:dyDescent="0.35">
      <c r="F8247">
        <v>8242</v>
      </c>
      <c r="G8247" s="102">
        <f t="shared" ca="1" si="132"/>
        <v>2.1105319101058742E-2</v>
      </c>
    </row>
    <row r="8248" spans="6:7" x14ac:dyDescent="0.35">
      <c r="F8248">
        <v>8243</v>
      </c>
      <c r="G8248" s="102">
        <f t="shared" ca="1" si="132"/>
        <v>-3.1723485213273894E-2</v>
      </c>
    </row>
    <row r="8249" spans="6:7" x14ac:dyDescent="0.35">
      <c r="F8249">
        <v>8244</v>
      </c>
      <c r="G8249" s="102">
        <f t="shared" ca="1" si="132"/>
        <v>9.3849694973097281E-2</v>
      </c>
    </row>
    <row r="8250" spans="6:7" x14ac:dyDescent="0.35">
      <c r="F8250">
        <v>8245</v>
      </c>
      <c r="G8250" s="102">
        <f t="shared" ca="1" si="132"/>
        <v>2.3212625826559509E-2</v>
      </c>
    </row>
    <row r="8251" spans="6:7" x14ac:dyDescent="0.35">
      <c r="F8251">
        <v>8246</v>
      </c>
      <c r="G8251" s="102">
        <f t="shared" ca="1" si="132"/>
        <v>1.511989507489615E-2</v>
      </c>
    </row>
    <row r="8252" spans="6:7" x14ac:dyDescent="0.35">
      <c r="F8252">
        <v>8247</v>
      </c>
      <c r="G8252" s="102">
        <f t="shared" ca="1" si="132"/>
        <v>-4.3845566192266441E-2</v>
      </c>
    </row>
    <row r="8253" spans="6:7" x14ac:dyDescent="0.35">
      <c r="F8253">
        <v>8248</v>
      </c>
      <c r="G8253" s="102">
        <f t="shared" ca="1" si="132"/>
        <v>3.3655127242618613E-2</v>
      </c>
    </row>
    <row r="8254" spans="6:7" x14ac:dyDescent="0.35">
      <c r="F8254">
        <v>8249</v>
      </c>
      <c r="G8254" s="102">
        <f t="shared" ca="1" si="132"/>
        <v>1.9278522703165775E-2</v>
      </c>
    </row>
    <row r="8255" spans="6:7" x14ac:dyDescent="0.35">
      <c r="F8255">
        <v>8250</v>
      </c>
      <c r="G8255" s="102">
        <f t="shared" ca="1" si="132"/>
        <v>-5.2302526819397774E-2</v>
      </c>
    </row>
    <row r="8256" spans="6:7" x14ac:dyDescent="0.35">
      <c r="F8256">
        <v>8251</v>
      </c>
      <c r="G8256" s="102">
        <f t="shared" ca="1" si="132"/>
        <v>-1.6164118510968099E-2</v>
      </c>
    </row>
    <row r="8257" spans="6:7" x14ac:dyDescent="0.35">
      <c r="F8257">
        <v>8252</v>
      </c>
      <c r="G8257" s="102">
        <f t="shared" ca="1" si="132"/>
        <v>-9.7290500164638694E-2</v>
      </c>
    </row>
    <row r="8258" spans="6:7" x14ac:dyDescent="0.35">
      <c r="F8258">
        <v>8253</v>
      </c>
      <c r="G8258" s="102">
        <f t="shared" ca="1" si="132"/>
        <v>-4.1613897102846298E-2</v>
      </c>
    </row>
    <row r="8259" spans="6:7" x14ac:dyDescent="0.35">
      <c r="F8259">
        <v>8254</v>
      </c>
      <c r="G8259" s="102">
        <f t="shared" ca="1" si="132"/>
        <v>3.4915653942750147E-2</v>
      </c>
    </row>
    <row r="8260" spans="6:7" x14ac:dyDescent="0.35">
      <c r="F8260">
        <v>8255</v>
      </c>
      <c r="G8260" s="102">
        <f t="shared" ca="1" si="132"/>
        <v>-6.2669981819210865E-2</v>
      </c>
    </row>
    <row r="8261" spans="6:7" x14ac:dyDescent="0.35">
      <c r="F8261">
        <v>8256</v>
      </c>
      <c r="G8261" s="102">
        <f t="shared" ca="1" si="132"/>
        <v>6.1638998298501571E-2</v>
      </c>
    </row>
    <row r="8262" spans="6:7" x14ac:dyDescent="0.35">
      <c r="F8262">
        <v>8257</v>
      </c>
      <c r="G8262" s="102">
        <f t="shared" ca="1" si="132"/>
        <v>-1.4250348925978448E-2</v>
      </c>
    </row>
    <row r="8263" spans="6:7" x14ac:dyDescent="0.35">
      <c r="F8263">
        <v>8258</v>
      </c>
      <c r="G8263" s="102">
        <f t="shared" ref="G8263:G8326" ca="1" si="133">_xlfn.NORM.INV(RAND(),M$9,M$10)</f>
        <v>2.1055360966205645E-2</v>
      </c>
    </row>
    <row r="8264" spans="6:7" x14ac:dyDescent="0.35">
      <c r="F8264">
        <v>8259</v>
      </c>
      <c r="G8264" s="102">
        <f t="shared" ca="1" si="133"/>
        <v>-2.3432249172590815E-2</v>
      </c>
    </row>
    <row r="8265" spans="6:7" x14ac:dyDescent="0.35">
      <c r="F8265">
        <v>8260</v>
      </c>
      <c r="G8265" s="102">
        <f t="shared" ca="1" si="133"/>
        <v>-0.13517258966267906</v>
      </c>
    </row>
    <row r="8266" spans="6:7" x14ac:dyDescent="0.35">
      <c r="F8266">
        <v>8261</v>
      </c>
      <c r="G8266" s="102">
        <f t="shared" ca="1" si="133"/>
        <v>5.6421462402349201E-2</v>
      </c>
    </row>
    <row r="8267" spans="6:7" x14ac:dyDescent="0.35">
      <c r="F8267">
        <v>8262</v>
      </c>
      <c r="G8267" s="102">
        <f t="shared" ca="1" si="133"/>
        <v>-6.8926341540153022E-2</v>
      </c>
    </row>
    <row r="8268" spans="6:7" x14ac:dyDescent="0.35">
      <c r="F8268">
        <v>8263</v>
      </c>
      <c r="G8268" s="102">
        <f t="shared" ca="1" si="133"/>
        <v>1.9750332467001398E-2</v>
      </c>
    </row>
    <row r="8269" spans="6:7" x14ac:dyDescent="0.35">
      <c r="F8269">
        <v>8264</v>
      </c>
      <c r="G8269" s="102">
        <f t="shared" ca="1" si="133"/>
        <v>3.315211082108345E-2</v>
      </c>
    </row>
    <row r="8270" spans="6:7" x14ac:dyDescent="0.35">
      <c r="F8270">
        <v>8265</v>
      </c>
      <c r="G8270" s="102">
        <f t="shared" ca="1" si="133"/>
        <v>8.1284917964791897E-2</v>
      </c>
    </row>
    <row r="8271" spans="6:7" x14ac:dyDescent="0.35">
      <c r="F8271">
        <v>8266</v>
      </c>
      <c r="G8271" s="102">
        <f t="shared" ca="1" si="133"/>
        <v>2.3971108828479547E-2</v>
      </c>
    </row>
    <row r="8272" spans="6:7" x14ac:dyDescent="0.35">
      <c r="F8272">
        <v>8267</v>
      </c>
      <c r="G8272" s="102">
        <f t="shared" ca="1" si="133"/>
        <v>9.7031985943773713E-2</v>
      </c>
    </row>
    <row r="8273" spans="6:7" x14ac:dyDescent="0.35">
      <c r="F8273">
        <v>8268</v>
      </c>
      <c r="G8273" s="102">
        <f t="shared" ca="1" si="133"/>
        <v>1.1880774215932977E-2</v>
      </c>
    </row>
    <row r="8274" spans="6:7" x14ac:dyDescent="0.35">
      <c r="F8274">
        <v>8269</v>
      </c>
      <c r="G8274" s="102">
        <f t="shared" ca="1" si="133"/>
        <v>-4.9518825574519476E-2</v>
      </c>
    </row>
    <row r="8275" spans="6:7" x14ac:dyDescent="0.35">
      <c r="F8275">
        <v>8270</v>
      </c>
      <c r="G8275" s="102">
        <f t="shared" ca="1" si="133"/>
        <v>-5.3170834596540408E-3</v>
      </c>
    </row>
    <row r="8276" spans="6:7" x14ac:dyDescent="0.35">
      <c r="F8276">
        <v>8271</v>
      </c>
      <c r="G8276" s="102">
        <f t="shared" ca="1" si="133"/>
        <v>-2.2137677991156887E-2</v>
      </c>
    </row>
    <row r="8277" spans="6:7" x14ac:dyDescent="0.35">
      <c r="F8277">
        <v>8272</v>
      </c>
      <c r="G8277" s="102">
        <f t="shared" ca="1" si="133"/>
        <v>0.13539060535100955</v>
      </c>
    </row>
    <row r="8278" spans="6:7" x14ac:dyDescent="0.35">
      <c r="F8278">
        <v>8273</v>
      </c>
      <c r="G8278" s="102">
        <f t="shared" ca="1" si="133"/>
        <v>4.4487251075766857E-2</v>
      </c>
    </row>
    <row r="8279" spans="6:7" x14ac:dyDescent="0.35">
      <c r="F8279">
        <v>8274</v>
      </c>
      <c r="G8279" s="102">
        <f t="shared" ca="1" si="133"/>
        <v>-5.1492381503270956E-2</v>
      </c>
    </row>
    <row r="8280" spans="6:7" x14ac:dyDescent="0.35">
      <c r="F8280">
        <v>8275</v>
      </c>
      <c r="G8280" s="102">
        <f t="shared" ca="1" si="133"/>
        <v>2.624339606146733E-2</v>
      </c>
    </row>
    <row r="8281" spans="6:7" x14ac:dyDescent="0.35">
      <c r="F8281">
        <v>8276</v>
      </c>
      <c r="G8281" s="102">
        <f t="shared" ca="1" si="133"/>
        <v>-4.7164139730018415E-2</v>
      </c>
    </row>
    <row r="8282" spans="6:7" x14ac:dyDescent="0.35">
      <c r="F8282">
        <v>8277</v>
      </c>
      <c r="G8282" s="102">
        <f t="shared" ca="1" si="133"/>
        <v>-9.1482790265246874E-2</v>
      </c>
    </row>
    <row r="8283" spans="6:7" x14ac:dyDescent="0.35">
      <c r="F8283">
        <v>8278</v>
      </c>
      <c r="G8283" s="102">
        <f t="shared" ca="1" si="133"/>
        <v>7.5662375882817517E-2</v>
      </c>
    </row>
    <row r="8284" spans="6:7" x14ac:dyDescent="0.35">
      <c r="F8284">
        <v>8279</v>
      </c>
      <c r="G8284" s="102">
        <f t="shared" ca="1" si="133"/>
        <v>-3.5032345964260837E-2</v>
      </c>
    </row>
    <row r="8285" spans="6:7" x14ac:dyDescent="0.35">
      <c r="F8285">
        <v>8280</v>
      </c>
      <c r="G8285" s="102">
        <f t="shared" ca="1" si="133"/>
        <v>8.8155612480377177E-2</v>
      </c>
    </row>
    <row r="8286" spans="6:7" x14ac:dyDescent="0.35">
      <c r="F8286">
        <v>8281</v>
      </c>
      <c r="G8286" s="102">
        <f t="shared" ca="1" si="133"/>
        <v>-3.6953677720568609E-2</v>
      </c>
    </row>
    <row r="8287" spans="6:7" x14ac:dyDescent="0.35">
      <c r="F8287">
        <v>8282</v>
      </c>
      <c r="G8287" s="102">
        <f t="shared" ca="1" si="133"/>
        <v>-0.11180437175261666</v>
      </c>
    </row>
    <row r="8288" spans="6:7" x14ac:dyDescent="0.35">
      <c r="F8288">
        <v>8283</v>
      </c>
      <c r="G8288" s="102">
        <f t="shared" ca="1" si="133"/>
        <v>8.6405469387997008E-2</v>
      </c>
    </row>
    <row r="8289" spans="6:7" x14ac:dyDescent="0.35">
      <c r="F8289">
        <v>8284</v>
      </c>
      <c r="G8289" s="102">
        <f t="shared" ca="1" si="133"/>
        <v>-7.8265122889118119E-2</v>
      </c>
    </row>
    <row r="8290" spans="6:7" x14ac:dyDescent="0.35">
      <c r="F8290">
        <v>8285</v>
      </c>
      <c r="G8290" s="102">
        <f t="shared" ca="1" si="133"/>
        <v>2.3754098897467261E-2</v>
      </c>
    </row>
    <row r="8291" spans="6:7" x14ac:dyDescent="0.35">
      <c r="F8291">
        <v>8286</v>
      </c>
      <c r="G8291" s="102">
        <f t="shared" ca="1" si="133"/>
        <v>-2.4336471584531737E-2</v>
      </c>
    </row>
    <row r="8292" spans="6:7" x14ac:dyDescent="0.35">
      <c r="F8292">
        <v>8287</v>
      </c>
      <c r="G8292" s="102">
        <f t="shared" ca="1" si="133"/>
        <v>6.930970885175626E-2</v>
      </c>
    </row>
    <row r="8293" spans="6:7" x14ac:dyDescent="0.35">
      <c r="F8293">
        <v>8288</v>
      </c>
      <c r="G8293" s="102">
        <f t="shared" ca="1" si="133"/>
        <v>-9.367083452668977E-3</v>
      </c>
    </row>
    <row r="8294" spans="6:7" x14ac:dyDescent="0.35">
      <c r="F8294">
        <v>8289</v>
      </c>
      <c r="G8294" s="102">
        <f t="shared" ca="1" si="133"/>
        <v>1.9710005789748061E-2</v>
      </c>
    </row>
    <row r="8295" spans="6:7" x14ac:dyDescent="0.35">
      <c r="F8295">
        <v>8290</v>
      </c>
      <c r="G8295" s="102">
        <f t="shared" ca="1" si="133"/>
        <v>-1.0280574720989187E-2</v>
      </c>
    </row>
    <row r="8296" spans="6:7" x14ac:dyDescent="0.35">
      <c r="F8296">
        <v>8291</v>
      </c>
      <c r="G8296" s="102">
        <f t="shared" ca="1" si="133"/>
        <v>3.3982528723919492E-2</v>
      </c>
    </row>
    <row r="8297" spans="6:7" x14ac:dyDescent="0.35">
      <c r="F8297">
        <v>8292</v>
      </c>
      <c r="G8297" s="102">
        <f t="shared" ca="1" si="133"/>
        <v>9.7118040468642836E-2</v>
      </c>
    </row>
    <row r="8298" spans="6:7" x14ac:dyDescent="0.35">
      <c r="F8298">
        <v>8293</v>
      </c>
      <c r="G8298" s="102">
        <f t="shared" ca="1" si="133"/>
        <v>4.9967793587681553E-2</v>
      </c>
    </row>
    <row r="8299" spans="6:7" x14ac:dyDescent="0.35">
      <c r="F8299">
        <v>8294</v>
      </c>
      <c r="G8299" s="102">
        <f t="shared" ca="1" si="133"/>
        <v>4.8700376124479902E-2</v>
      </c>
    </row>
    <row r="8300" spans="6:7" x14ac:dyDescent="0.35">
      <c r="F8300">
        <v>8295</v>
      </c>
      <c r="G8300" s="102">
        <f t="shared" ca="1" si="133"/>
        <v>2.8491055759502632E-2</v>
      </c>
    </row>
    <row r="8301" spans="6:7" x14ac:dyDescent="0.35">
      <c r="F8301">
        <v>8296</v>
      </c>
      <c r="G8301" s="102">
        <f t="shared" ca="1" si="133"/>
        <v>0.1010105298494373</v>
      </c>
    </row>
    <row r="8302" spans="6:7" x14ac:dyDescent="0.35">
      <c r="F8302">
        <v>8297</v>
      </c>
      <c r="G8302" s="102">
        <f t="shared" ca="1" si="133"/>
        <v>8.8615666328823242E-2</v>
      </c>
    </row>
    <row r="8303" spans="6:7" x14ac:dyDescent="0.35">
      <c r="F8303">
        <v>8298</v>
      </c>
      <c r="G8303" s="102">
        <f t="shared" ca="1" si="133"/>
        <v>3.4488634034054902E-2</v>
      </c>
    </row>
    <row r="8304" spans="6:7" x14ac:dyDescent="0.35">
      <c r="F8304">
        <v>8299</v>
      </c>
      <c r="G8304" s="102">
        <f t="shared" ca="1" si="133"/>
        <v>-3.6195622647569474E-2</v>
      </c>
    </row>
    <row r="8305" spans="6:7" x14ac:dyDescent="0.35">
      <c r="F8305">
        <v>8300</v>
      </c>
      <c r="G8305" s="102">
        <f t="shared" ca="1" si="133"/>
        <v>-5.1422336734736729E-2</v>
      </c>
    </row>
    <row r="8306" spans="6:7" x14ac:dyDescent="0.35">
      <c r="F8306">
        <v>8301</v>
      </c>
      <c r="G8306" s="102">
        <f t="shared" ca="1" si="133"/>
        <v>-4.4863930465294591E-2</v>
      </c>
    </row>
    <row r="8307" spans="6:7" x14ac:dyDescent="0.35">
      <c r="F8307">
        <v>8302</v>
      </c>
      <c r="G8307" s="102">
        <f t="shared" ca="1" si="133"/>
        <v>-2.5835725544736954E-2</v>
      </c>
    </row>
    <row r="8308" spans="6:7" x14ac:dyDescent="0.35">
      <c r="F8308">
        <v>8303</v>
      </c>
      <c r="G8308" s="102">
        <f t="shared" ca="1" si="133"/>
        <v>-8.283087316104043E-2</v>
      </c>
    </row>
    <row r="8309" spans="6:7" x14ac:dyDescent="0.35">
      <c r="F8309">
        <v>8304</v>
      </c>
      <c r="G8309" s="102">
        <f t="shared" ca="1" si="133"/>
        <v>-3.4421998231754345E-3</v>
      </c>
    </row>
    <row r="8310" spans="6:7" x14ac:dyDescent="0.35">
      <c r="F8310">
        <v>8305</v>
      </c>
      <c r="G8310" s="102">
        <f t="shared" ca="1" si="133"/>
        <v>-3.2347135824479074E-2</v>
      </c>
    </row>
    <row r="8311" spans="6:7" x14ac:dyDescent="0.35">
      <c r="F8311">
        <v>8306</v>
      </c>
      <c r="G8311" s="102">
        <f t="shared" ca="1" si="133"/>
        <v>-7.826290383090781E-3</v>
      </c>
    </row>
    <row r="8312" spans="6:7" x14ac:dyDescent="0.35">
      <c r="F8312">
        <v>8307</v>
      </c>
      <c r="G8312" s="102">
        <f t="shared" ca="1" si="133"/>
        <v>0.11463612415220807</v>
      </c>
    </row>
    <row r="8313" spans="6:7" x14ac:dyDescent="0.35">
      <c r="F8313">
        <v>8308</v>
      </c>
      <c r="G8313" s="102">
        <f t="shared" ca="1" si="133"/>
        <v>2.3168281754314617E-2</v>
      </c>
    </row>
    <row r="8314" spans="6:7" x14ac:dyDescent="0.35">
      <c r="F8314">
        <v>8309</v>
      </c>
      <c r="G8314" s="102">
        <f t="shared" ca="1" si="133"/>
        <v>-7.7028900883688772E-2</v>
      </c>
    </row>
    <row r="8315" spans="6:7" x14ac:dyDescent="0.35">
      <c r="F8315">
        <v>8310</v>
      </c>
      <c r="G8315" s="102">
        <f t="shared" ca="1" si="133"/>
        <v>-4.441580471107172E-3</v>
      </c>
    </row>
    <row r="8316" spans="6:7" x14ac:dyDescent="0.35">
      <c r="F8316">
        <v>8311</v>
      </c>
      <c r="G8316" s="102">
        <f t="shared" ca="1" si="133"/>
        <v>-9.7358897037349235E-2</v>
      </c>
    </row>
    <row r="8317" spans="6:7" x14ac:dyDescent="0.35">
      <c r="F8317">
        <v>8312</v>
      </c>
      <c r="G8317" s="102">
        <f t="shared" ca="1" si="133"/>
        <v>4.4100545747832565E-2</v>
      </c>
    </row>
    <row r="8318" spans="6:7" x14ac:dyDescent="0.35">
      <c r="F8318">
        <v>8313</v>
      </c>
      <c r="G8318" s="102">
        <f t="shared" ca="1" si="133"/>
        <v>-4.1533103236568752E-2</v>
      </c>
    </row>
    <row r="8319" spans="6:7" x14ac:dyDescent="0.35">
      <c r="F8319">
        <v>8314</v>
      </c>
      <c r="G8319" s="102">
        <f t="shared" ca="1" si="133"/>
        <v>-6.1251882390838064E-2</v>
      </c>
    </row>
    <row r="8320" spans="6:7" x14ac:dyDescent="0.35">
      <c r="F8320">
        <v>8315</v>
      </c>
      <c r="G8320" s="102">
        <f t="shared" ca="1" si="133"/>
        <v>4.1210554517830761E-2</v>
      </c>
    </row>
    <row r="8321" spans="6:7" x14ac:dyDescent="0.35">
      <c r="F8321">
        <v>8316</v>
      </c>
      <c r="G8321" s="102">
        <f t="shared" ca="1" si="133"/>
        <v>3.082689692191808E-2</v>
      </c>
    </row>
    <row r="8322" spans="6:7" x14ac:dyDescent="0.35">
      <c r="F8322">
        <v>8317</v>
      </c>
      <c r="G8322" s="102">
        <f t="shared" ca="1" si="133"/>
        <v>-4.5830224269759523E-2</v>
      </c>
    </row>
    <row r="8323" spans="6:7" x14ac:dyDescent="0.35">
      <c r="F8323">
        <v>8318</v>
      </c>
      <c r="G8323" s="102">
        <f t="shared" ca="1" si="133"/>
        <v>-6.8782682886436713E-2</v>
      </c>
    </row>
    <row r="8324" spans="6:7" x14ac:dyDescent="0.35">
      <c r="F8324">
        <v>8319</v>
      </c>
      <c r="G8324" s="102">
        <f t="shared" ca="1" si="133"/>
        <v>-3.2126284325265875E-2</v>
      </c>
    </row>
    <row r="8325" spans="6:7" x14ac:dyDescent="0.35">
      <c r="F8325">
        <v>8320</v>
      </c>
      <c r="G8325" s="102">
        <f t="shared" ca="1" si="133"/>
        <v>-4.5448298634730346E-3</v>
      </c>
    </row>
    <row r="8326" spans="6:7" x14ac:dyDescent="0.35">
      <c r="F8326">
        <v>8321</v>
      </c>
      <c r="G8326" s="102">
        <f t="shared" ca="1" si="133"/>
        <v>-4.3068896935776688E-2</v>
      </c>
    </row>
    <row r="8327" spans="6:7" x14ac:dyDescent="0.35">
      <c r="F8327">
        <v>8322</v>
      </c>
      <c r="G8327" s="102">
        <f t="shared" ref="G8327:G8390" ca="1" si="134">_xlfn.NORM.INV(RAND(),M$9,M$10)</f>
        <v>2.0477287122767824E-2</v>
      </c>
    </row>
    <row r="8328" spans="6:7" x14ac:dyDescent="0.35">
      <c r="F8328">
        <v>8323</v>
      </c>
      <c r="G8328" s="102">
        <f t="shared" ca="1" si="134"/>
        <v>-3.917554543239235E-2</v>
      </c>
    </row>
    <row r="8329" spans="6:7" x14ac:dyDescent="0.35">
      <c r="F8329">
        <v>8324</v>
      </c>
      <c r="G8329" s="102">
        <f t="shared" ca="1" si="134"/>
        <v>-5.9939232052721628E-2</v>
      </c>
    </row>
    <row r="8330" spans="6:7" x14ac:dyDescent="0.35">
      <c r="F8330">
        <v>8325</v>
      </c>
      <c r="G8330" s="102">
        <f t="shared" ca="1" si="134"/>
        <v>-0.17761075874255228</v>
      </c>
    </row>
    <row r="8331" spans="6:7" x14ac:dyDescent="0.35">
      <c r="F8331">
        <v>8326</v>
      </c>
      <c r="G8331" s="102">
        <f t="shared" ca="1" si="134"/>
        <v>-6.3232798422351799E-2</v>
      </c>
    </row>
    <row r="8332" spans="6:7" x14ac:dyDescent="0.35">
      <c r="F8332">
        <v>8327</v>
      </c>
      <c r="G8332" s="102">
        <f t="shared" ca="1" si="134"/>
        <v>-1.2546417985146146E-3</v>
      </c>
    </row>
    <row r="8333" spans="6:7" x14ac:dyDescent="0.35">
      <c r="F8333">
        <v>8328</v>
      </c>
      <c r="G8333" s="102">
        <f t="shared" ca="1" si="134"/>
        <v>4.7383774324377612E-2</v>
      </c>
    </row>
    <row r="8334" spans="6:7" x14ac:dyDescent="0.35">
      <c r="F8334">
        <v>8329</v>
      </c>
      <c r="G8334" s="102">
        <f t="shared" ca="1" si="134"/>
        <v>4.2318812686345839E-2</v>
      </c>
    </row>
    <row r="8335" spans="6:7" x14ac:dyDescent="0.35">
      <c r="F8335">
        <v>8330</v>
      </c>
      <c r="G8335" s="102">
        <f t="shared" ca="1" si="134"/>
        <v>-0.1195645641094002</v>
      </c>
    </row>
    <row r="8336" spans="6:7" x14ac:dyDescent="0.35">
      <c r="F8336">
        <v>8331</v>
      </c>
      <c r="G8336" s="102">
        <f t="shared" ca="1" si="134"/>
        <v>0.1194117562987454</v>
      </c>
    </row>
    <row r="8337" spans="6:7" x14ac:dyDescent="0.35">
      <c r="F8337">
        <v>8332</v>
      </c>
      <c r="G8337" s="102">
        <f t="shared" ca="1" si="134"/>
        <v>-1.1035546356881264E-2</v>
      </c>
    </row>
    <row r="8338" spans="6:7" x14ac:dyDescent="0.35">
      <c r="F8338">
        <v>8333</v>
      </c>
      <c r="G8338" s="102">
        <f t="shared" ca="1" si="134"/>
        <v>8.7472149838122154E-3</v>
      </c>
    </row>
    <row r="8339" spans="6:7" x14ac:dyDescent="0.35">
      <c r="F8339">
        <v>8334</v>
      </c>
      <c r="G8339" s="102">
        <f t="shared" ca="1" si="134"/>
        <v>3.5437272314727167E-2</v>
      </c>
    </row>
    <row r="8340" spans="6:7" x14ac:dyDescent="0.35">
      <c r="F8340">
        <v>8335</v>
      </c>
      <c r="G8340" s="102">
        <f t="shared" ca="1" si="134"/>
        <v>8.368123559475249E-2</v>
      </c>
    </row>
    <row r="8341" spans="6:7" x14ac:dyDescent="0.35">
      <c r="F8341">
        <v>8336</v>
      </c>
      <c r="G8341" s="102">
        <f t="shared" ca="1" si="134"/>
        <v>-3.5055448203370004E-2</v>
      </c>
    </row>
    <row r="8342" spans="6:7" x14ac:dyDescent="0.35">
      <c r="F8342">
        <v>8337</v>
      </c>
      <c r="G8342" s="102">
        <f t="shared" ca="1" si="134"/>
        <v>4.3309219895568893E-2</v>
      </c>
    </row>
    <row r="8343" spans="6:7" x14ac:dyDescent="0.35">
      <c r="F8343">
        <v>8338</v>
      </c>
      <c r="G8343" s="102">
        <f t="shared" ca="1" si="134"/>
        <v>-4.4786374627036357E-2</v>
      </c>
    </row>
    <row r="8344" spans="6:7" x14ac:dyDescent="0.35">
      <c r="F8344">
        <v>8339</v>
      </c>
      <c r="G8344" s="102">
        <f t="shared" ca="1" si="134"/>
        <v>-2.0400737254672084E-2</v>
      </c>
    </row>
    <row r="8345" spans="6:7" x14ac:dyDescent="0.35">
      <c r="F8345">
        <v>8340</v>
      </c>
      <c r="G8345" s="102">
        <f t="shared" ca="1" si="134"/>
        <v>-9.4558257393577719E-2</v>
      </c>
    </row>
    <row r="8346" spans="6:7" x14ac:dyDescent="0.35">
      <c r="F8346">
        <v>8341</v>
      </c>
      <c r="G8346" s="102">
        <f t="shared" ca="1" si="134"/>
        <v>7.0602896805386159E-2</v>
      </c>
    </row>
    <row r="8347" spans="6:7" x14ac:dyDescent="0.35">
      <c r="F8347">
        <v>8342</v>
      </c>
      <c r="G8347" s="102">
        <f t="shared" ca="1" si="134"/>
        <v>9.1333570405378248E-2</v>
      </c>
    </row>
    <row r="8348" spans="6:7" x14ac:dyDescent="0.35">
      <c r="F8348">
        <v>8343</v>
      </c>
      <c r="G8348" s="102">
        <f t="shared" ca="1" si="134"/>
        <v>-8.3755874537588371E-2</v>
      </c>
    </row>
    <row r="8349" spans="6:7" x14ac:dyDescent="0.35">
      <c r="F8349">
        <v>8344</v>
      </c>
      <c r="G8349" s="102">
        <f t="shared" ca="1" si="134"/>
        <v>5.8813536171979496E-3</v>
      </c>
    </row>
    <row r="8350" spans="6:7" x14ac:dyDescent="0.35">
      <c r="F8350">
        <v>8345</v>
      </c>
      <c r="G8350" s="102">
        <f t="shared" ca="1" si="134"/>
        <v>0.12474724411108611</v>
      </c>
    </row>
    <row r="8351" spans="6:7" x14ac:dyDescent="0.35">
      <c r="F8351">
        <v>8346</v>
      </c>
      <c r="G8351" s="102">
        <f t="shared" ca="1" si="134"/>
        <v>-2.737043102739653E-2</v>
      </c>
    </row>
    <row r="8352" spans="6:7" x14ac:dyDescent="0.35">
      <c r="F8352">
        <v>8347</v>
      </c>
      <c r="G8352" s="102">
        <f t="shared" ca="1" si="134"/>
        <v>5.1697498849728518E-2</v>
      </c>
    </row>
    <row r="8353" spans="6:7" x14ac:dyDescent="0.35">
      <c r="F8353">
        <v>8348</v>
      </c>
      <c r="G8353" s="102">
        <f t="shared" ca="1" si="134"/>
        <v>-1.1682495728692281E-2</v>
      </c>
    </row>
    <row r="8354" spans="6:7" x14ac:dyDescent="0.35">
      <c r="F8354">
        <v>8349</v>
      </c>
      <c r="G8354" s="102">
        <f t="shared" ca="1" si="134"/>
        <v>-6.7005688427763971E-2</v>
      </c>
    </row>
    <row r="8355" spans="6:7" x14ac:dyDescent="0.35">
      <c r="F8355">
        <v>8350</v>
      </c>
      <c r="G8355" s="102">
        <f t="shared" ca="1" si="134"/>
        <v>6.2257668656007348E-2</v>
      </c>
    </row>
    <row r="8356" spans="6:7" x14ac:dyDescent="0.35">
      <c r="F8356">
        <v>8351</v>
      </c>
      <c r="G8356" s="102">
        <f t="shared" ca="1" si="134"/>
        <v>1.8542621088143349E-2</v>
      </c>
    </row>
    <row r="8357" spans="6:7" x14ac:dyDescent="0.35">
      <c r="F8357">
        <v>8352</v>
      </c>
      <c r="G8357" s="102">
        <f t="shared" ca="1" si="134"/>
        <v>9.4425911742953672E-2</v>
      </c>
    </row>
    <row r="8358" spans="6:7" x14ac:dyDescent="0.35">
      <c r="F8358">
        <v>8353</v>
      </c>
      <c r="G8358" s="102">
        <f t="shared" ca="1" si="134"/>
        <v>-4.9655498108380117E-2</v>
      </c>
    </row>
    <row r="8359" spans="6:7" x14ac:dyDescent="0.35">
      <c r="F8359">
        <v>8354</v>
      </c>
      <c r="G8359" s="102">
        <f t="shared" ca="1" si="134"/>
        <v>-0.18102993034579529</v>
      </c>
    </row>
    <row r="8360" spans="6:7" x14ac:dyDescent="0.35">
      <c r="F8360">
        <v>8355</v>
      </c>
      <c r="G8360" s="102">
        <f t="shared" ca="1" si="134"/>
        <v>-7.7706109982791677E-2</v>
      </c>
    </row>
    <row r="8361" spans="6:7" x14ac:dyDescent="0.35">
      <c r="F8361">
        <v>8356</v>
      </c>
      <c r="G8361" s="102">
        <f t="shared" ca="1" si="134"/>
        <v>3.7436565854037304E-2</v>
      </c>
    </row>
    <row r="8362" spans="6:7" x14ac:dyDescent="0.35">
      <c r="F8362">
        <v>8357</v>
      </c>
      <c r="G8362" s="102">
        <f t="shared" ca="1" si="134"/>
        <v>-2.5927965511774124E-2</v>
      </c>
    </row>
    <row r="8363" spans="6:7" x14ac:dyDescent="0.35">
      <c r="F8363">
        <v>8358</v>
      </c>
      <c r="G8363" s="102">
        <f t="shared" ca="1" si="134"/>
        <v>7.250823094485509E-2</v>
      </c>
    </row>
    <row r="8364" spans="6:7" x14ac:dyDescent="0.35">
      <c r="F8364">
        <v>8359</v>
      </c>
      <c r="G8364" s="102">
        <f t="shared" ca="1" si="134"/>
        <v>-4.1316852744151547E-2</v>
      </c>
    </row>
    <row r="8365" spans="6:7" x14ac:dyDescent="0.35">
      <c r="F8365">
        <v>8360</v>
      </c>
      <c r="G8365" s="102">
        <f t="shared" ca="1" si="134"/>
        <v>-5.72313523839489E-2</v>
      </c>
    </row>
    <row r="8366" spans="6:7" x14ac:dyDescent="0.35">
      <c r="F8366">
        <v>8361</v>
      </c>
      <c r="G8366" s="102">
        <f t="shared" ca="1" si="134"/>
        <v>-2.5925853038070702E-2</v>
      </c>
    </row>
    <row r="8367" spans="6:7" x14ac:dyDescent="0.35">
      <c r="F8367">
        <v>8362</v>
      </c>
      <c r="G8367" s="102">
        <f t="shared" ca="1" si="134"/>
        <v>-7.7712200423882161E-2</v>
      </c>
    </row>
    <row r="8368" spans="6:7" x14ac:dyDescent="0.35">
      <c r="F8368">
        <v>8363</v>
      </c>
      <c r="G8368" s="102">
        <f t="shared" ca="1" si="134"/>
        <v>-8.1313902052025877E-2</v>
      </c>
    </row>
    <row r="8369" spans="6:7" x14ac:dyDescent="0.35">
      <c r="F8369">
        <v>8364</v>
      </c>
      <c r="G8369" s="102">
        <f t="shared" ca="1" si="134"/>
        <v>4.9602699992936962E-3</v>
      </c>
    </row>
    <row r="8370" spans="6:7" x14ac:dyDescent="0.35">
      <c r="F8370">
        <v>8365</v>
      </c>
      <c r="G8370" s="102">
        <f t="shared" ca="1" si="134"/>
        <v>-2.9239466235512963E-3</v>
      </c>
    </row>
    <row r="8371" spans="6:7" x14ac:dyDescent="0.35">
      <c r="F8371">
        <v>8366</v>
      </c>
      <c r="G8371" s="102">
        <f t="shared" ca="1" si="134"/>
        <v>-1.0877454489910799E-2</v>
      </c>
    </row>
    <row r="8372" spans="6:7" x14ac:dyDescent="0.35">
      <c r="F8372">
        <v>8367</v>
      </c>
      <c r="G8372" s="102">
        <f t="shared" ca="1" si="134"/>
        <v>5.3472663490566185E-3</v>
      </c>
    </row>
    <row r="8373" spans="6:7" x14ac:dyDescent="0.35">
      <c r="F8373">
        <v>8368</v>
      </c>
      <c r="G8373" s="102">
        <f t="shared" ca="1" si="134"/>
        <v>0.12096638899750371</v>
      </c>
    </row>
    <row r="8374" spans="6:7" x14ac:dyDescent="0.35">
      <c r="F8374">
        <v>8369</v>
      </c>
      <c r="G8374" s="102">
        <f t="shared" ca="1" si="134"/>
        <v>6.3144531654211883E-2</v>
      </c>
    </row>
    <row r="8375" spans="6:7" x14ac:dyDescent="0.35">
      <c r="F8375">
        <v>8370</v>
      </c>
      <c r="G8375" s="102">
        <f t="shared" ca="1" si="134"/>
        <v>-5.2414764174195591E-2</v>
      </c>
    </row>
    <row r="8376" spans="6:7" x14ac:dyDescent="0.35">
      <c r="F8376">
        <v>8371</v>
      </c>
      <c r="G8376" s="102">
        <f t="shared" ca="1" si="134"/>
        <v>-6.7557137720696589E-2</v>
      </c>
    </row>
    <row r="8377" spans="6:7" x14ac:dyDescent="0.35">
      <c r="F8377">
        <v>8372</v>
      </c>
      <c r="G8377" s="102">
        <f t="shared" ca="1" si="134"/>
        <v>1.6354527406961465E-2</v>
      </c>
    </row>
    <row r="8378" spans="6:7" x14ac:dyDescent="0.35">
      <c r="F8378">
        <v>8373</v>
      </c>
      <c r="G8378" s="102">
        <f t="shared" ca="1" si="134"/>
        <v>3.0636365252390194E-2</v>
      </c>
    </row>
    <row r="8379" spans="6:7" x14ac:dyDescent="0.35">
      <c r="F8379">
        <v>8374</v>
      </c>
      <c r="G8379" s="102">
        <f t="shared" ca="1" si="134"/>
        <v>-4.1283739263269698E-2</v>
      </c>
    </row>
    <row r="8380" spans="6:7" x14ac:dyDescent="0.35">
      <c r="F8380">
        <v>8375</v>
      </c>
      <c r="G8380" s="102">
        <f t="shared" ca="1" si="134"/>
        <v>4.4138785092929081E-2</v>
      </c>
    </row>
    <row r="8381" spans="6:7" x14ac:dyDescent="0.35">
      <c r="F8381">
        <v>8376</v>
      </c>
      <c r="G8381" s="102">
        <f t="shared" ca="1" si="134"/>
        <v>2.7272338788606163E-2</v>
      </c>
    </row>
    <row r="8382" spans="6:7" x14ac:dyDescent="0.35">
      <c r="F8382">
        <v>8377</v>
      </c>
      <c r="G8382" s="102">
        <f t="shared" ca="1" si="134"/>
        <v>4.8101580948225489E-2</v>
      </c>
    </row>
    <row r="8383" spans="6:7" x14ac:dyDescent="0.35">
      <c r="F8383">
        <v>8378</v>
      </c>
      <c r="G8383" s="102">
        <f t="shared" ca="1" si="134"/>
        <v>-2.3842133130248803E-2</v>
      </c>
    </row>
    <row r="8384" spans="6:7" x14ac:dyDescent="0.35">
      <c r="F8384">
        <v>8379</v>
      </c>
      <c r="G8384" s="102">
        <f t="shared" ca="1" si="134"/>
        <v>-2.0101721399311538E-2</v>
      </c>
    </row>
    <row r="8385" spans="6:7" x14ac:dyDescent="0.35">
      <c r="F8385">
        <v>8380</v>
      </c>
      <c r="G8385" s="102">
        <f t="shared" ca="1" si="134"/>
        <v>8.9213130137683602E-2</v>
      </c>
    </row>
    <row r="8386" spans="6:7" x14ac:dyDescent="0.35">
      <c r="F8386">
        <v>8381</v>
      </c>
      <c r="G8386" s="102">
        <f t="shared" ca="1" si="134"/>
        <v>1.4674945690123301E-2</v>
      </c>
    </row>
    <row r="8387" spans="6:7" x14ac:dyDescent="0.35">
      <c r="F8387">
        <v>8382</v>
      </c>
      <c r="G8387" s="102">
        <f t="shared" ca="1" si="134"/>
        <v>-3.5480628990263607E-2</v>
      </c>
    </row>
    <row r="8388" spans="6:7" x14ac:dyDescent="0.35">
      <c r="F8388">
        <v>8383</v>
      </c>
      <c r="G8388" s="102">
        <f t="shared" ca="1" si="134"/>
        <v>-4.3930499667604414E-2</v>
      </c>
    </row>
    <row r="8389" spans="6:7" x14ac:dyDescent="0.35">
      <c r="F8389">
        <v>8384</v>
      </c>
      <c r="G8389" s="102">
        <f t="shared" ca="1" si="134"/>
        <v>2.3568150388919427E-2</v>
      </c>
    </row>
    <row r="8390" spans="6:7" x14ac:dyDescent="0.35">
      <c r="F8390">
        <v>8385</v>
      </c>
      <c r="G8390" s="102">
        <f t="shared" ca="1" si="134"/>
        <v>-7.9907506542486684E-2</v>
      </c>
    </row>
    <row r="8391" spans="6:7" x14ac:dyDescent="0.35">
      <c r="F8391">
        <v>8386</v>
      </c>
      <c r="G8391" s="102">
        <f t="shared" ref="G8391:G8454" ca="1" si="135">_xlfn.NORM.INV(RAND(),M$9,M$10)</f>
        <v>-9.4931210823410342E-2</v>
      </c>
    </row>
    <row r="8392" spans="6:7" x14ac:dyDescent="0.35">
      <c r="F8392">
        <v>8387</v>
      </c>
      <c r="G8392" s="102">
        <f t="shared" ca="1" si="135"/>
        <v>7.8832496714200992E-2</v>
      </c>
    </row>
    <row r="8393" spans="6:7" x14ac:dyDescent="0.35">
      <c r="F8393">
        <v>8388</v>
      </c>
      <c r="G8393" s="102">
        <f t="shared" ca="1" si="135"/>
        <v>-8.0322338417143577E-3</v>
      </c>
    </row>
    <row r="8394" spans="6:7" x14ac:dyDescent="0.35">
      <c r="F8394">
        <v>8389</v>
      </c>
      <c r="G8394" s="102">
        <f t="shared" ca="1" si="135"/>
        <v>-5.7099494791479202E-2</v>
      </c>
    </row>
    <row r="8395" spans="6:7" x14ac:dyDescent="0.35">
      <c r="F8395">
        <v>8390</v>
      </c>
      <c r="G8395" s="102">
        <f t="shared" ca="1" si="135"/>
        <v>-0.1653321094903106</v>
      </c>
    </row>
    <row r="8396" spans="6:7" x14ac:dyDescent="0.35">
      <c r="F8396">
        <v>8391</v>
      </c>
      <c r="G8396" s="102">
        <f t="shared" ca="1" si="135"/>
        <v>-3.9598472893762338E-2</v>
      </c>
    </row>
    <row r="8397" spans="6:7" x14ac:dyDescent="0.35">
      <c r="F8397">
        <v>8392</v>
      </c>
      <c r="G8397" s="102">
        <f t="shared" ca="1" si="135"/>
        <v>5.1997337996238027E-2</v>
      </c>
    </row>
    <row r="8398" spans="6:7" x14ac:dyDescent="0.35">
      <c r="F8398">
        <v>8393</v>
      </c>
      <c r="G8398" s="102">
        <f t="shared" ca="1" si="135"/>
        <v>1.263807202743111E-2</v>
      </c>
    </row>
    <row r="8399" spans="6:7" x14ac:dyDescent="0.35">
      <c r="F8399">
        <v>8394</v>
      </c>
      <c r="G8399" s="102">
        <f t="shared" ca="1" si="135"/>
        <v>1.2323450282087815E-2</v>
      </c>
    </row>
    <row r="8400" spans="6:7" x14ac:dyDescent="0.35">
      <c r="F8400">
        <v>8395</v>
      </c>
      <c r="G8400" s="102">
        <f t="shared" ca="1" si="135"/>
        <v>-4.4649762082902269E-3</v>
      </c>
    </row>
    <row r="8401" spans="6:7" x14ac:dyDescent="0.35">
      <c r="F8401">
        <v>8396</v>
      </c>
      <c r="G8401" s="102">
        <f t="shared" ca="1" si="135"/>
        <v>4.2162578425448544E-2</v>
      </c>
    </row>
    <row r="8402" spans="6:7" x14ac:dyDescent="0.35">
      <c r="F8402">
        <v>8397</v>
      </c>
      <c r="G8402" s="102">
        <f t="shared" ca="1" si="135"/>
        <v>-5.8013327301909084E-2</v>
      </c>
    </row>
    <row r="8403" spans="6:7" x14ac:dyDescent="0.35">
      <c r="F8403">
        <v>8398</v>
      </c>
      <c r="G8403" s="102">
        <f t="shared" ca="1" si="135"/>
        <v>-6.697789472967669E-2</v>
      </c>
    </row>
    <row r="8404" spans="6:7" x14ac:dyDescent="0.35">
      <c r="F8404">
        <v>8399</v>
      </c>
      <c r="G8404" s="102">
        <f t="shared" ca="1" si="135"/>
        <v>-3.8781645410586568E-2</v>
      </c>
    </row>
    <row r="8405" spans="6:7" x14ac:dyDescent="0.35">
      <c r="F8405">
        <v>8400</v>
      </c>
      <c r="G8405" s="102">
        <f t="shared" ca="1" si="135"/>
        <v>2.0057327245765588E-2</v>
      </c>
    </row>
    <row r="8406" spans="6:7" x14ac:dyDescent="0.35">
      <c r="F8406">
        <v>8401</v>
      </c>
      <c r="G8406" s="102">
        <f t="shared" ca="1" si="135"/>
        <v>8.1032401397760329E-2</v>
      </c>
    </row>
    <row r="8407" spans="6:7" x14ac:dyDescent="0.35">
      <c r="F8407">
        <v>8402</v>
      </c>
      <c r="G8407" s="102">
        <f t="shared" ca="1" si="135"/>
        <v>1.5592115211077121E-2</v>
      </c>
    </row>
    <row r="8408" spans="6:7" x14ac:dyDescent="0.35">
      <c r="F8408">
        <v>8403</v>
      </c>
      <c r="G8408" s="102">
        <f t="shared" ca="1" si="135"/>
        <v>1.0696810476672553E-2</v>
      </c>
    </row>
    <row r="8409" spans="6:7" x14ac:dyDescent="0.35">
      <c r="F8409">
        <v>8404</v>
      </c>
      <c r="G8409" s="102">
        <f t="shared" ca="1" si="135"/>
        <v>0.11892027872461385</v>
      </c>
    </row>
    <row r="8410" spans="6:7" x14ac:dyDescent="0.35">
      <c r="F8410">
        <v>8405</v>
      </c>
      <c r="G8410" s="102">
        <f t="shared" ca="1" si="135"/>
        <v>1.6795354728894811E-2</v>
      </c>
    </row>
    <row r="8411" spans="6:7" x14ac:dyDescent="0.35">
      <c r="F8411">
        <v>8406</v>
      </c>
      <c r="G8411" s="102">
        <f t="shared" ca="1" si="135"/>
        <v>4.5360351222910336E-2</v>
      </c>
    </row>
    <row r="8412" spans="6:7" x14ac:dyDescent="0.35">
      <c r="F8412">
        <v>8407</v>
      </c>
      <c r="G8412" s="102">
        <f t="shared" ca="1" si="135"/>
        <v>-5.3535532941388381E-2</v>
      </c>
    </row>
    <row r="8413" spans="6:7" x14ac:dyDescent="0.35">
      <c r="F8413">
        <v>8408</v>
      </c>
      <c r="G8413" s="102">
        <f t="shared" ca="1" si="135"/>
        <v>8.6037514934086387E-2</v>
      </c>
    </row>
    <row r="8414" spans="6:7" x14ac:dyDescent="0.35">
      <c r="F8414">
        <v>8409</v>
      </c>
      <c r="G8414" s="102">
        <f t="shared" ca="1" si="135"/>
        <v>4.5956223637958427E-2</v>
      </c>
    </row>
    <row r="8415" spans="6:7" x14ac:dyDescent="0.35">
      <c r="F8415">
        <v>8410</v>
      </c>
      <c r="G8415" s="102">
        <f t="shared" ca="1" si="135"/>
        <v>-7.5214696708825121E-3</v>
      </c>
    </row>
    <row r="8416" spans="6:7" x14ac:dyDescent="0.35">
      <c r="F8416">
        <v>8411</v>
      </c>
      <c r="G8416" s="102">
        <f t="shared" ca="1" si="135"/>
        <v>-6.2700209205897431E-2</v>
      </c>
    </row>
    <row r="8417" spans="6:7" x14ac:dyDescent="0.35">
      <c r="F8417">
        <v>8412</v>
      </c>
      <c r="G8417" s="102">
        <f t="shared" ca="1" si="135"/>
        <v>-9.1071067181428628E-2</v>
      </c>
    </row>
    <row r="8418" spans="6:7" x14ac:dyDescent="0.35">
      <c r="F8418">
        <v>8413</v>
      </c>
      <c r="G8418" s="102">
        <f t="shared" ca="1" si="135"/>
        <v>5.2852805332694361E-2</v>
      </c>
    </row>
    <row r="8419" spans="6:7" x14ac:dyDescent="0.35">
      <c r="F8419">
        <v>8414</v>
      </c>
      <c r="G8419" s="102">
        <f t="shared" ca="1" si="135"/>
        <v>7.7568946775436159E-2</v>
      </c>
    </row>
    <row r="8420" spans="6:7" x14ac:dyDescent="0.35">
      <c r="F8420">
        <v>8415</v>
      </c>
      <c r="G8420" s="102">
        <f t="shared" ca="1" si="135"/>
        <v>6.3724710416699179E-2</v>
      </c>
    </row>
    <row r="8421" spans="6:7" x14ac:dyDescent="0.35">
      <c r="F8421">
        <v>8416</v>
      </c>
      <c r="G8421" s="102">
        <f t="shared" ca="1" si="135"/>
        <v>-2.7272205131192929E-2</v>
      </c>
    </row>
    <row r="8422" spans="6:7" x14ac:dyDescent="0.35">
      <c r="F8422">
        <v>8417</v>
      </c>
      <c r="G8422" s="102">
        <f t="shared" ca="1" si="135"/>
        <v>-2.0283195542125329E-3</v>
      </c>
    </row>
    <row r="8423" spans="6:7" x14ac:dyDescent="0.35">
      <c r="F8423">
        <v>8418</v>
      </c>
      <c r="G8423" s="102">
        <f t="shared" ca="1" si="135"/>
        <v>5.9627035328443892E-2</v>
      </c>
    </row>
    <row r="8424" spans="6:7" x14ac:dyDescent="0.35">
      <c r="F8424">
        <v>8419</v>
      </c>
      <c r="G8424" s="102">
        <f t="shared" ca="1" si="135"/>
        <v>9.1009846156180338E-2</v>
      </c>
    </row>
    <row r="8425" spans="6:7" x14ac:dyDescent="0.35">
      <c r="F8425">
        <v>8420</v>
      </c>
      <c r="G8425" s="102">
        <f t="shared" ca="1" si="135"/>
        <v>-7.7435631563791185E-2</v>
      </c>
    </row>
    <row r="8426" spans="6:7" x14ac:dyDescent="0.35">
      <c r="F8426">
        <v>8421</v>
      </c>
      <c r="G8426" s="102">
        <f t="shared" ca="1" si="135"/>
        <v>-7.5386745572521337E-3</v>
      </c>
    </row>
    <row r="8427" spans="6:7" x14ac:dyDescent="0.35">
      <c r="F8427">
        <v>8422</v>
      </c>
      <c r="G8427" s="102">
        <f t="shared" ca="1" si="135"/>
        <v>-2.861436635479208E-2</v>
      </c>
    </row>
    <row r="8428" spans="6:7" x14ac:dyDescent="0.35">
      <c r="F8428">
        <v>8423</v>
      </c>
      <c r="G8428" s="102">
        <f t="shared" ca="1" si="135"/>
        <v>1.2500425433963114E-2</v>
      </c>
    </row>
    <row r="8429" spans="6:7" x14ac:dyDescent="0.35">
      <c r="F8429">
        <v>8424</v>
      </c>
      <c r="G8429" s="102">
        <f t="shared" ca="1" si="135"/>
        <v>-6.1984129018985923E-2</v>
      </c>
    </row>
    <row r="8430" spans="6:7" x14ac:dyDescent="0.35">
      <c r="F8430">
        <v>8425</v>
      </c>
      <c r="G8430" s="102">
        <f t="shared" ca="1" si="135"/>
        <v>2.8877000436341321E-2</v>
      </c>
    </row>
    <row r="8431" spans="6:7" x14ac:dyDescent="0.35">
      <c r="F8431">
        <v>8426</v>
      </c>
      <c r="G8431" s="102">
        <f t="shared" ca="1" si="135"/>
        <v>-1.3444082408615795E-2</v>
      </c>
    </row>
    <row r="8432" spans="6:7" x14ac:dyDescent="0.35">
      <c r="F8432">
        <v>8427</v>
      </c>
      <c r="G8432" s="102">
        <f t="shared" ca="1" si="135"/>
        <v>3.899862021757837E-2</v>
      </c>
    </row>
    <row r="8433" spans="6:7" x14ac:dyDescent="0.35">
      <c r="F8433">
        <v>8428</v>
      </c>
      <c r="G8433" s="102">
        <f t="shared" ca="1" si="135"/>
        <v>-3.9202769957833464E-2</v>
      </c>
    </row>
    <row r="8434" spans="6:7" x14ac:dyDescent="0.35">
      <c r="F8434">
        <v>8429</v>
      </c>
      <c r="G8434" s="102">
        <f t="shared" ca="1" si="135"/>
        <v>-7.2707564606504418E-2</v>
      </c>
    </row>
    <row r="8435" spans="6:7" x14ac:dyDescent="0.35">
      <c r="F8435">
        <v>8430</v>
      </c>
      <c r="G8435" s="102">
        <f t="shared" ca="1" si="135"/>
        <v>1.3584293567946541E-2</v>
      </c>
    </row>
    <row r="8436" spans="6:7" x14ac:dyDescent="0.35">
      <c r="F8436">
        <v>8431</v>
      </c>
      <c r="G8436" s="102">
        <f t="shared" ca="1" si="135"/>
        <v>-4.272794883282788E-3</v>
      </c>
    </row>
    <row r="8437" spans="6:7" x14ac:dyDescent="0.35">
      <c r="F8437">
        <v>8432</v>
      </c>
      <c r="G8437" s="102">
        <f t="shared" ca="1" si="135"/>
        <v>-8.7841204264774653E-2</v>
      </c>
    </row>
    <row r="8438" spans="6:7" x14ac:dyDescent="0.35">
      <c r="F8438">
        <v>8433</v>
      </c>
      <c r="G8438" s="102">
        <f t="shared" ca="1" si="135"/>
        <v>-5.4825841550420154E-2</v>
      </c>
    </row>
    <row r="8439" spans="6:7" x14ac:dyDescent="0.35">
      <c r="F8439">
        <v>8434</v>
      </c>
      <c r="G8439" s="102">
        <f t="shared" ca="1" si="135"/>
        <v>-9.1404043087400577E-2</v>
      </c>
    </row>
    <row r="8440" spans="6:7" x14ac:dyDescent="0.35">
      <c r="F8440">
        <v>8435</v>
      </c>
      <c r="G8440" s="102">
        <f t="shared" ca="1" si="135"/>
        <v>-3.8568831453163768E-2</v>
      </c>
    </row>
    <row r="8441" spans="6:7" x14ac:dyDescent="0.35">
      <c r="F8441">
        <v>8436</v>
      </c>
      <c r="G8441" s="102">
        <f t="shared" ca="1" si="135"/>
        <v>0.1071557375504994</v>
      </c>
    </row>
    <row r="8442" spans="6:7" x14ac:dyDescent="0.35">
      <c r="F8442">
        <v>8437</v>
      </c>
      <c r="G8442" s="102">
        <f t="shared" ca="1" si="135"/>
        <v>-5.9646857416070481E-2</v>
      </c>
    </row>
    <row r="8443" spans="6:7" x14ac:dyDescent="0.35">
      <c r="F8443">
        <v>8438</v>
      </c>
      <c r="G8443" s="102">
        <f t="shared" ca="1" si="135"/>
        <v>7.4948204011102328E-3</v>
      </c>
    </row>
    <row r="8444" spans="6:7" x14ac:dyDescent="0.35">
      <c r="F8444">
        <v>8439</v>
      </c>
      <c r="G8444" s="102">
        <f t="shared" ca="1" si="135"/>
        <v>-0.12015894690388614</v>
      </c>
    </row>
    <row r="8445" spans="6:7" x14ac:dyDescent="0.35">
      <c r="F8445">
        <v>8440</v>
      </c>
      <c r="G8445" s="102">
        <f t="shared" ca="1" si="135"/>
        <v>-5.7215067636077935E-2</v>
      </c>
    </row>
    <row r="8446" spans="6:7" x14ac:dyDescent="0.35">
      <c r="F8446">
        <v>8441</v>
      </c>
      <c r="G8446" s="102">
        <f t="shared" ca="1" si="135"/>
        <v>4.2095054591983327E-3</v>
      </c>
    </row>
    <row r="8447" spans="6:7" x14ac:dyDescent="0.35">
      <c r="F8447">
        <v>8442</v>
      </c>
      <c r="G8447" s="102">
        <f t="shared" ca="1" si="135"/>
        <v>-3.2643647888561313E-2</v>
      </c>
    </row>
    <row r="8448" spans="6:7" x14ac:dyDescent="0.35">
      <c r="F8448">
        <v>8443</v>
      </c>
      <c r="G8448" s="102">
        <f t="shared" ca="1" si="135"/>
        <v>-1.380296439056357E-2</v>
      </c>
    </row>
    <row r="8449" spans="6:7" x14ac:dyDescent="0.35">
      <c r="F8449">
        <v>8444</v>
      </c>
      <c r="G8449" s="102">
        <f t="shared" ca="1" si="135"/>
        <v>4.9603336003743621E-3</v>
      </c>
    </row>
    <row r="8450" spans="6:7" x14ac:dyDescent="0.35">
      <c r="F8450">
        <v>8445</v>
      </c>
      <c r="G8450" s="102">
        <f t="shared" ca="1" si="135"/>
        <v>7.0860222828821498E-2</v>
      </c>
    </row>
    <row r="8451" spans="6:7" x14ac:dyDescent="0.35">
      <c r="F8451">
        <v>8446</v>
      </c>
      <c r="G8451" s="102">
        <f t="shared" ca="1" si="135"/>
        <v>9.1934296087155684E-2</v>
      </c>
    </row>
    <row r="8452" spans="6:7" x14ac:dyDescent="0.35">
      <c r="F8452">
        <v>8447</v>
      </c>
      <c r="G8452" s="102">
        <f t="shared" ca="1" si="135"/>
        <v>-6.4695847966600821E-3</v>
      </c>
    </row>
    <row r="8453" spans="6:7" x14ac:dyDescent="0.35">
      <c r="F8453">
        <v>8448</v>
      </c>
      <c r="G8453" s="102">
        <f t="shared" ca="1" si="135"/>
        <v>-4.3810111730188308E-3</v>
      </c>
    </row>
    <row r="8454" spans="6:7" x14ac:dyDescent="0.35">
      <c r="F8454">
        <v>8449</v>
      </c>
      <c r="G8454" s="102">
        <f t="shared" ca="1" si="135"/>
        <v>4.1867236052167099E-3</v>
      </c>
    </row>
    <row r="8455" spans="6:7" x14ac:dyDescent="0.35">
      <c r="F8455">
        <v>8450</v>
      </c>
      <c r="G8455" s="102">
        <f t="shared" ref="G8455:G8518" ca="1" si="136">_xlfn.NORM.INV(RAND(),M$9,M$10)</f>
        <v>4.0584505998175771E-2</v>
      </c>
    </row>
    <row r="8456" spans="6:7" x14ac:dyDescent="0.35">
      <c r="F8456">
        <v>8451</v>
      </c>
      <c r="G8456" s="102">
        <f t="shared" ca="1" si="136"/>
        <v>-7.0870834062241603E-3</v>
      </c>
    </row>
    <row r="8457" spans="6:7" x14ac:dyDescent="0.35">
      <c r="F8457">
        <v>8452</v>
      </c>
      <c r="G8457" s="102">
        <f t="shared" ca="1" si="136"/>
        <v>-2.7444796441411286E-2</v>
      </c>
    </row>
    <row r="8458" spans="6:7" x14ac:dyDescent="0.35">
      <c r="F8458">
        <v>8453</v>
      </c>
      <c r="G8458" s="102">
        <f t="shared" ca="1" si="136"/>
        <v>7.321124792237732E-2</v>
      </c>
    </row>
    <row r="8459" spans="6:7" x14ac:dyDescent="0.35">
      <c r="F8459">
        <v>8454</v>
      </c>
      <c r="G8459" s="102">
        <f t="shared" ca="1" si="136"/>
        <v>-2.5390328627707806E-2</v>
      </c>
    </row>
    <row r="8460" spans="6:7" x14ac:dyDescent="0.35">
      <c r="F8460">
        <v>8455</v>
      </c>
      <c r="G8460" s="102">
        <f t="shared" ca="1" si="136"/>
        <v>2.4378413732221948E-2</v>
      </c>
    </row>
    <row r="8461" spans="6:7" x14ac:dyDescent="0.35">
      <c r="F8461">
        <v>8456</v>
      </c>
      <c r="G8461" s="102">
        <f t="shared" ca="1" si="136"/>
        <v>-2.6295931125772665E-2</v>
      </c>
    </row>
    <row r="8462" spans="6:7" x14ac:dyDescent="0.35">
      <c r="F8462">
        <v>8457</v>
      </c>
      <c r="G8462" s="102">
        <f t="shared" ca="1" si="136"/>
        <v>-2.3380927714633078E-2</v>
      </c>
    </row>
    <row r="8463" spans="6:7" x14ac:dyDescent="0.35">
      <c r="F8463">
        <v>8458</v>
      </c>
      <c r="G8463" s="102">
        <f t="shared" ca="1" si="136"/>
        <v>0.10631911620597695</v>
      </c>
    </row>
    <row r="8464" spans="6:7" x14ac:dyDescent="0.35">
      <c r="F8464">
        <v>8459</v>
      </c>
      <c r="G8464" s="102">
        <f t="shared" ca="1" si="136"/>
        <v>6.9933761883352805E-3</v>
      </c>
    </row>
    <row r="8465" spans="6:7" x14ac:dyDescent="0.35">
      <c r="F8465">
        <v>8460</v>
      </c>
      <c r="G8465" s="102">
        <f t="shared" ca="1" si="136"/>
        <v>-5.6330430261066627E-2</v>
      </c>
    </row>
    <row r="8466" spans="6:7" x14ac:dyDescent="0.35">
      <c r="F8466">
        <v>8461</v>
      </c>
      <c r="G8466" s="102">
        <f t="shared" ca="1" si="136"/>
        <v>-3.432012512979099E-2</v>
      </c>
    </row>
    <row r="8467" spans="6:7" x14ac:dyDescent="0.35">
      <c r="F8467">
        <v>8462</v>
      </c>
      <c r="G8467" s="102">
        <f t="shared" ca="1" si="136"/>
        <v>-4.8714031245465431E-2</v>
      </c>
    </row>
    <row r="8468" spans="6:7" x14ac:dyDescent="0.35">
      <c r="F8468">
        <v>8463</v>
      </c>
      <c r="G8468" s="102">
        <f t="shared" ca="1" si="136"/>
        <v>-4.5964681859874526E-2</v>
      </c>
    </row>
    <row r="8469" spans="6:7" x14ac:dyDescent="0.35">
      <c r="F8469">
        <v>8464</v>
      </c>
      <c r="G8469" s="102">
        <f t="shared" ca="1" si="136"/>
        <v>4.0129323593400285E-3</v>
      </c>
    </row>
    <row r="8470" spans="6:7" x14ac:dyDescent="0.35">
      <c r="F8470">
        <v>8465</v>
      </c>
      <c r="G8470" s="102">
        <f t="shared" ca="1" si="136"/>
        <v>-7.0433505974142468E-3</v>
      </c>
    </row>
    <row r="8471" spans="6:7" x14ac:dyDescent="0.35">
      <c r="F8471">
        <v>8466</v>
      </c>
      <c r="G8471" s="102">
        <f t="shared" ca="1" si="136"/>
        <v>-1.6152196527621711E-2</v>
      </c>
    </row>
    <row r="8472" spans="6:7" x14ac:dyDescent="0.35">
      <c r="F8472">
        <v>8467</v>
      </c>
      <c r="G8472" s="102">
        <f t="shared" ca="1" si="136"/>
        <v>-5.2464559105338884E-2</v>
      </c>
    </row>
    <row r="8473" spans="6:7" x14ac:dyDescent="0.35">
      <c r="F8473">
        <v>8468</v>
      </c>
      <c r="G8473" s="102">
        <f t="shared" ca="1" si="136"/>
        <v>1.2560569776910207E-2</v>
      </c>
    </row>
    <row r="8474" spans="6:7" x14ac:dyDescent="0.35">
      <c r="F8474">
        <v>8469</v>
      </c>
      <c r="G8474" s="102">
        <f t="shared" ca="1" si="136"/>
        <v>5.3997069432568257E-3</v>
      </c>
    </row>
    <row r="8475" spans="6:7" x14ac:dyDescent="0.35">
      <c r="F8475">
        <v>8470</v>
      </c>
      <c r="G8475" s="102">
        <f t="shared" ca="1" si="136"/>
        <v>-4.6641974743935999E-2</v>
      </c>
    </row>
    <row r="8476" spans="6:7" x14ac:dyDescent="0.35">
      <c r="F8476">
        <v>8471</v>
      </c>
      <c r="G8476" s="102">
        <f t="shared" ca="1" si="136"/>
        <v>1.9219944059947067E-2</v>
      </c>
    </row>
    <row r="8477" spans="6:7" x14ac:dyDescent="0.35">
      <c r="F8477">
        <v>8472</v>
      </c>
      <c r="G8477" s="102">
        <f t="shared" ca="1" si="136"/>
        <v>1.9064932966988496E-2</v>
      </c>
    </row>
    <row r="8478" spans="6:7" x14ac:dyDescent="0.35">
      <c r="F8478">
        <v>8473</v>
      </c>
      <c r="G8478" s="102">
        <f t="shared" ca="1" si="136"/>
        <v>-0.13664446140210104</v>
      </c>
    </row>
    <row r="8479" spans="6:7" x14ac:dyDescent="0.35">
      <c r="F8479">
        <v>8474</v>
      </c>
      <c r="G8479" s="102">
        <f t="shared" ca="1" si="136"/>
        <v>-0.12246745930853295</v>
      </c>
    </row>
    <row r="8480" spans="6:7" x14ac:dyDescent="0.35">
      <c r="F8480">
        <v>8475</v>
      </c>
      <c r="G8480" s="102">
        <f t="shared" ca="1" si="136"/>
        <v>1.6985481571708757E-2</v>
      </c>
    </row>
    <row r="8481" spans="6:7" x14ac:dyDescent="0.35">
      <c r="F8481">
        <v>8476</v>
      </c>
      <c r="G8481" s="102">
        <f t="shared" ca="1" si="136"/>
        <v>-1.7357201753908459E-2</v>
      </c>
    </row>
    <row r="8482" spans="6:7" x14ac:dyDescent="0.35">
      <c r="F8482">
        <v>8477</v>
      </c>
      <c r="G8482" s="102">
        <f t="shared" ca="1" si="136"/>
        <v>-1.9728450129633058E-3</v>
      </c>
    </row>
    <row r="8483" spans="6:7" x14ac:dyDescent="0.35">
      <c r="F8483">
        <v>8478</v>
      </c>
      <c r="G8483" s="102">
        <f t="shared" ca="1" si="136"/>
        <v>-1.4636067389222625E-2</v>
      </c>
    </row>
    <row r="8484" spans="6:7" x14ac:dyDescent="0.35">
      <c r="F8484">
        <v>8479</v>
      </c>
      <c r="G8484" s="102">
        <f t="shared" ca="1" si="136"/>
        <v>1.1617768784434795E-2</v>
      </c>
    </row>
    <row r="8485" spans="6:7" x14ac:dyDescent="0.35">
      <c r="F8485">
        <v>8480</v>
      </c>
      <c r="G8485" s="102">
        <f t="shared" ca="1" si="136"/>
        <v>-9.5334468807072026E-2</v>
      </c>
    </row>
    <row r="8486" spans="6:7" x14ac:dyDescent="0.35">
      <c r="F8486">
        <v>8481</v>
      </c>
      <c r="G8486" s="102">
        <f t="shared" ca="1" si="136"/>
        <v>1.2582095820831474E-2</v>
      </c>
    </row>
    <row r="8487" spans="6:7" x14ac:dyDescent="0.35">
      <c r="F8487">
        <v>8482</v>
      </c>
      <c r="G8487" s="102">
        <f t="shared" ca="1" si="136"/>
        <v>7.3213786250042351E-2</v>
      </c>
    </row>
    <row r="8488" spans="6:7" x14ac:dyDescent="0.35">
      <c r="F8488">
        <v>8483</v>
      </c>
      <c r="G8488" s="102">
        <f t="shared" ca="1" si="136"/>
        <v>7.4830588484251948E-2</v>
      </c>
    </row>
    <row r="8489" spans="6:7" x14ac:dyDescent="0.35">
      <c r="F8489">
        <v>8484</v>
      </c>
      <c r="G8489" s="102">
        <f t="shared" ca="1" si="136"/>
        <v>-2.469251742564138E-2</v>
      </c>
    </row>
    <row r="8490" spans="6:7" x14ac:dyDescent="0.35">
      <c r="F8490">
        <v>8485</v>
      </c>
      <c r="G8490" s="102">
        <f t="shared" ca="1" si="136"/>
        <v>-8.7527423141502511E-2</v>
      </c>
    </row>
    <row r="8491" spans="6:7" x14ac:dyDescent="0.35">
      <c r="F8491">
        <v>8486</v>
      </c>
      <c r="G8491" s="102">
        <f t="shared" ca="1" si="136"/>
        <v>-2.4163992257748346E-2</v>
      </c>
    </row>
    <row r="8492" spans="6:7" x14ac:dyDescent="0.35">
      <c r="F8492">
        <v>8487</v>
      </c>
      <c r="G8492" s="102">
        <f t="shared" ca="1" si="136"/>
        <v>-5.0599535526183431E-2</v>
      </c>
    </row>
    <row r="8493" spans="6:7" x14ac:dyDescent="0.35">
      <c r="F8493">
        <v>8488</v>
      </c>
      <c r="G8493" s="102">
        <f t="shared" ca="1" si="136"/>
        <v>-1.5656590713843708E-2</v>
      </c>
    </row>
    <row r="8494" spans="6:7" x14ac:dyDescent="0.35">
      <c r="F8494">
        <v>8489</v>
      </c>
      <c r="G8494" s="102">
        <f t="shared" ca="1" si="136"/>
        <v>-6.4032376838272551E-2</v>
      </c>
    </row>
    <row r="8495" spans="6:7" x14ac:dyDescent="0.35">
      <c r="F8495">
        <v>8490</v>
      </c>
      <c r="G8495" s="102">
        <f t="shared" ca="1" si="136"/>
        <v>-7.617920283476351E-2</v>
      </c>
    </row>
    <row r="8496" spans="6:7" x14ac:dyDescent="0.35">
      <c r="F8496">
        <v>8491</v>
      </c>
      <c r="G8496" s="102">
        <f t="shared" ca="1" si="136"/>
        <v>6.0219601071197434E-2</v>
      </c>
    </row>
    <row r="8497" spans="6:7" x14ac:dyDescent="0.35">
      <c r="F8497">
        <v>8492</v>
      </c>
      <c r="G8497" s="102">
        <f t="shared" ca="1" si="136"/>
        <v>-0.13646339130199997</v>
      </c>
    </row>
    <row r="8498" spans="6:7" x14ac:dyDescent="0.35">
      <c r="F8498">
        <v>8493</v>
      </c>
      <c r="G8498" s="102">
        <f t="shared" ca="1" si="136"/>
        <v>2.0645688834174915E-2</v>
      </c>
    </row>
    <row r="8499" spans="6:7" x14ac:dyDescent="0.35">
      <c r="F8499">
        <v>8494</v>
      </c>
      <c r="G8499" s="102">
        <f t="shared" ca="1" si="136"/>
        <v>2.1424743155447793E-2</v>
      </c>
    </row>
    <row r="8500" spans="6:7" x14ac:dyDescent="0.35">
      <c r="F8500">
        <v>8495</v>
      </c>
      <c r="G8500" s="102">
        <f t="shared" ca="1" si="136"/>
        <v>-8.4937305720249628E-2</v>
      </c>
    </row>
    <row r="8501" spans="6:7" x14ac:dyDescent="0.35">
      <c r="F8501">
        <v>8496</v>
      </c>
      <c r="G8501" s="102">
        <f t="shared" ca="1" si="136"/>
        <v>6.310000852509981E-2</v>
      </c>
    </row>
    <row r="8502" spans="6:7" x14ac:dyDescent="0.35">
      <c r="F8502">
        <v>8497</v>
      </c>
      <c r="G8502" s="102">
        <f t="shared" ca="1" si="136"/>
        <v>5.6573716922850029E-2</v>
      </c>
    </row>
    <row r="8503" spans="6:7" x14ac:dyDescent="0.35">
      <c r="F8503">
        <v>8498</v>
      </c>
      <c r="G8503" s="102">
        <f t="shared" ca="1" si="136"/>
        <v>-2.770789645010199E-4</v>
      </c>
    </row>
    <row r="8504" spans="6:7" x14ac:dyDescent="0.35">
      <c r="F8504">
        <v>8499</v>
      </c>
      <c r="G8504" s="102">
        <f t="shared" ca="1" si="136"/>
        <v>8.8933589041691338E-2</v>
      </c>
    </row>
    <row r="8505" spans="6:7" x14ac:dyDescent="0.35">
      <c r="F8505">
        <v>8500</v>
      </c>
      <c r="G8505" s="102">
        <f t="shared" ca="1" si="136"/>
        <v>6.3660705537239584E-2</v>
      </c>
    </row>
    <row r="8506" spans="6:7" x14ac:dyDescent="0.35">
      <c r="F8506">
        <v>8501</v>
      </c>
      <c r="G8506" s="102">
        <f t="shared" ca="1" si="136"/>
        <v>6.0143209632583697E-2</v>
      </c>
    </row>
    <row r="8507" spans="6:7" x14ac:dyDescent="0.35">
      <c r="F8507">
        <v>8502</v>
      </c>
      <c r="G8507" s="102">
        <f t="shared" ca="1" si="136"/>
        <v>-6.2022879137960431E-3</v>
      </c>
    </row>
    <row r="8508" spans="6:7" x14ac:dyDescent="0.35">
      <c r="F8508">
        <v>8503</v>
      </c>
      <c r="G8508" s="102">
        <f t="shared" ca="1" si="136"/>
        <v>1.403313592238175E-2</v>
      </c>
    </row>
    <row r="8509" spans="6:7" x14ac:dyDescent="0.35">
      <c r="F8509">
        <v>8504</v>
      </c>
      <c r="G8509" s="102">
        <f t="shared" ca="1" si="136"/>
        <v>-2.3152767489227413E-2</v>
      </c>
    </row>
    <row r="8510" spans="6:7" x14ac:dyDescent="0.35">
      <c r="F8510">
        <v>8505</v>
      </c>
      <c r="G8510" s="102">
        <f t="shared" ca="1" si="136"/>
        <v>-9.8318546853894545E-2</v>
      </c>
    </row>
    <row r="8511" spans="6:7" x14ac:dyDescent="0.35">
      <c r="F8511">
        <v>8506</v>
      </c>
      <c r="G8511" s="102">
        <f t="shared" ca="1" si="136"/>
        <v>1.0925362995382541E-2</v>
      </c>
    </row>
    <row r="8512" spans="6:7" x14ac:dyDescent="0.35">
      <c r="F8512">
        <v>8507</v>
      </c>
      <c r="G8512" s="102">
        <f t="shared" ca="1" si="136"/>
        <v>-5.5080811770416793E-2</v>
      </c>
    </row>
    <row r="8513" spans="6:7" x14ac:dyDescent="0.35">
      <c r="F8513">
        <v>8508</v>
      </c>
      <c r="G8513" s="102">
        <f t="shared" ca="1" si="136"/>
        <v>-6.5352764517093001E-2</v>
      </c>
    </row>
    <row r="8514" spans="6:7" x14ac:dyDescent="0.35">
      <c r="F8514">
        <v>8509</v>
      </c>
      <c r="G8514" s="102">
        <f t="shared" ca="1" si="136"/>
        <v>7.9760112940165134E-2</v>
      </c>
    </row>
    <row r="8515" spans="6:7" x14ac:dyDescent="0.35">
      <c r="F8515">
        <v>8510</v>
      </c>
      <c r="G8515" s="102">
        <f t="shared" ca="1" si="136"/>
        <v>6.2124128851168817E-2</v>
      </c>
    </row>
    <row r="8516" spans="6:7" x14ac:dyDescent="0.35">
      <c r="F8516">
        <v>8511</v>
      </c>
      <c r="G8516" s="102">
        <f t="shared" ca="1" si="136"/>
        <v>-2.3513905474834375E-2</v>
      </c>
    </row>
    <row r="8517" spans="6:7" x14ac:dyDescent="0.35">
      <c r="F8517">
        <v>8512</v>
      </c>
      <c r="G8517" s="102">
        <f t="shared" ca="1" si="136"/>
        <v>6.0191358491189173E-2</v>
      </c>
    </row>
    <row r="8518" spans="6:7" x14ac:dyDescent="0.35">
      <c r="F8518">
        <v>8513</v>
      </c>
      <c r="G8518" s="102">
        <f t="shared" ca="1" si="136"/>
        <v>-3.921002559131212E-2</v>
      </c>
    </row>
    <row r="8519" spans="6:7" x14ac:dyDescent="0.35">
      <c r="F8519">
        <v>8514</v>
      </c>
      <c r="G8519" s="102">
        <f t="shared" ref="G8519:G8582" ca="1" si="137">_xlfn.NORM.INV(RAND(),M$9,M$10)</f>
        <v>-0.11878871079573496</v>
      </c>
    </row>
    <row r="8520" spans="6:7" x14ac:dyDescent="0.35">
      <c r="F8520">
        <v>8515</v>
      </c>
      <c r="G8520" s="102">
        <f t="shared" ca="1" si="137"/>
        <v>5.1743671911675573E-2</v>
      </c>
    </row>
    <row r="8521" spans="6:7" x14ac:dyDescent="0.35">
      <c r="F8521">
        <v>8516</v>
      </c>
      <c r="G8521" s="102">
        <f t="shared" ca="1" si="137"/>
        <v>1.7665928574930035E-2</v>
      </c>
    </row>
    <row r="8522" spans="6:7" x14ac:dyDescent="0.35">
      <c r="F8522">
        <v>8517</v>
      </c>
      <c r="G8522" s="102">
        <f t="shared" ca="1" si="137"/>
        <v>-1.4912873785874192E-2</v>
      </c>
    </row>
    <row r="8523" spans="6:7" x14ac:dyDescent="0.35">
      <c r="F8523">
        <v>8518</v>
      </c>
      <c r="G8523" s="102">
        <f t="shared" ca="1" si="137"/>
        <v>-4.3279148201819467E-2</v>
      </c>
    </row>
    <row r="8524" spans="6:7" x14ac:dyDescent="0.35">
      <c r="F8524">
        <v>8519</v>
      </c>
      <c r="G8524" s="102">
        <f t="shared" ca="1" si="137"/>
        <v>-2.3257148387672935E-3</v>
      </c>
    </row>
    <row r="8525" spans="6:7" x14ac:dyDescent="0.35">
      <c r="F8525">
        <v>8520</v>
      </c>
      <c r="G8525" s="102">
        <f t="shared" ca="1" si="137"/>
        <v>-1.9302381008109618E-2</v>
      </c>
    </row>
    <row r="8526" spans="6:7" x14ac:dyDescent="0.35">
      <c r="F8526">
        <v>8521</v>
      </c>
      <c r="G8526" s="102">
        <f t="shared" ca="1" si="137"/>
        <v>2.4741800599986229E-2</v>
      </c>
    </row>
    <row r="8527" spans="6:7" x14ac:dyDescent="0.35">
      <c r="F8527">
        <v>8522</v>
      </c>
      <c r="G8527" s="102">
        <f t="shared" ca="1" si="137"/>
        <v>-5.5521528646496413E-2</v>
      </c>
    </row>
    <row r="8528" spans="6:7" x14ac:dyDescent="0.35">
      <c r="F8528">
        <v>8523</v>
      </c>
      <c r="G8528" s="102">
        <f t="shared" ca="1" si="137"/>
        <v>-0.13959806056859436</v>
      </c>
    </row>
    <row r="8529" spans="6:7" x14ac:dyDescent="0.35">
      <c r="F8529">
        <v>8524</v>
      </c>
      <c r="G8529" s="102">
        <f t="shared" ca="1" si="137"/>
        <v>2.5018577963206697E-3</v>
      </c>
    </row>
    <row r="8530" spans="6:7" x14ac:dyDescent="0.35">
      <c r="F8530">
        <v>8525</v>
      </c>
      <c r="G8530" s="102">
        <f t="shared" ca="1" si="137"/>
        <v>-1.9536974172788976E-2</v>
      </c>
    </row>
    <row r="8531" spans="6:7" x14ac:dyDescent="0.35">
      <c r="F8531">
        <v>8526</v>
      </c>
      <c r="G8531" s="102">
        <f t="shared" ca="1" si="137"/>
        <v>7.1088191733373274E-2</v>
      </c>
    </row>
    <row r="8532" spans="6:7" x14ac:dyDescent="0.35">
      <c r="F8532">
        <v>8527</v>
      </c>
      <c r="G8532" s="102">
        <f t="shared" ca="1" si="137"/>
        <v>-7.0309861490732165E-2</v>
      </c>
    </row>
    <row r="8533" spans="6:7" x14ac:dyDescent="0.35">
      <c r="F8533">
        <v>8528</v>
      </c>
      <c r="G8533" s="102">
        <f t="shared" ca="1" si="137"/>
        <v>-7.1484496383746918E-2</v>
      </c>
    </row>
    <row r="8534" spans="6:7" x14ac:dyDescent="0.35">
      <c r="F8534">
        <v>8529</v>
      </c>
      <c r="G8534" s="102">
        <f t="shared" ca="1" si="137"/>
        <v>-4.3587665697253669E-2</v>
      </c>
    </row>
    <row r="8535" spans="6:7" x14ac:dyDescent="0.35">
      <c r="F8535">
        <v>8530</v>
      </c>
      <c r="G8535" s="102">
        <f t="shared" ca="1" si="137"/>
        <v>2.5974114258564423E-2</v>
      </c>
    </row>
    <row r="8536" spans="6:7" x14ac:dyDescent="0.35">
      <c r="F8536">
        <v>8531</v>
      </c>
      <c r="G8536" s="102">
        <f t="shared" ca="1" si="137"/>
        <v>0.15747768440133675</v>
      </c>
    </row>
    <row r="8537" spans="6:7" x14ac:dyDescent="0.35">
      <c r="F8537">
        <v>8532</v>
      </c>
      <c r="G8537" s="102">
        <f t="shared" ca="1" si="137"/>
        <v>0.10193198060001629</v>
      </c>
    </row>
    <row r="8538" spans="6:7" x14ac:dyDescent="0.35">
      <c r="F8538">
        <v>8533</v>
      </c>
      <c r="G8538" s="102">
        <f t="shared" ca="1" si="137"/>
        <v>-0.11547226368122085</v>
      </c>
    </row>
    <row r="8539" spans="6:7" x14ac:dyDescent="0.35">
      <c r="F8539">
        <v>8534</v>
      </c>
      <c r="G8539" s="102">
        <f t="shared" ca="1" si="137"/>
        <v>5.4600453048656655E-2</v>
      </c>
    </row>
    <row r="8540" spans="6:7" x14ac:dyDescent="0.35">
      <c r="F8540">
        <v>8535</v>
      </c>
      <c r="G8540" s="102">
        <f t="shared" ca="1" si="137"/>
        <v>-1.5850716050499231E-2</v>
      </c>
    </row>
    <row r="8541" spans="6:7" x14ac:dyDescent="0.35">
      <c r="F8541">
        <v>8536</v>
      </c>
      <c r="G8541" s="102">
        <f t="shared" ca="1" si="137"/>
        <v>8.6638058689874741E-3</v>
      </c>
    </row>
    <row r="8542" spans="6:7" x14ac:dyDescent="0.35">
      <c r="F8542">
        <v>8537</v>
      </c>
      <c r="G8542" s="102">
        <f t="shared" ca="1" si="137"/>
        <v>1.0336365352270924E-2</v>
      </c>
    </row>
    <row r="8543" spans="6:7" x14ac:dyDescent="0.35">
      <c r="F8543">
        <v>8538</v>
      </c>
      <c r="G8543" s="102">
        <f t="shared" ca="1" si="137"/>
        <v>7.8306636621085293E-2</v>
      </c>
    </row>
    <row r="8544" spans="6:7" x14ac:dyDescent="0.35">
      <c r="F8544">
        <v>8539</v>
      </c>
      <c r="G8544" s="102">
        <f t="shared" ca="1" si="137"/>
        <v>5.1740337471261319E-2</v>
      </c>
    </row>
    <row r="8545" spans="6:7" x14ac:dyDescent="0.35">
      <c r="F8545">
        <v>8540</v>
      </c>
      <c r="G8545" s="102">
        <f t="shared" ca="1" si="137"/>
        <v>-2.3337711662611404E-2</v>
      </c>
    </row>
    <row r="8546" spans="6:7" x14ac:dyDescent="0.35">
      <c r="F8546">
        <v>8541</v>
      </c>
      <c r="G8546" s="102">
        <f t="shared" ca="1" si="137"/>
        <v>1.6674631763999335E-2</v>
      </c>
    </row>
    <row r="8547" spans="6:7" x14ac:dyDescent="0.35">
      <c r="F8547">
        <v>8542</v>
      </c>
      <c r="G8547" s="102">
        <f t="shared" ca="1" si="137"/>
        <v>-2.8283908387637731E-2</v>
      </c>
    </row>
    <row r="8548" spans="6:7" x14ac:dyDescent="0.35">
      <c r="F8548">
        <v>8543</v>
      </c>
      <c r="G8548" s="102">
        <f t="shared" ca="1" si="137"/>
        <v>-0.13479239735064077</v>
      </c>
    </row>
    <row r="8549" spans="6:7" x14ac:dyDescent="0.35">
      <c r="F8549">
        <v>8544</v>
      </c>
      <c r="G8549" s="102">
        <f t="shared" ca="1" si="137"/>
        <v>-2.7500980347388224E-2</v>
      </c>
    </row>
    <row r="8550" spans="6:7" x14ac:dyDescent="0.35">
      <c r="F8550">
        <v>8545</v>
      </c>
      <c r="G8550" s="102">
        <f t="shared" ca="1" si="137"/>
        <v>5.3130753100068595E-2</v>
      </c>
    </row>
    <row r="8551" spans="6:7" x14ac:dyDescent="0.35">
      <c r="F8551">
        <v>8546</v>
      </c>
      <c r="G8551" s="102">
        <f t="shared" ca="1" si="137"/>
        <v>-5.4009773336426953E-2</v>
      </c>
    </row>
    <row r="8552" spans="6:7" x14ac:dyDescent="0.35">
      <c r="F8552">
        <v>8547</v>
      </c>
      <c r="G8552" s="102">
        <f t="shared" ca="1" si="137"/>
        <v>-5.58225104057994E-2</v>
      </c>
    </row>
    <row r="8553" spans="6:7" x14ac:dyDescent="0.35">
      <c r="F8553">
        <v>8548</v>
      </c>
      <c r="G8553" s="102">
        <f t="shared" ca="1" si="137"/>
        <v>-0.14594342947156769</v>
      </c>
    </row>
    <row r="8554" spans="6:7" x14ac:dyDescent="0.35">
      <c r="F8554">
        <v>8549</v>
      </c>
      <c r="G8554" s="102">
        <f t="shared" ca="1" si="137"/>
        <v>-1.5531240496997183E-2</v>
      </c>
    </row>
    <row r="8555" spans="6:7" x14ac:dyDescent="0.35">
      <c r="F8555">
        <v>8550</v>
      </c>
      <c r="G8555" s="102">
        <f t="shared" ca="1" si="137"/>
        <v>8.5339074346052438E-2</v>
      </c>
    </row>
    <row r="8556" spans="6:7" x14ac:dyDescent="0.35">
      <c r="F8556">
        <v>8551</v>
      </c>
      <c r="G8556" s="102">
        <f t="shared" ca="1" si="137"/>
        <v>4.9518276633923868E-3</v>
      </c>
    </row>
    <row r="8557" spans="6:7" x14ac:dyDescent="0.35">
      <c r="F8557">
        <v>8552</v>
      </c>
      <c r="G8557" s="102">
        <f t="shared" ca="1" si="137"/>
        <v>-4.1550691017689767E-2</v>
      </c>
    </row>
    <row r="8558" spans="6:7" x14ac:dyDescent="0.35">
      <c r="F8558">
        <v>8553</v>
      </c>
      <c r="G8558" s="102">
        <f t="shared" ca="1" si="137"/>
        <v>-6.8201137643114695E-2</v>
      </c>
    </row>
    <row r="8559" spans="6:7" x14ac:dyDescent="0.35">
      <c r="F8559">
        <v>8554</v>
      </c>
      <c r="G8559" s="102">
        <f t="shared" ca="1" si="137"/>
        <v>-3.4367881025654815E-2</v>
      </c>
    </row>
    <row r="8560" spans="6:7" x14ac:dyDescent="0.35">
      <c r="F8560">
        <v>8555</v>
      </c>
      <c r="G8560" s="102">
        <f t="shared" ca="1" si="137"/>
        <v>-4.4517680943698346E-2</v>
      </c>
    </row>
    <row r="8561" spans="6:7" x14ac:dyDescent="0.35">
      <c r="F8561">
        <v>8556</v>
      </c>
      <c r="G8561" s="102">
        <f t="shared" ca="1" si="137"/>
        <v>-2.1551080882684658E-2</v>
      </c>
    </row>
    <row r="8562" spans="6:7" x14ac:dyDescent="0.35">
      <c r="F8562">
        <v>8557</v>
      </c>
      <c r="G8562" s="102">
        <f t="shared" ca="1" si="137"/>
        <v>-0.11021908168090239</v>
      </c>
    </row>
    <row r="8563" spans="6:7" x14ac:dyDescent="0.35">
      <c r="F8563">
        <v>8558</v>
      </c>
      <c r="G8563" s="102">
        <f t="shared" ca="1" si="137"/>
        <v>-1.4728053604446515E-2</v>
      </c>
    </row>
    <row r="8564" spans="6:7" x14ac:dyDescent="0.35">
      <c r="F8564">
        <v>8559</v>
      </c>
      <c r="G8564" s="102">
        <f t="shared" ca="1" si="137"/>
        <v>-1.545811794748784E-2</v>
      </c>
    </row>
    <row r="8565" spans="6:7" x14ac:dyDescent="0.35">
      <c r="F8565">
        <v>8560</v>
      </c>
      <c r="G8565" s="102">
        <f t="shared" ca="1" si="137"/>
        <v>-0.10985712908377496</v>
      </c>
    </row>
    <row r="8566" spans="6:7" x14ac:dyDescent="0.35">
      <c r="F8566">
        <v>8561</v>
      </c>
      <c r="G8566" s="102">
        <f t="shared" ca="1" si="137"/>
        <v>7.9946445084292852E-3</v>
      </c>
    </row>
    <row r="8567" spans="6:7" x14ac:dyDescent="0.35">
      <c r="F8567">
        <v>8562</v>
      </c>
      <c r="G8567" s="102">
        <f t="shared" ca="1" si="137"/>
        <v>2.9053702328736674E-2</v>
      </c>
    </row>
    <row r="8568" spans="6:7" x14ac:dyDescent="0.35">
      <c r="F8568">
        <v>8563</v>
      </c>
      <c r="G8568" s="102">
        <f t="shared" ca="1" si="137"/>
        <v>-7.0335451872385393E-2</v>
      </c>
    </row>
    <row r="8569" spans="6:7" x14ac:dyDescent="0.35">
      <c r="F8569">
        <v>8564</v>
      </c>
      <c r="G8569" s="102">
        <f t="shared" ca="1" si="137"/>
        <v>-2.0671811450918717E-2</v>
      </c>
    </row>
    <row r="8570" spans="6:7" x14ac:dyDescent="0.35">
      <c r="F8570">
        <v>8565</v>
      </c>
      <c r="G8570" s="102">
        <f t="shared" ca="1" si="137"/>
        <v>6.4839166425800249E-3</v>
      </c>
    </row>
    <row r="8571" spans="6:7" x14ac:dyDescent="0.35">
      <c r="F8571">
        <v>8566</v>
      </c>
      <c r="G8571" s="102">
        <f t="shared" ca="1" si="137"/>
        <v>1.62200259381503E-2</v>
      </c>
    </row>
    <row r="8572" spans="6:7" x14ac:dyDescent="0.35">
      <c r="F8572">
        <v>8567</v>
      </c>
      <c r="G8572" s="102">
        <f t="shared" ca="1" si="137"/>
        <v>-1.2988532797261986E-2</v>
      </c>
    </row>
    <row r="8573" spans="6:7" x14ac:dyDescent="0.35">
      <c r="F8573">
        <v>8568</v>
      </c>
      <c r="G8573" s="102">
        <f t="shared" ca="1" si="137"/>
        <v>2.8362606625278081E-2</v>
      </c>
    </row>
    <row r="8574" spans="6:7" x14ac:dyDescent="0.35">
      <c r="F8574">
        <v>8569</v>
      </c>
      <c r="G8574" s="102">
        <f t="shared" ca="1" si="137"/>
        <v>-0.10956911785289826</v>
      </c>
    </row>
    <row r="8575" spans="6:7" x14ac:dyDescent="0.35">
      <c r="F8575">
        <v>8570</v>
      </c>
      <c r="G8575" s="102">
        <f t="shared" ca="1" si="137"/>
        <v>-7.6782626132989015E-2</v>
      </c>
    </row>
    <row r="8576" spans="6:7" x14ac:dyDescent="0.35">
      <c r="F8576">
        <v>8571</v>
      </c>
      <c r="G8576" s="102">
        <f t="shared" ca="1" si="137"/>
        <v>-1.8140628441721401E-2</v>
      </c>
    </row>
    <row r="8577" spans="6:7" x14ac:dyDescent="0.35">
      <c r="F8577">
        <v>8572</v>
      </c>
      <c r="G8577" s="102">
        <f t="shared" ca="1" si="137"/>
        <v>1.6106658611119554E-2</v>
      </c>
    </row>
    <row r="8578" spans="6:7" x14ac:dyDescent="0.35">
      <c r="F8578">
        <v>8573</v>
      </c>
      <c r="G8578" s="102">
        <f t="shared" ca="1" si="137"/>
        <v>-1.3177835982574436E-2</v>
      </c>
    </row>
    <row r="8579" spans="6:7" x14ac:dyDescent="0.35">
      <c r="F8579">
        <v>8574</v>
      </c>
      <c r="G8579" s="102">
        <f t="shared" ca="1" si="137"/>
        <v>-3.9897083095735714E-3</v>
      </c>
    </row>
    <row r="8580" spans="6:7" x14ac:dyDescent="0.35">
      <c r="F8580">
        <v>8575</v>
      </c>
      <c r="G8580" s="102">
        <f t="shared" ca="1" si="137"/>
        <v>-5.6301205015515374E-2</v>
      </c>
    </row>
    <row r="8581" spans="6:7" x14ac:dyDescent="0.35">
      <c r="F8581">
        <v>8576</v>
      </c>
      <c r="G8581" s="102">
        <f t="shared" ca="1" si="137"/>
        <v>-2.3831329742822906E-2</v>
      </c>
    </row>
    <row r="8582" spans="6:7" x14ac:dyDescent="0.35">
      <c r="F8582">
        <v>8577</v>
      </c>
      <c r="G8582" s="102">
        <f t="shared" ca="1" si="137"/>
        <v>-2.8219986356896598E-2</v>
      </c>
    </row>
    <row r="8583" spans="6:7" x14ac:dyDescent="0.35">
      <c r="F8583">
        <v>8578</v>
      </c>
      <c r="G8583" s="102">
        <f t="shared" ref="G8583:G8646" ca="1" si="138">_xlfn.NORM.INV(RAND(),M$9,M$10)</f>
        <v>3.027139210031991E-2</v>
      </c>
    </row>
    <row r="8584" spans="6:7" x14ac:dyDescent="0.35">
      <c r="F8584">
        <v>8579</v>
      </c>
      <c r="G8584" s="102">
        <f t="shared" ca="1" si="138"/>
        <v>-4.8869081712697535E-2</v>
      </c>
    </row>
    <row r="8585" spans="6:7" x14ac:dyDescent="0.35">
      <c r="F8585">
        <v>8580</v>
      </c>
      <c r="G8585" s="102">
        <f t="shared" ca="1" si="138"/>
        <v>0.10563700062891346</v>
      </c>
    </row>
    <row r="8586" spans="6:7" x14ac:dyDescent="0.35">
      <c r="F8586">
        <v>8581</v>
      </c>
      <c r="G8586" s="102">
        <f t="shared" ca="1" si="138"/>
        <v>1.9995472252975637E-2</v>
      </c>
    </row>
    <row r="8587" spans="6:7" x14ac:dyDescent="0.35">
      <c r="F8587">
        <v>8582</v>
      </c>
      <c r="G8587" s="102">
        <f t="shared" ca="1" si="138"/>
        <v>7.5946949693835877E-2</v>
      </c>
    </row>
    <row r="8588" spans="6:7" x14ac:dyDescent="0.35">
      <c r="F8588">
        <v>8583</v>
      </c>
      <c r="G8588" s="102">
        <f t="shared" ca="1" si="138"/>
        <v>-3.5343414092042016E-2</v>
      </c>
    </row>
    <row r="8589" spans="6:7" x14ac:dyDescent="0.35">
      <c r="F8589">
        <v>8584</v>
      </c>
      <c r="G8589" s="102">
        <f t="shared" ca="1" si="138"/>
        <v>0.10583819036742247</v>
      </c>
    </row>
    <row r="8590" spans="6:7" x14ac:dyDescent="0.35">
      <c r="F8590">
        <v>8585</v>
      </c>
      <c r="G8590" s="102">
        <f t="shared" ca="1" si="138"/>
        <v>8.3001027216409399E-3</v>
      </c>
    </row>
    <row r="8591" spans="6:7" x14ac:dyDescent="0.35">
      <c r="F8591">
        <v>8586</v>
      </c>
      <c r="G8591" s="102">
        <f t="shared" ca="1" si="138"/>
        <v>-6.7035988319764248E-2</v>
      </c>
    </row>
    <row r="8592" spans="6:7" x14ac:dyDescent="0.35">
      <c r="F8592">
        <v>8587</v>
      </c>
      <c r="G8592" s="102">
        <f t="shared" ca="1" si="138"/>
        <v>-9.5408633127946313E-2</v>
      </c>
    </row>
    <row r="8593" spans="6:7" x14ac:dyDescent="0.35">
      <c r="F8593">
        <v>8588</v>
      </c>
      <c r="G8593" s="102">
        <f t="shared" ca="1" si="138"/>
        <v>-2.2778215495221896E-2</v>
      </c>
    </row>
    <row r="8594" spans="6:7" x14ac:dyDescent="0.35">
      <c r="F8594">
        <v>8589</v>
      </c>
      <c r="G8594" s="102">
        <f t="shared" ca="1" si="138"/>
        <v>-0.11265267273220876</v>
      </c>
    </row>
    <row r="8595" spans="6:7" x14ac:dyDescent="0.35">
      <c r="F8595">
        <v>8590</v>
      </c>
      <c r="G8595" s="102">
        <f t="shared" ca="1" si="138"/>
        <v>-4.4577418671515753E-2</v>
      </c>
    </row>
    <row r="8596" spans="6:7" x14ac:dyDescent="0.35">
      <c r="F8596">
        <v>8591</v>
      </c>
      <c r="G8596" s="102">
        <f t="shared" ca="1" si="138"/>
        <v>0.11318929262221727</v>
      </c>
    </row>
    <row r="8597" spans="6:7" x14ac:dyDescent="0.35">
      <c r="F8597">
        <v>8592</v>
      </c>
      <c r="G8597" s="102">
        <f t="shared" ca="1" si="138"/>
        <v>-4.1070079641845371E-3</v>
      </c>
    </row>
    <row r="8598" spans="6:7" x14ac:dyDescent="0.35">
      <c r="F8598">
        <v>8593</v>
      </c>
      <c r="G8598" s="102">
        <f t="shared" ca="1" si="138"/>
        <v>-1.5876007754522397E-2</v>
      </c>
    </row>
    <row r="8599" spans="6:7" x14ac:dyDescent="0.35">
      <c r="F8599">
        <v>8594</v>
      </c>
      <c r="G8599" s="102">
        <f t="shared" ca="1" si="138"/>
        <v>-3.4480734764324728E-2</v>
      </c>
    </row>
    <row r="8600" spans="6:7" x14ac:dyDescent="0.35">
      <c r="F8600">
        <v>8595</v>
      </c>
      <c r="G8600" s="102">
        <f t="shared" ca="1" si="138"/>
        <v>-2.0153938562014789E-2</v>
      </c>
    </row>
    <row r="8601" spans="6:7" x14ac:dyDescent="0.35">
      <c r="F8601">
        <v>8596</v>
      </c>
      <c r="G8601" s="102">
        <f t="shared" ca="1" si="138"/>
        <v>-8.7681292110134604E-2</v>
      </c>
    </row>
    <row r="8602" spans="6:7" x14ac:dyDescent="0.35">
      <c r="F8602">
        <v>8597</v>
      </c>
      <c r="G8602" s="102">
        <f t="shared" ca="1" si="138"/>
        <v>-6.257790608666389E-4</v>
      </c>
    </row>
    <row r="8603" spans="6:7" x14ac:dyDescent="0.35">
      <c r="F8603">
        <v>8598</v>
      </c>
      <c r="G8603" s="102">
        <f t="shared" ca="1" si="138"/>
        <v>1.406303721158696E-2</v>
      </c>
    </row>
    <row r="8604" spans="6:7" x14ac:dyDescent="0.35">
      <c r="F8604">
        <v>8599</v>
      </c>
      <c r="G8604" s="102">
        <f t="shared" ca="1" si="138"/>
        <v>4.9403491888552878E-2</v>
      </c>
    </row>
    <row r="8605" spans="6:7" x14ac:dyDescent="0.35">
      <c r="F8605">
        <v>8600</v>
      </c>
      <c r="G8605" s="102">
        <f t="shared" ca="1" si="138"/>
        <v>0.11023774608241865</v>
      </c>
    </row>
    <row r="8606" spans="6:7" x14ac:dyDescent="0.35">
      <c r="F8606">
        <v>8601</v>
      </c>
      <c r="G8606" s="102">
        <f t="shared" ca="1" si="138"/>
        <v>-4.3999576668809298E-2</v>
      </c>
    </row>
    <row r="8607" spans="6:7" x14ac:dyDescent="0.35">
      <c r="F8607">
        <v>8602</v>
      </c>
      <c r="G8607" s="102">
        <f t="shared" ca="1" si="138"/>
        <v>3.8062399046384324E-2</v>
      </c>
    </row>
    <row r="8608" spans="6:7" x14ac:dyDescent="0.35">
      <c r="F8608">
        <v>8603</v>
      </c>
      <c r="G8608" s="102">
        <f t="shared" ca="1" si="138"/>
        <v>-2.0766114115675801E-2</v>
      </c>
    </row>
    <row r="8609" spans="6:7" x14ac:dyDescent="0.35">
      <c r="F8609">
        <v>8604</v>
      </c>
      <c r="G8609" s="102">
        <f t="shared" ca="1" si="138"/>
        <v>2.7826359160312782E-2</v>
      </c>
    </row>
    <row r="8610" spans="6:7" x14ac:dyDescent="0.35">
      <c r="F8610">
        <v>8605</v>
      </c>
      <c r="G8610" s="102">
        <f t="shared" ca="1" si="138"/>
        <v>4.6676341261773883E-3</v>
      </c>
    </row>
    <row r="8611" spans="6:7" x14ac:dyDescent="0.35">
      <c r="F8611">
        <v>8606</v>
      </c>
      <c r="G8611" s="102">
        <f t="shared" ca="1" si="138"/>
        <v>0.10463233196969289</v>
      </c>
    </row>
    <row r="8612" spans="6:7" x14ac:dyDescent="0.35">
      <c r="F8612">
        <v>8607</v>
      </c>
      <c r="G8612" s="102">
        <f t="shared" ca="1" si="138"/>
        <v>-2.7658740621197535E-2</v>
      </c>
    </row>
    <row r="8613" spans="6:7" x14ac:dyDescent="0.35">
      <c r="F8613">
        <v>8608</v>
      </c>
      <c r="G8613" s="102">
        <f t="shared" ca="1" si="138"/>
        <v>-9.8219168759359571E-2</v>
      </c>
    </row>
    <row r="8614" spans="6:7" x14ac:dyDescent="0.35">
      <c r="F8614">
        <v>8609</v>
      </c>
      <c r="G8614" s="102">
        <f t="shared" ca="1" si="138"/>
        <v>-4.8882543961250011E-2</v>
      </c>
    </row>
    <row r="8615" spans="6:7" x14ac:dyDescent="0.35">
      <c r="F8615">
        <v>8610</v>
      </c>
      <c r="G8615" s="102">
        <f t="shared" ca="1" si="138"/>
        <v>-8.6130945939969478E-2</v>
      </c>
    </row>
    <row r="8616" spans="6:7" x14ac:dyDescent="0.35">
      <c r="F8616">
        <v>8611</v>
      </c>
      <c r="G8616" s="102">
        <f t="shared" ca="1" si="138"/>
        <v>-3.1981461157669665E-2</v>
      </c>
    </row>
    <row r="8617" spans="6:7" x14ac:dyDescent="0.35">
      <c r="F8617">
        <v>8612</v>
      </c>
      <c r="G8617" s="102">
        <f t="shared" ca="1" si="138"/>
        <v>-5.1692865996734838E-2</v>
      </c>
    </row>
    <row r="8618" spans="6:7" x14ac:dyDescent="0.35">
      <c r="F8618">
        <v>8613</v>
      </c>
      <c r="G8618" s="102">
        <f t="shared" ca="1" si="138"/>
        <v>-8.0560634992343314E-3</v>
      </c>
    </row>
    <row r="8619" spans="6:7" x14ac:dyDescent="0.35">
      <c r="F8619">
        <v>8614</v>
      </c>
      <c r="G8619" s="102">
        <f t="shared" ca="1" si="138"/>
        <v>2.5999024593533673E-3</v>
      </c>
    </row>
    <row r="8620" spans="6:7" x14ac:dyDescent="0.35">
      <c r="F8620">
        <v>8615</v>
      </c>
      <c r="G8620" s="102">
        <f t="shared" ca="1" si="138"/>
        <v>2.9114045314565868E-2</v>
      </c>
    </row>
    <row r="8621" spans="6:7" x14ac:dyDescent="0.35">
      <c r="F8621">
        <v>8616</v>
      </c>
      <c r="G8621" s="102">
        <f t="shared" ca="1" si="138"/>
        <v>-1.5533259488592492E-2</v>
      </c>
    </row>
    <row r="8622" spans="6:7" x14ac:dyDescent="0.35">
      <c r="F8622">
        <v>8617</v>
      </c>
      <c r="G8622" s="102">
        <f t="shared" ca="1" si="138"/>
        <v>-2.963641249319288E-2</v>
      </c>
    </row>
    <row r="8623" spans="6:7" x14ac:dyDescent="0.35">
      <c r="F8623">
        <v>8618</v>
      </c>
      <c r="G8623" s="102">
        <f t="shared" ca="1" si="138"/>
        <v>8.8776777955097294E-2</v>
      </c>
    </row>
    <row r="8624" spans="6:7" x14ac:dyDescent="0.35">
      <c r="F8624">
        <v>8619</v>
      </c>
      <c r="G8624" s="102">
        <f t="shared" ca="1" si="138"/>
        <v>-8.1846878327594283E-2</v>
      </c>
    </row>
    <row r="8625" spans="6:7" x14ac:dyDescent="0.35">
      <c r="F8625">
        <v>8620</v>
      </c>
      <c r="G8625" s="102">
        <f t="shared" ca="1" si="138"/>
        <v>-3.6585391914112832E-3</v>
      </c>
    </row>
    <row r="8626" spans="6:7" x14ac:dyDescent="0.35">
      <c r="F8626">
        <v>8621</v>
      </c>
      <c r="G8626" s="102">
        <f t="shared" ca="1" si="138"/>
        <v>8.7971035205613682E-2</v>
      </c>
    </row>
    <row r="8627" spans="6:7" x14ac:dyDescent="0.35">
      <c r="F8627">
        <v>8622</v>
      </c>
      <c r="G8627" s="102">
        <f t="shared" ca="1" si="138"/>
        <v>0.10214632649562538</v>
      </c>
    </row>
    <row r="8628" spans="6:7" x14ac:dyDescent="0.35">
      <c r="F8628">
        <v>8623</v>
      </c>
      <c r="G8628" s="102">
        <f t="shared" ca="1" si="138"/>
        <v>-8.7643384725459905E-2</v>
      </c>
    </row>
    <row r="8629" spans="6:7" x14ac:dyDescent="0.35">
      <c r="F8629">
        <v>8624</v>
      </c>
      <c r="G8629" s="102">
        <f t="shared" ca="1" si="138"/>
        <v>2.1078288114250544E-2</v>
      </c>
    </row>
    <row r="8630" spans="6:7" x14ac:dyDescent="0.35">
      <c r="F8630">
        <v>8625</v>
      </c>
      <c r="G8630" s="102">
        <f t="shared" ca="1" si="138"/>
        <v>-0.16120217339267875</v>
      </c>
    </row>
    <row r="8631" spans="6:7" x14ac:dyDescent="0.35">
      <c r="F8631">
        <v>8626</v>
      </c>
      <c r="G8631" s="102">
        <f t="shared" ca="1" si="138"/>
        <v>-4.2348159724811929E-2</v>
      </c>
    </row>
    <row r="8632" spans="6:7" x14ac:dyDescent="0.35">
      <c r="F8632">
        <v>8627</v>
      </c>
      <c r="G8632" s="102">
        <f t="shared" ca="1" si="138"/>
        <v>7.6739092572907213E-3</v>
      </c>
    </row>
    <row r="8633" spans="6:7" x14ac:dyDescent="0.35">
      <c r="F8633">
        <v>8628</v>
      </c>
      <c r="G8633" s="102">
        <f t="shared" ca="1" si="138"/>
        <v>5.9867141922295142E-2</v>
      </c>
    </row>
    <row r="8634" spans="6:7" x14ac:dyDescent="0.35">
      <c r="F8634">
        <v>8629</v>
      </c>
      <c r="G8634" s="102">
        <f t="shared" ca="1" si="138"/>
        <v>-4.0461622565860958E-2</v>
      </c>
    </row>
    <row r="8635" spans="6:7" x14ac:dyDescent="0.35">
      <c r="F8635">
        <v>8630</v>
      </c>
      <c r="G8635" s="102">
        <f t="shared" ca="1" si="138"/>
        <v>6.856749863338385E-2</v>
      </c>
    </row>
    <row r="8636" spans="6:7" x14ac:dyDescent="0.35">
      <c r="F8636">
        <v>8631</v>
      </c>
      <c r="G8636" s="102">
        <f t="shared" ca="1" si="138"/>
        <v>7.2381585226746564E-2</v>
      </c>
    </row>
    <row r="8637" spans="6:7" x14ac:dyDescent="0.35">
      <c r="F8637">
        <v>8632</v>
      </c>
      <c r="G8637" s="102">
        <f t="shared" ca="1" si="138"/>
        <v>-3.8759503086193605E-3</v>
      </c>
    </row>
    <row r="8638" spans="6:7" x14ac:dyDescent="0.35">
      <c r="F8638">
        <v>8633</v>
      </c>
      <c r="G8638" s="102">
        <f t="shared" ca="1" si="138"/>
        <v>-5.9132033786983521E-2</v>
      </c>
    </row>
    <row r="8639" spans="6:7" x14ac:dyDescent="0.35">
      <c r="F8639">
        <v>8634</v>
      </c>
      <c r="G8639" s="102">
        <f t="shared" ca="1" si="138"/>
        <v>2.137299865949242E-2</v>
      </c>
    </row>
    <row r="8640" spans="6:7" x14ac:dyDescent="0.35">
      <c r="F8640">
        <v>8635</v>
      </c>
      <c r="G8640" s="102">
        <f t="shared" ca="1" si="138"/>
        <v>3.9916266975492248E-2</v>
      </c>
    </row>
    <row r="8641" spans="6:7" x14ac:dyDescent="0.35">
      <c r="F8641">
        <v>8636</v>
      </c>
      <c r="G8641" s="102">
        <f t="shared" ca="1" si="138"/>
        <v>-6.4001687017415584E-2</v>
      </c>
    </row>
    <row r="8642" spans="6:7" x14ac:dyDescent="0.35">
      <c r="F8642">
        <v>8637</v>
      </c>
      <c r="G8642" s="102">
        <f t="shared" ca="1" si="138"/>
        <v>2.153247297856975E-2</v>
      </c>
    </row>
    <row r="8643" spans="6:7" x14ac:dyDescent="0.35">
      <c r="F8643">
        <v>8638</v>
      </c>
      <c r="G8643" s="102">
        <f t="shared" ca="1" si="138"/>
        <v>-1.5360894333696865E-2</v>
      </c>
    </row>
    <row r="8644" spans="6:7" x14ac:dyDescent="0.35">
      <c r="F8644">
        <v>8639</v>
      </c>
      <c r="G8644" s="102">
        <f t="shared" ca="1" si="138"/>
        <v>1.9441101212491502E-2</v>
      </c>
    </row>
    <row r="8645" spans="6:7" x14ac:dyDescent="0.35">
      <c r="F8645">
        <v>8640</v>
      </c>
      <c r="G8645" s="102">
        <f t="shared" ca="1" si="138"/>
        <v>3.599934386339966E-2</v>
      </c>
    </row>
    <row r="8646" spans="6:7" x14ac:dyDescent="0.35">
      <c r="F8646">
        <v>8641</v>
      </c>
      <c r="G8646" s="102">
        <f t="shared" ca="1" si="138"/>
        <v>-8.0584343144572509E-2</v>
      </c>
    </row>
    <row r="8647" spans="6:7" x14ac:dyDescent="0.35">
      <c r="F8647">
        <v>8642</v>
      </c>
      <c r="G8647" s="102">
        <f t="shared" ref="G8647:G8710" ca="1" si="139">_xlfn.NORM.INV(RAND(),M$9,M$10)</f>
        <v>-0.10755630920360623</v>
      </c>
    </row>
    <row r="8648" spans="6:7" x14ac:dyDescent="0.35">
      <c r="F8648">
        <v>8643</v>
      </c>
      <c r="G8648" s="102">
        <f t="shared" ca="1" si="139"/>
        <v>-8.3661987473389682E-2</v>
      </c>
    </row>
    <row r="8649" spans="6:7" x14ac:dyDescent="0.35">
      <c r="F8649">
        <v>8644</v>
      </c>
      <c r="G8649" s="102">
        <f t="shared" ca="1" si="139"/>
        <v>-0.11462241570897366</v>
      </c>
    </row>
    <row r="8650" spans="6:7" x14ac:dyDescent="0.35">
      <c r="F8650">
        <v>8645</v>
      </c>
      <c r="G8650" s="102">
        <f t="shared" ca="1" si="139"/>
        <v>5.2888843177636896E-2</v>
      </c>
    </row>
    <row r="8651" spans="6:7" x14ac:dyDescent="0.35">
      <c r="F8651">
        <v>8646</v>
      </c>
      <c r="G8651" s="102">
        <f t="shared" ca="1" si="139"/>
        <v>-9.2035178215673016E-2</v>
      </c>
    </row>
    <row r="8652" spans="6:7" x14ac:dyDescent="0.35">
      <c r="F8652">
        <v>8647</v>
      </c>
      <c r="G8652" s="102">
        <f t="shared" ca="1" si="139"/>
        <v>-0.13525952628773186</v>
      </c>
    </row>
    <row r="8653" spans="6:7" x14ac:dyDescent="0.35">
      <c r="F8653">
        <v>8648</v>
      </c>
      <c r="G8653" s="102">
        <f t="shared" ca="1" si="139"/>
        <v>7.7644539900917159E-2</v>
      </c>
    </row>
    <row r="8654" spans="6:7" x14ac:dyDescent="0.35">
      <c r="F8654">
        <v>8649</v>
      </c>
      <c r="G8654" s="102">
        <f t="shared" ca="1" si="139"/>
        <v>4.2488610918976558E-2</v>
      </c>
    </row>
    <row r="8655" spans="6:7" x14ac:dyDescent="0.35">
      <c r="F8655">
        <v>8650</v>
      </c>
      <c r="G8655" s="102">
        <f t="shared" ca="1" si="139"/>
        <v>5.2795102985858794E-2</v>
      </c>
    </row>
    <row r="8656" spans="6:7" x14ac:dyDescent="0.35">
      <c r="F8656">
        <v>8651</v>
      </c>
      <c r="G8656" s="102">
        <f t="shared" ca="1" si="139"/>
        <v>-4.945340687594741E-3</v>
      </c>
    </row>
    <row r="8657" spans="6:7" x14ac:dyDescent="0.35">
      <c r="F8657">
        <v>8652</v>
      </c>
      <c r="G8657" s="102">
        <f t="shared" ca="1" si="139"/>
        <v>1.8178071579770666E-3</v>
      </c>
    </row>
    <row r="8658" spans="6:7" x14ac:dyDescent="0.35">
      <c r="F8658">
        <v>8653</v>
      </c>
      <c r="G8658" s="102">
        <f t="shared" ca="1" si="139"/>
        <v>3.6055010764970905E-3</v>
      </c>
    </row>
    <row r="8659" spans="6:7" x14ac:dyDescent="0.35">
      <c r="F8659">
        <v>8654</v>
      </c>
      <c r="G8659" s="102">
        <f t="shared" ca="1" si="139"/>
        <v>-2.7378206053162546E-2</v>
      </c>
    </row>
    <row r="8660" spans="6:7" x14ac:dyDescent="0.35">
      <c r="F8660">
        <v>8655</v>
      </c>
      <c r="G8660" s="102">
        <f t="shared" ca="1" si="139"/>
        <v>-8.1943591506093511E-2</v>
      </c>
    </row>
    <row r="8661" spans="6:7" x14ac:dyDescent="0.35">
      <c r="F8661">
        <v>8656</v>
      </c>
      <c r="G8661" s="102">
        <f t="shared" ca="1" si="139"/>
        <v>-1.8395320374441318E-2</v>
      </c>
    </row>
    <row r="8662" spans="6:7" x14ac:dyDescent="0.35">
      <c r="F8662">
        <v>8657</v>
      </c>
      <c r="G8662" s="102">
        <f t="shared" ca="1" si="139"/>
        <v>-9.6590055560208526E-2</v>
      </c>
    </row>
    <row r="8663" spans="6:7" x14ac:dyDescent="0.35">
      <c r="F8663">
        <v>8658</v>
      </c>
      <c r="G8663" s="102">
        <f t="shared" ca="1" si="139"/>
        <v>-3.2461782021718046E-2</v>
      </c>
    </row>
    <row r="8664" spans="6:7" x14ac:dyDescent="0.35">
      <c r="F8664">
        <v>8659</v>
      </c>
      <c r="G8664" s="102">
        <f t="shared" ca="1" si="139"/>
        <v>4.6748500428361928E-2</v>
      </c>
    </row>
    <row r="8665" spans="6:7" x14ac:dyDescent="0.35">
      <c r="F8665">
        <v>8660</v>
      </c>
      <c r="G8665" s="102">
        <f t="shared" ca="1" si="139"/>
        <v>-3.4891819186608386E-2</v>
      </c>
    </row>
    <row r="8666" spans="6:7" x14ac:dyDescent="0.35">
      <c r="F8666">
        <v>8661</v>
      </c>
      <c r="G8666" s="102">
        <f t="shared" ca="1" si="139"/>
        <v>-1.2047849378358629E-2</v>
      </c>
    </row>
    <row r="8667" spans="6:7" x14ac:dyDescent="0.35">
      <c r="F8667">
        <v>8662</v>
      </c>
      <c r="G8667" s="102">
        <f t="shared" ca="1" si="139"/>
        <v>-2.8223142402982682E-2</v>
      </c>
    </row>
    <row r="8668" spans="6:7" x14ac:dyDescent="0.35">
      <c r="F8668">
        <v>8663</v>
      </c>
      <c r="G8668" s="102">
        <f t="shared" ca="1" si="139"/>
        <v>-7.209849974116489E-2</v>
      </c>
    </row>
    <row r="8669" spans="6:7" x14ac:dyDescent="0.35">
      <c r="F8669">
        <v>8664</v>
      </c>
      <c r="G8669" s="102">
        <f t="shared" ca="1" si="139"/>
        <v>-0.13478450926131569</v>
      </c>
    </row>
    <row r="8670" spans="6:7" x14ac:dyDescent="0.35">
      <c r="F8670">
        <v>8665</v>
      </c>
      <c r="G8670" s="102">
        <f t="shared" ca="1" si="139"/>
        <v>5.3206020843497667E-2</v>
      </c>
    </row>
    <row r="8671" spans="6:7" x14ac:dyDescent="0.35">
      <c r="F8671">
        <v>8666</v>
      </c>
      <c r="G8671" s="102">
        <f t="shared" ca="1" si="139"/>
        <v>-5.3328948130398953E-3</v>
      </c>
    </row>
    <row r="8672" spans="6:7" x14ac:dyDescent="0.35">
      <c r="F8672">
        <v>8667</v>
      </c>
      <c r="G8672" s="102">
        <f t="shared" ca="1" si="139"/>
        <v>-5.1268319911106447E-2</v>
      </c>
    </row>
    <row r="8673" spans="6:7" x14ac:dyDescent="0.35">
      <c r="F8673">
        <v>8668</v>
      </c>
      <c r="G8673" s="102">
        <f t="shared" ca="1" si="139"/>
        <v>-0.13808466689000701</v>
      </c>
    </row>
    <row r="8674" spans="6:7" x14ac:dyDescent="0.35">
      <c r="F8674">
        <v>8669</v>
      </c>
      <c r="G8674" s="102">
        <f t="shared" ca="1" si="139"/>
        <v>3.708227741273043E-2</v>
      </c>
    </row>
    <row r="8675" spans="6:7" x14ac:dyDescent="0.35">
      <c r="F8675">
        <v>8670</v>
      </c>
      <c r="G8675" s="102">
        <f t="shared" ca="1" si="139"/>
        <v>2.0238116263446345E-3</v>
      </c>
    </row>
    <row r="8676" spans="6:7" x14ac:dyDescent="0.35">
      <c r="F8676">
        <v>8671</v>
      </c>
      <c r="G8676" s="102">
        <f t="shared" ca="1" si="139"/>
        <v>-4.0135682643341428E-2</v>
      </c>
    </row>
    <row r="8677" spans="6:7" x14ac:dyDescent="0.35">
      <c r="F8677">
        <v>8672</v>
      </c>
      <c r="G8677" s="102">
        <f t="shared" ca="1" si="139"/>
        <v>3.1832808368262189E-2</v>
      </c>
    </row>
    <row r="8678" spans="6:7" x14ac:dyDescent="0.35">
      <c r="F8678">
        <v>8673</v>
      </c>
      <c r="G8678" s="102">
        <f t="shared" ca="1" si="139"/>
        <v>2.8936230717284985E-2</v>
      </c>
    </row>
    <row r="8679" spans="6:7" x14ac:dyDescent="0.35">
      <c r="F8679">
        <v>8674</v>
      </c>
      <c r="G8679" s="102">
        <f t="shared" ca="1" si="139"/>
        <v>-1.8091312012608579E-2</v>
      </c>
    </row>
    <row r="8680" spans="6:7" x14ac:dyDescent="0.35">
      <c r="F8680">
        <v>8675</v>
      </c>
      <c r="G8680" s="102">
        <f t="shared" ca="1" si="139"/>
        <v>-3.9021680039972251E-2</v>
      </c>
    </row>
    <row r="8681" spans="6:7" x14ac:dyDescent="0.35">
      <c r="F8681">
        <v>8676</v>
      </c>
      <c r="G8681" s="102">
        <f t="shared" ca="1" si="139"/>
        <v>-0.1435584629904948</v>
      </c>
    </row>
    <row r="8682" spans="6:7" x14ac:dyDescent="0.35">
      <c r="F8682">
        <v>8677</v>
      </c>
      <c r="G8682" s="102">
        <f t="shared" ca="1" si="139"/>
        <v>-2.9393772018005974E-2</v>
      </c>
    </row>
    <row r="8683" spans="6:7" x14ac:dyDescent="0.35">
      <c r="F8683">
        <v>8678</v>
      </c>
      <c r="G8683" s="102">
        <f t="shared" ca="1" si="139"/>
        <v>-5.9077810758510624E-2</v>
      </c>
    </row>
    <row r="8684" spans="6:7" x14ac:dyDescent="0.35">
      <c r="F8684">
        <v>8679</v>
      </c>
      <c r="G8684" s="102">
        <f t="shared" ca="1" si="139"/>
        <v>-0.12373663513773812</v>
      </c>
    </row>
    <row r="8685" spans="6:7" x14ac:dyDescent="0.35">
      <c r="F8685">
        <v>8680</v>
      </c>
      <c r="G8685" s="102">
        <f t="shared" ca="1" si="139"/>
        <v>4.1074462481615961E-2</v>
      </c>
    </row>
    <row r="8686" spans="6:7" x14ac:dyDescent="0.35">
      <c r="F8686">
        <v>8681</v>
      </c>
      <c r="G8686" s="102">
        <f t="shared" ca="1" si="139"/>
        <v>-0.11285631515787846</v>
      </c>
    </row>
    <row r="8687" spans="6:7" x14ac:dyDescent="0.35">
      <c r="F8687">
        <v>8682</v>
      </c>
      <c r="G8687" s="102">
        <f t="shared" ca="1" si="139"/>
        <v>-9.6433592031842236E-4</v>
      </c>
    </row>
    <row r="8688" spans="6:7" x14ac:dyDescent="0.35">
      <c r="F8688">
        <v>8683</v>
      </c>
      <c r="G8688" s="102">
        <f t="shared" ca="1" si="139"/>
        <v>-5.1072803982194187E-2</v>
      </c>
    </row>
    <row r="8689" spans="6:7" x14ac:dyDescent="0.35">
      <c r="F8689">
        <v>8684</v>
      </c>
      <c r="G8689" s="102">
        <f t="shared" ca="1" si="139"/>
        <v>7.3642409104366473E-3</v>
      </c>
    </row>
    <row r="8690" spans="6:7" x14ac:dyDescent="0.35">
      <c r="F8690">
        <v>8685</v>
      </c>
      <c r="G8690" s="102">
        <f t="shared" ca="1" si="139"/>
        <v>2.0315728054328366E-2</v>
      </c>
    </row>
    <row r="8691" spans="6:7" x14ac:dyDescent="0.35">
      <c r="F8691">
        <v>8686</v>
      </c>
      <c r="G8691" s="102">
        <f t="shared" ca="1" si="139"/>
        <v>-7.7717670505979986E-3</v>
      </c>
    </row>
    <row r="8692" spans="6:7" x14ac:dyDescent="0.35">
      <c r="F8692">
        <v>8687</v>
      </c>
      <c r="G8692" s="102">
        <f t="shared" ca="1" si="139"/>
        <v>-2.6766286304767958E-2</v>
      </c>
    </row>
    <row r="8693" spans="6:7" x14ac:dyDescent="0.35">
      <c r="F8693">
        <v>8688</v>
      </c>
      <c r="G8693" s="102">
        <f t="shared" ca="1" si="139"/>
        <v>-0.15100561961116896</v>
      </c>
    </row>
    <row r="8694" spans="6:7" x14ac:dyDescent="0.35">
      <c r="F8694">
        <v>8689</v>
      </c>
      <c r="G8694" s="102">
        <f t="shared" ca="1" si="139"/>
        <v>3.0621030603563627E-2</v>
      </c>
    </row>
    <row r="8695" spans="6:7" x14ac:dyDescent="0.35">
      <c r="F8695">
        <v>8690</v>
      </c>
      <c r="G8695" s="102">
        <f t="shared" ca="1" si="139"/>
        <v>5.8836612233675187E-2</v>
      </c>
    </row>
    <row r="8696" spans="6:7" x14ac:dyDescent="0.35">
      <c r="F8696">
        <v>8691</v>
      </c>
      <c r="G8696" s="102">
        <f t="shared" ca="1" si="139"/>
        <v>-0.12036826929256098</v>
      </c>
    </row>
    <row r="8697" spans="6:7" x14ac:dyDescent="0.35">
      <c r="F8697">
        <v>8692</v>
      </c>
      <c r="G8697" s="102">
        <f t="shared" ca="1" si="139"/>
        <v>5.3843956417905181E-2</v>
      </c>
    </row>
    <row r="8698" spans="6:7" x14ac:dyDescent="0.35">
      <c r="F8698">
        <v>8693</v>
      </c>
      <c r="G8698" s="102">
        <f t="shared" ca="1" si="139"/>
        <v>-0.101568921967713</v>
      </c>
    </row>
    <row r="8699" spans="6:7" x14ac:dyDescent="0.35">
      <c r="F8699">
        <v>8694</v>
      </c>
      <c r="G8699" s="102">
        <f t="shared" ca="1" si="139"/>
        <v>1.0086908819323405E-2</v>
      </c>
    </row>
    <row r="8700" spans="6:7" x14ac:dyDescent="0.35">
      <c r="F8700">
        <v>8695</v>
      </c>
      <c r="G8700" s="102">
        <f t="shared" ca="1" si="139"/>
        <v>1.9145097670102543E-2</v>
      </c>
    </row>
    <row r="8701" spans="6:7" x14ac:dyDescent="0.35">
      <c r="F8701">
        <v>8696</v>
      </c>
      <c r="G8701" s="102">
        <f t="shared" ca="1" si="139"/>
        <v>8.0743554680883147E-3</v>
      </c>
    </row>
    <row r="8702" spans="6:7" x14ac:dyDescent="0.35">
      <c r="F8702">
        <v>8697</v>
      </c>
      <c r="G8702" s="102">
        <f t="shared" ca="1" si="139"/>
        <v>5.1084871198738474E-2</v>
      </c>
    </row>
    <row r="8703" spans="6:7" x14ac:dyDescent="0.35">
      <c r="F8703">
        <v>8698</v>
      </c>
      <c r="G8703" s="102">
        <f t="shared" ca="1" si="139"/>
        <v>3.1382631061176627E-2</v>
      </c>
    </row>
    <row r="8704" spans="6:7" x14ac:dyDescent="0.35">
      <c r="F8704">
        <v>8699</v>
      </c>
      <c r="G8704" s="102">
        <f t="shared" ca="1" si="139"/>
        <v>4.3790956819824145E-2</v>
      </c>
    </row>
    <row r="8705" spans="6:7" x14ac:dyDescent="0.35">
      <c r="F8705">
        <v>8700</v>
      </c>
      <c r="G8705" s="102">
        <f t="shared" ca="1" si="139"/>
        <v>2.6363001258300826E-2</v>
      </c>
    </row>
    <row r="8706" spans="6:7" x14ac:dyDescent="0.35">
      <c r="F8706">
        <v>8701</v>
      </c>
      <c r="G8706" s="102">
        <f t="shared" ca="1" si="139"/>
        <v>-6.5177710994679255E-2</v>
      </c>
    </row>
    <row r="8707" spans="6:7" x14ac:dyDescent="0.35">
      <c r="F8707">
        <v>8702</v>
      </c>
      <c r="G8707" s="102">
        <f t="shared" ca="1" si="139"/>
        <v>0.1014146437482381</v>
      </c>
    </row>
    <row r="8708" spans="6:7" x14ac:dyDescent="0.35">
      <c r="F8708">
        <v>8703</v>
      </c>
      <c r="G8708" s="102">
        <f t="shared" ca="1" si="139"/>
        <v>1.6906440956472972E-2</v>
      </c>
    </row>
    <row r="8709" spans="6:7" x14ac:dyDescent="0.35">
      <c r="F8709">
        <v>8704</v>
      </c>
      <c r="G8709" s="102">
        <f t="shared" ca="1" si="139"/>
        <v>3.1680277318172204E-2</v>
      </c>
    </row>
    <row r="8710" spans="6:7" x14ac:dyDescent="0.35">
      <c r="F8710">
        <v>8705</v>
      </c>
      <c r="G8710" s="102">
        <f t="shared" ca="1" si="139"/>
        <v>1.6682551979321877E-2</v>
      </c>
    </row>
    <row r="8711" spans="6:7" x14ac:dyDescent="0.35">
      <c r="F8711">
        <v>8706</v>
      </c>
      <c r="G8711" s="102">
        <f t="shared" ref="G8711:G8774" ca="1" si="140">_xlfn.NORM.INV(RAND(),M$9,M$10)</f>
        <v>7.4895587616302869E-2</v>
      </c>
    </row>
    <row r="8712" spans="6:7" x14ac:dyDescent="0.35">
      <c r="F8712">
        <v>8707</v>
      </c>
      <c r="G8712" s="102">
        <f t="shared" ca="1" si="140"/>
        <v>-1.4583719922437257E-2</v>
      </c>
    </row>
    <row r="8713" spans="6:7" x14ac:dyDescent="0.35">
      <c r="F8713">
        <v>8708</v>
      </c>
      <c r="G8713" s="102">
        <f t="shared" ca="1" si="140"/>
        <v>-3.9768274059923156E-2</v>
      </c>
    </row>
    <row r="8714" spans="6:7" x14ac:dyDescent="0.35">
      <c r="F8714">
        <v>8709</v>
      </c>
      <c r="G8714" s="102">
        <f t="shared" ca="1" si="140"/>
        <v>3.7591091719178335E-2</v>
      </c>
    </row>
    <row r="8715" spans="6:7" x14ac:dyDescent="0.35">
      <c r="F8715">
        <v>8710</v>
      </c>
      <c r="G8715" s="102">
        <f t="shared" ca="1" si="140"/>
        <v>9.3248881846221751E-3</v>
      </c>
    </row>
    <row r="8716" spans="6:7" x14ac:dyDescent="0.35">
      <c r="F8716">
        <v>8711</v>
      </c>
      <c r="G8716" s="102">
        <f t="shared" ca="1" si="140"/>
        <v>1.0450499879706143E-2</v>
      </c>
    </row>
    <row r="8717" spans="6:7" x14ac:dyDescent="0.35">
      <c r="F8717">
        <v>8712</v>
      </c>
      <c r="G8717" s="102">
        <f t="shared" ca="1" si="140"/>
        <v>-5.7881007886784713E-2</v>
      </c>
    </row>
    <row r="8718" spans="6:7" x14ac:dyDescent="0.35">
      <c r="F8718">
        <v>8713</v>
      </c>
      <c r="G8718" s="102">
        <f t="shared" ca="1" si="140"/>
        <v>-0.1421301690692508</v>
      </c>
    </row>
    <row r="8719" spans="6:7" x14ac:dyDescent="0.35">
      <c r="F8719">
        <v>8714</v>
      </c>
      <c r="G8719" s="102">
        <f t="shared" ca="1" si="140"/>
        <v>9.0672702493118998E-3</v>
      </c>
    </row>
    <row r="8720" spans="6:7" x14ac:dyDescent="0.35">
      <c r="F8720">
        <v>8715</v>
      </c>
      <c r="G8720" s="102">
        <f t="shared" ca="1" si="140"/>
        <v>-1.3214043925286811E-2</v>
      </c>
    </row>
    <row r="8721" spans="6:7" x14ac:dyDescent="0.35">
      <c r="F8721">
        <v>8716</v>
      </c>
      <c r="G8721" s="102">
        <f t="shared" ca="1" si="140"/>
        <v>-1.7357027904488061E-2</v>
      </c>
    </row>
    <row r="8722" spans="6:7" x14ac:dyDescent="0.35">
      <c r="F8722">
        <v>8717</v>
      </c>
      <c r="G8722" s="102">
        <f t="shared" ca="1" si="140"/>
        <v>-2.9547685842150947E-3</v>
      </c>
    </row>
    <row r="8723" spans="6:7" x14ac:dyDescent="0.35">
      <c r="F8723">
        <v>8718</v>
      </c>
      <c r="G8723" s="102">
        <f t="shared" ca="1" si="140"/>
        <v>3.1672794615888733E-2</v>
      </c>
    </row>
    <row r="8724" spans="6:7" x14ac:dyDescent="0.35">
      <c r="F8724">
        <v>8719</v>
      </c>
      <c r="G8724" s="102">
        <f t="shared" ca="1" si="140"/>
        <v>-5.5534352629969724E-2</v>
      </c>
    </row>
    <row r="8725" spans="6:7" x14ac:dyDescent="0.35">
      <c r="F8725">
        <v>8720</v>
      </c>
      <c r="G8725" s="102">
        <f t="shared" ca="1" si="140"/>
        <v>1.6194518503545568E-2</v>
      </c>
    </row>
    <row r="8726" spans="6:7" x14ac:dyDescent="0.35">
      <c r="F8726">
        <v>8721</v>
      </c>
      <c r="G8726" s="102">
        <f t="shared" ca="1" si="140"/>
        <v>4.2583721640941569E-2</v>
      </c>
    </row>
    <row r="8727" spans="6:7" x14ac:dyDescent="0.35">
      <c r="F8727">
        <v>8722</v>
      </c>
      <c r="G8727" s="102">
        <f t="shared" ca="1" si="140"/>
        <v>-0.13133985802298176</v>
      </c>
    </row>
    <row r="8728" spans="6:7" x14ac:dyDescent="0.35">
      <c r="F8728">
        <v>8723</v>
      </c>
      <c r="G8728" s="102">
        <f t="shared" ca="1" si="140"/>
        <v>0.10033072213589572</v>
      </c>
    </row>
    <row r="8729" spans="6:7" x14ac:dyDescent="0.35">
      <c r="F8729">
        <v>8724</v>
      </c>
      <c r="G8729" s="102">
        <f t="shared" ca="1" si="140"/>
        <v>6.390985231017084E-3</v>
      </c>
    </row>
    <row r="8730" spans="6:7" x14ac:dyDescent="0.35">
      <c r="F8730">
        <v>8725</v>
      </c>
      <c r="G8730" s="102">
        <f t="shared" ca="1" si="140"/>
        <v>-2.5406867555571106E-2</v>
      </c>
    </row>
    <row r="8731" spans="6:7" x14ac:dyDescent="0.35">
      <c r="F8731">
        <v>8726</v>
      </c>
      <c r="G8731" s="102">
        <f t="shared" ca="1" si="140"/>
        <v>1.8283605801594719E-3</v>
      </c>
    </row>
    <row r="8732" spans="6:7" x14ac:dyDescent="0.35">
      <c r="F8732">
        <v>8727</v>
      </c>
      <c r="G8732" s="102">
        <f t="shared" ca="1" si="140"/>
        <v>2.7529574933265129E-2</v>
      </c>
    </row>
    <row r="8733" spans="6:7" x14ac:dyDescent="0.35">
      <c r="F8733">
        <v>8728</v>
      </c>
      <c r="G8733" s="102">
        <f t="shared" ca="1" si="140"/>
        <v>0.10686020691390215</v>
      </c>
    </row>
    <row r="8734" spans="6:7" x14ac:dyDescent="0.35">
      <c r="F8734">
        <v>8729</v>
      </c>
      <c r="G8734" s="102">
        <f t="shared" ca="1" si="140"/>
        <v>-1.1036580752185852E-3</v>
      </c>
    </row>
    <row r="8735" spans="6:7" x14ac:dyDescent="0.35">
      <c r="F8735">
        <v>8730</v>
      </c>
      <c r="G8735" s="102">
        <f t="shared" ca="1" si="140"/>
        <v>-3.8028928226239759E-3</v>
      </c>
    </row>
    <row r="8736" spans="6:7" x14ac:dyDescent="0.35">
      <c r="F8736">
        <v>8731</v>
      </c>
      <c r="G8736" s="102">
        <f t="shared" ca="1" si="140"/>
        <v>-7.4354648283354627E-2</v>
      </c>
    </row>
    <row r="8737" spans="6:7" x14ac:dyDescent="0.35">
      <c r="F8737">
        <v>8732</v>
      </c>
      <c r="G8737" s="102">
        <f t="shared" ca="1" si="140"/>
        <v>-0.11473337126511814</v>
      </c>
    </row>
    <row r="8738" spans="6:7" x14ac:dyDescent="0.35">
      <c r="F8738">
        <v>8733</v>
      </c>
      <c r="G8738" s="102">
        <f t="shared" ca="1" si="140"/>
        <v>-2.7396968703265256E-2</v>
      </c>
    </row>
    <row r="8739" spans="6:7" x14ac:dyDescent="0.35">
      <c r="F8739">
        <v>8734</v>
      </c>
      <c r="G8739" s="102">
        <f t="shared" ca="1" si="140"/>
        <v>5.1341430763278739E-2</v>
      </c>
    </row>
    <row r="8740" spans="6:7" x14ac:dyDescent="0.35">
      <c r="F8740">
        <v>8735</v>
      </c>
      <c r="G8740" s="102">
        <f t="shared" ca="1" si="140"/>
        <v>-0.10913954147089544</v>
      </c>
    </row>
    <row r="8741" spans="6:7" x14ac:dyDescent="0.35">
      <c r="F8741">
        <v>8736</v>
      </c>
      <c r="G8741" s="102">
        <f t="shared" ca="1" si="140"/>
        <v>5.1749505070789376E-2</v>
      </c>
    </row>
    <row r="8742" spans="6:7" x14ac:dyDescent="0.35">
      <c r="F8742">
        <v>8737</v>
      </c>
      <c r="G8742" s="102">
        <f t="shared" ca="1" si="140"/>
        <v>2.7111014731511125E-4</v>
      </c>
    </row>
    <row r="8743" spans="6:7" x14ac:dyDescent="0.35">
      <c r="F8743">
        <v>8738</v>
      </c>
      <c r="G8743" s="102">
        <f t="shared" ca="1" si="140"/>
        <v>-5.9574721435531303E-2</v>
      </c>
    </row>
    <row r="8744" spans="6:7" x14ac:dyDescent="0.35">
      <c r="F8744">
        <v>8739</v>
      </c>
      <c r="G8744" s="102">
        <f t="shared" ca="1" si="140"/>
        <v>-1.2919281962185752E-2</v>
      </c>
    </row>
    <row r="8745" spans="6:7" x14ac:dyDescent="0.35">
      <c r="F8745">
        <v>8740</v>
      </c>
      <c r="G8745" s="102">
        <f t="shared" ca="1" si="140"/>
        <v>-0.1258503146951955</v>
      </c>
    </row>
    <row r="8746" spans="6:7" x14ac:dyDescent="0.35">
      <c r="F8746">
        <v>8741</v>
      </c>
      <c r="G8746" s="102">
        <f t="shared" ca="1" si="140"/>
        <v>-1.5565359537285025E-2</v>
      </c>
    </row>
    <row r="8747" spans="6:7" x14ac:dyDescent="0.35">
      <c r="F8747">
        <v>8742</v>
      </c>
      <c r="G8747" s="102">
        <f t="shared" ca="1" si="140"/>
        <v>5.6120662500233676E-2</v>
      </c>
    </row>
    <row r="8748" spans="6:7" x14ac:dyDescent="0.35">
      <c r="F8748">
        <v>8743</v>
      </c>
      <c r="G8748" s="102">
        <f t="shared" ca="1" si="140"/>
        <v>5.7472356342637934E-2</v>
      </c>
    </row>
    <row r="8749" spans="6:7" x14ac:dyDescent="0.35">
      <c r="F8749">
        <v>8744</v>
      </c>
      <c r="G8749" s="102">
        <f t="shared" ca="1" si="140"/>
        <v>1.8106194677152746E-2</v>
      </c>
    </row>
    <row r="8750" spans="6:7" x14ac:dyDescent="0.35">
      <c r="F8750">
        <v>8745</v>
      </c>
      <c r="G8750" s="102">
        <f t="shared" ca="1" si="140"/>
        <v>0.12365252077737439</v>
      </c>
    </row>
    <row r="8751" spans="6:7" x14ac:dyDescent="0.35">
      <c r="F8751">
        <v>8746</v>
      </c>
      <c r="G8751" s="102">
        <f t="shared" ca="1" si="140"/>
        <v>-3.3764748820700477E-2</v>
      </c>
    </row>
    <row r="8752" spans="6:7" x14ac:dyDescent="0.35">
      <c r="F8752">
        <v>8747</v>
      </c>
      <c r="G8752" s="102">
        <f t="shared" ca="1" si="140"/>
        <v>3.3592765568701569E-2</v>
      </c>
    </row>
    <row r="8753" spans="6:7" x14ac:dyDescent="0.35">
      <c r="F8753">
        <v>8748</v>
      </c>
      <c r="G8753" s="102">
        <f t="shared" ca="1" si="140"/>
        <v>4.9306587483158262E-2</v>
      </c>
    </row>
    <row r="8754" spans="6:7" x14ac:dyDescent="0.35">
      <c r="F8754">
        <v>8749</v>
      </c>
      <c r="G8754" s="102">
        <f t="shared" ca="1" si="140"/>
        <v>2.6319829445166133E-2</v>
      </c>
    </row>
    <row r="8755" spans="6:7" x14ac:dyDescent="0.35">
      <c r="F8755">
        <v>8750</v>
      </c>
      <c r="G8755" s="102">
        <f t="shared" ca="1" si="140"/>
        <v>-2.6481422647992203E-2</v>
      </c>
    </row>
    <row r="8756" spans="6:7" x14ac:dyDescent="0.35">
      <c r="F8756">
        <v>8751</v>
      </c>
      <c r="G8756" s="102">
        <f t="shared" ca="1" si="140"/>
        <v>-1.7894991868969371E-2</v>
      </c>
    </row>
    <row r="8757" spans="6:7" x14ac:dyDescent="0.35">
      <c r="F8757">
        <v>8752</v>
      </c>
      <c r="G8757" s="102">
        <f t="shared" ca="1" si="140"/>
        <v>9.8421720300929105E-2</v>
      </c>
    </row>
    <row r="8758" spans="6:7" x14ac:dyDescent="0.35">
      <c r="F8758">
        <v>8753</v>
      </c>
      <c r="G8758" s="102">
        <f t="shared" ca="1" si="140"/>
        <v>-0.17486967043697307</v>
      </c>
    </row>
    <row r="8759" spans="6:7" x14ac:dyDescent="0.35">
      <c r="F8759">
        <v>8754</v>
      </c>
      <c r="G8759" s="102">
        <f t="shared" ca="1" si="140"/>
        <v>-0.10121416135784608</v>
      </c>
    </row>
    <row r="8760" spans="6:7" x14ac:dyDescent="0.35">
      <c r="F8760">
        <v>8755</v>
      </c>
      <c r="G8760" s="102">
        <f t="shared" ca="1" si="140"/>
        <v>-0.11253383628704069</v>
      </c>
    </row>
    <row r="8761" spans="6:7" x14ac:dyDescent="0.35">
      <c r="F8761">
        <v>8756</v>
      </c>
      <c r="G8761" s="102">
        <f t="shared" ca="1" si="140"/>
        <v>-6.1126874095214417E-2</v>
      </c>
    </row>
    <row r="8762" spans="6:7" x14ac:dyDescent="0.35">
      <c r="F8762">
        <v>8757</v>
      </c>
      <c r="G8762" s="102">
        <f t="shared" ca="1" si="140"/>
        <v>-8.3563159100056322E-2</v>
      </c>
    </row>
    <row r="8763" spans="6:7" x14ac:dyDescent="0.35">
      <c r="F8763">
        <v>8758</v>
      </c>
      <c r="G8763" s="102">
        <f t="shared" ca="1" si="140"/>
        <v>3.33416267385339E-2</v>
      </c>
    </row>
    <row r="8764" spans="6:7" x14ac:dyDescent="0.35">
      <c r="F8764">
        <v>8759</v>
      </c>
      <c r="G8764" s="102">
        <f t="shared" ca="1" si="140"/>
        <v>-7.6335368882522736E-4</v>
      </c>
    </row>
    <row r="8765" spans="6:7" x14ac:dyDescent="0.35">
      <c r="F8765">
        <v>8760</v>
      </c>
      <c r="G8765" s="102">
        <f t="shared" ca="1" si="140"/>
        <v>1.3218424963507131E-2</v>
      </c>
    </row>
    <row r="8766" spans="6:7" x14ac:dyDescent="0.35">
      <c r="F8766">
        <v>8761</v>
      </c>
      <c r="G8766" s="102">
        <f t="shared" ca="1" si="140"/>
        <v>4.5341452251340009E-2</v>
      </c>
    </row>
    <row r="8767" spans="6:7" x14ac:dyDescent="0.35">
      <c r="F8767">
        <v>8762</v>
      </c>
      <c r="G8767" s="102">
        <f t="shared" ca="1" si="140"/>
        <v>1.7043290780538799E-2</v>
      </c>
    </row>
    <row r="8768" spans="6:7" x14ac:dyDescent="0.35">
      <c r="F8768">
        <v>8763</v>
      </c>
      <c r="G8768" s="102">
        <f t="shared" ca="1" si="140"/>
        <v>-3.8421946669961626E-2</v>
      </c>
    </row>
    <row r="8769" spans="6:7" x14ac:dyDescent="0.35">
      <c r="F8769">
        <v>8764</v>
      </c>
      <c r="G8769" s="102">
        <f t="shared" ca="1" si="140"/>
        <v>0.10934043371353473</v>
      </c>
    </row>
    <row r="8770" spans="6:7" x14ac:dyDescent="0.35">
      <c r="F8770">
        <v>8765</v>
      </c>
      <c r="G8770" s="102">
        <f t="shared" ca="1" si="140"/>
        <v>5.8448761676711633E-2</v>
      </c>
    </row>
    <row r="8771" spans="6:7" x14ac:dyDescent="0.35">
      <c r="F8771">
        <v>8766</v>
      </c>
      <c r="G8771" s="102">
        <f t="shared" ca="1" si="140"/>
        <v>-3.1332031947747294E-2</v>
      </c>
    </row>
    <row r="8772" spans="6:7" x14ac:dyDescent="0.35">
      <c r="F8772">
        <v>8767</v>
      </c>
      <c r="G8772" s="102">
        <f t="shared" ca="1" si="140"/>
        <v>-6.0341370344403664E-2</v>
      </c>
    </row>
    <row r="8773" spans="6:7" x14ac:dyDescent="0.35">
      <c r="F8773">
        <v>8768</v>
      </c>
      <c r="G8773" s="102">
        <f t="shared" ca="1" si="140"/>
        <v>-6.0793751449350814E-2</v>
      </c>
    </row>
    <row r="8774" spans="6:7" x14ac:dyDescent="0.35">
      <c r="F8774">
        <v>8769</v>
      </c>
      <c r="G8774" s="102">
        <f t="shared" ca="1" si="140"/>
        <v>6.4671255384445674E-3</v>
      </c>
    </row>
    <row r="8775" spans="6:7" x14ac:dyDescent="0.35">
      <c r="F8775">
        <v>8770</v>
      </c>
      <c r="G8775" s="102">
        <f t="shared" ref="G8775:G8838" ca="1" si="141">_xlfn.NORM.INV(RAND(),M$9,M$10)</f>
        <v>-0.10539614125760347</v>
      </c>
    </row>
    <row r="8776" spans="6:7" x14ac:dyDescent="0.35">
      <c r="F8776">
        <v>8771</v>
      </c>
      <c r="G8776" s="102">
        <f t="shared" ca="1" si="141"/>
        <v>-1.3753385834579985E-2</v>
      </c>
    </row>
    <row r="8777" spans="6:7" x14ac:dyDescent="0.35">
      <c r="F8777">
        <v>8772</v>
      </c>
      <c r="G8777" s="102">
        <f t="shared" ca="1" si="141"/>
        <v>5.0589565013971372E-3</v>
      </c>
    </row>
    <row r="8778" spans="6:7" x14ac:dyDescent="0.35">
      <c r="F8778">
        <v>8773</v>
      </c>
      <c r="G8778" s="102">
        <f t="shared" ca="1" si="141"/>
        <v>4.4857952552810804E-2</v>
      </c>
    </row>
    <row r="8779" spans="6:7" x14ac:dyDescent="0.35">
      <c r="F8779">
        <v>8774</v>
      </c>
      <c r="G8779" s="102">
        <f t="shared" ca="1" si="141"/>
        <v>-0.1136845850173539</v>
      </c>
    </row>
    <row r="8780" spans="6:7" x14ac:dyDescent="0.35">
      <c r="F8780">
        <v>8775</v>
      </c>
      <c r="G8780" s="102">
        <f t="shared" ca="1" si="141"/>
        <v>1.8453901718379687E-2</v>
      </c>
    </row>
    <row r="8781" spans="6:7" x14ac:dyDescent="0.35">
      <c r="F8781">
        <v>8776</v>
      </c>
      <c r="G8781" s="102">
        <f t="shared" ca="1" si="141"/>
        <v>5.3606266696139427E-3</v>
      </c>
    </row>
    <row r="8782" spans="6:7" x14ac:dyDescent="0.35">
      <c r="F8782">
        <v>8777</v>
      </c>
      <c r="G8782" s="102">
        <f t="shared" ca="1" si="141"/>
        <v>-4.247156725284096E-3</v>
      </c>
    </row>
    <row r="8783" spans="6:7" x14ac:dyDescent="0.35">
      <c r="F8783">
        <v>8778</v>
      </c>
      <c r="G8783" s="102">
        <f t="shared" ca="1" si="141"/>
        <v>-1.6773421331881727E-2</v>
      </c>
    </row>
    <row r="8784" spans="6:7" x14ac:dyDescent="0.35">
      <c r="F8784">
        <v>8779</v>
      </c>
      <c r="G8784" s="102">
        <f t="shared" ca="1" si="141"/>
        <v>3.9241794012848205E-2</v>
      </c>
    </row>
    <row r="8785" spans="6:7" x14ac:dyDescent="0.35">
      <c r="F8785">
        <v>8780</v>
      </c>
      <c r="G8785" s="102">
        <f t="shared" ca="1" si="141"/>
        <v>-2.2729014862263811E-2</v>
      </c>
    </row>
    <row r="8786" spans="6:7" x14ac:dyDescent="0.35">
      <c r="F8786">
        <v>8781</v>
      </c>
      <c r="G8786" s="102">
        <f t="shared" ca="1" si="141"/>
        <v>4.4306946175382375E-2</v>
      </c>
    </row>
    <row r="8787" spans="6:7" x14ac:dyDescent="0.35">
      <c r="F8787">
        <v>8782</v>
      </c>
      <c r="G8787" s="102">
        <f t="shared" ca="1" si="141"/>
        <v>2.7088986245263135E-2</v>
      </c>
    </row>
    <row r="8788" spans="6:7" x14ac:dyDescent="0.35">
      <c r="F8788">
        <v>8783</v>
      </c>
      <c r="G8788" s="102">
        <f t="shared" ca="1" si="141"/>
        <v>-1.5613056030468336E-2</v>
      </c>
    </row>
    <row r="8789" spans="6:7" x14ac:dyDescent="0.35">
      <c r="F8789">
        <v>8784</v>
      </c>
      <c r="G8789" s="102">
        <f t="shared" ca="1" si="141"/>
        <v>-5.4372923607577894E-2</v>
      </c>
    </row>
    <row r="8790" spans="6:7" x14ac:dyDescent="0.35">
      <c r="F8790">
        <v>8785</v>
      </c>
      <c r="G8790" s="102">
        <f t="shared" ca="1" si="141"/>
        <v>7.3909241063435965E-2</v>
      </c>
    </row>
    <row r="8791" spans="6:7" x14ac:dyDescent="0.35">
      <c r="F8791">
        <v>8786</v>
      </c>
      <c r="G8791" s="102">
        <f t="shared" ca="1" si="141"/>
        <v>6.6027860277807604E-2</v>
      </c>
    </row>
    <row r="8792" spans="6:7" x14ac:dyDescent="0.35">
      <c r="F8792">
        <v>8787</v>
      </c>
      <c r="G8792" s="102">
        <f t="shared" ca="1" si="141"/>
        <v>6.0417442132447666E-2</v>
      </c>
    </row>
    <row r="8793" spans="6:7" x14ac:dyDescent="0.35">
      <c r="F8793">
        <v>8788</v>
      </c>
      <c r="G8793" s="102">
        <f t="shared" ca="1" si="141"/>
        <v>6.3588144150781484E-2</v>
      </c>
    </row>
    <row r="8794" spans="6:7" x14ac:dyDescent="0.35">
      <c r="F8794">
        <v>8789</v>
      </c>
      <c r="G8794" s="102">
        <f t="shared" ca="1" si="141"/>
        <v>-6.3161106712367803E-3</v>
      </c>
    </row>
    <row r="8795" spans="6:7" x14ac:dyDescent="0.35">
      <c r="F8795">
        <v>8790</v>
      </c>
      <c r="G8795" s="102">
        <f t="shared" ca="1" si="141"/>
        <v>-8.7289586153909901E-3</v>
      </c>
    </row>
    <row r="8796" spans="6:7" x14ac:dyDescent="0.35">
      <c r="F8796">
        <v>8791</v>
      </c>
      <c r="G8796" s="102">
        <f t="shared" ca="1" si="141"/>
        <v>-0.10170869863348636</v>
      </c>
    </row>
    <row r="8797" spans="6:7" x14ac:dyDescent="0.35">
      <c r="F8797">
        <v>8792</v>
      </c>
      <c r="G8797" s="102">
        <f t="shared" ca="1" si="141"/>
        <v>-9.300148635209414E-2</v>
      </c>
    </row>
    <row r="8798" spans="6:7" x14ac:dyDescent="0.35">
      <c r="F8798">
        <v>8793</v>
      </c>
      <c r="G8798" s="102">
        <f t="shared" ca="1" si="141"/>
        <v>-0.10769285491316989</v>
      </c>
    </row>
    <row r="8799" spans="6:7" x14ac:dyDescent="0.35">
      <c r="F8799">
        <v>8794</v>
      </c>
      <c r="G8799" s="102">
        <f t="shared" ca="1" si="141"/>
        <v>-4.0425957610360913E-2</v>
      </c>
    </row>
    <row r="8800" spans="6:7" x14ac:dyDescent="0.35">
      <c r="F8800">
        <v>8795</v>
      </c>
      <c r="G8800" s="102">
        <f t="shared" ca="1" si="141"/>
        <v>1.2737768803722651E-2</v>
      </c>
    </row>
    <row r="8801" spans="6:7" x14ac:dyDescent="0.35">
      <c r="F8801">
        <v>8796</v>
      </c>
      <c r="G8801" s="102">
        <f t="shared" ca="1" si="141"/>
        <v>-3.9693115696024531E-2</v>
      </c>
    </row>
    <row r="8802" spans="6:7" x14ac:dyDescent="0.35">
      <c r="F8802">
        <v>8797</v>
      </c>
      <c r="G8802" s="102">
        <f t="shared" ca="1" si="141"/>
        <v>-2.1568286021613033E-2</v>
      </c>
    </row>
    <row r="8803" spans="6:7" x14ac:dyDescent="0.35">
      <c r="F8803">
        <v>8798</v>
      </c>
      <c r="G8803" s="102">
        <f t="shared" ca="1" si="141"/>
        <v>1.3140079842400544E-2</v>
      </c>
    </row>
    <row r="8804" spans="6:7" x14ac:dyDescent="0.35">
      <c r="F8804">
        <v>8799</v>
      </c>
      <c r="G8804" s="102">
        <f t="shared" ca="1" si="141"/>
        <v>-1.7489283793604908E-3</v>
      </c>
    </row>
    <row r="8805" spans="6:7" x14ac:dyDescent="0.35">
      <c r="F8805">
        <v>8800</v>
      </c>
      <c r="G8805" s="102">
        <f t="shared" ca="1" si="141"/>
        <v>2.57071991433378E-2</v>
      </c>
    </row>
    <row r="8806" spans="6:7" x14ac:dyDescent="0.35">
      <c r="F8806">
        <v>8801</v>
      </c>
      <c r="G8806" s="102">
        <f t="shared" ca="1" si="141"/>
        <v>-8.2091943416210844E-2</v>
      </c>
    </row>
    <row r="8807" spans="6:7" x14ac:dyDescent="0.35">
      <c r="F8807">
        <v>8802</v>
      </c>
      <c r="G8807" s="102">
        <f t="shared" ca="1" si="141"/>
        <v>7.0215749397807038E-3</v>
      </c>
    </row>
    <row r="8808" spans="6:7" x14ac:dyDescent="0.35">
      <c r="F8808">
        <v>8803</v>
      </c>
      <c r="G8808" s="102">
        <f t="shared" ca="1" si="141"/>
        <v>-1.1443375212538843E-2</v>
      </c>
    </row>
    <row r="8809" spans="6:7" x14ac:dyDescent="0.35">
      <c r="F8809">
        <v>8804</v>
      </c>
      <c r="G8809" s="102">
        <f t="shared" ca="1" si="141"/>
        <v>1.5941860387194487E-3</v>
      </c>
    </row>
    <row r="8810" spans="6:7" x14ac:dyDescent="0.35">
      <c r="F8810">
        <v>8805</v>
      </c>
      <c r="G8810" s="102">
        <f t="shared" ca="1" si="141"/>
        <v>-3.005511546218325E-2</v>
      </c>
    </row>
    <row r="8811" spans="6:7" x14ac:dyDescent="0.35">
      <c r="F8811">
        <v>8806</v>
      </c>
      <c r="G8811" s="102">
        <f t="shared" ca="1" si="141"/>
        <v>5.900196852968638E-2</v>
      </c>
    </row>
    <row r="8812" spans="6:7" x14ac:dyDescent="0.35">
      <c r="F8812">
        <v>8807</v>
      </c>
      <c r="G8812" s="102">
        <f t="shared" ca="1" si="141"/>
        <v>-3.0156525169852781E-2</v>
      </c>
    </row>
    <row r="8813" spans="6:7" x14ac:dyDescent="0.35">
      <c r="F8813">
        <v>8808</v>
      </c>
      <c r="G8813" s="102">
        <f t="shared" ca="1" si="141"/>
        <v>1.6679086151170919E-4</v>
      </c>
    </row>
    <row r="8814" spans="6:7" x14ac:dyDescent="0.35">
      <c r="F8814">
        <v>8809</v>
      </c>
      <c r="G8814" s="102">
        <f t="shared" ca="1" si="141"/>
        <v>3.2276203041353493E-2</v>
      </c>
    </row>
    <row r="8815" spans="6:7" x14ac:dyDescent="0.35">
      <c r="F8815">
        <v>8810</v>
      </c>
      <c r="G8815" s="102">
        <f t="shared" ca="1" si="141"/>
        <v>-6.8651761383737589E-2</v>
      </c>
    </row>
    <row r="8816" spans="6:7" x14ac:dyDescent="0.35">
      <c r="F8816">
        <v>8811</v>
      </c>
      <c r="G8816" s="102">
        <f t="shared" ca="1" si="141"/>
        <v>2.6977921722649453E-2</v>
      </c>
    </row>
    <row r="8817" spans="6:7" x14ac:dyDescent="0.35">
      <c r="F8817">
        <v>8812</v>
      </c>
      <c r="G8817" s="102">
        <f t="shared" ca="1" si="141"/>
        <v>-6.3924266150184955E-2</v>
      </c>
    </row>
    <row r="8818" spans="6:7" x14ac:dyDescent="0.35">
      <c r="F8818">
        <v>8813</v>
      </c>
      <c r="G8818" s="102">
        <f t="shared" ca="1" si="141"/>
        <v>9.3893479016340903E-2</v>
      </c>
    </row>
    <row r="8819" spans="6:7" x14ac:dyDescent="0.35">
      <c r="F8819">
        <v>8814</v>
      </c>
      <c r="G8819" s="102">
        <f t="shared" ca="1" si="141"/>
        <v>0.13749052387476704</v>
      </c>
    </row>
    <row r="8820" spans="6:7" x14ac:dyDescent="0.35">
      <c r="F8820">
        <v>8815</v>
      </c>
      <c r="G8820" s="102">
        <f t="shared" ca="1" si="141"/>
        <v>3.2607799049665671E-3</v>
      </c>
    </row>
    <row r="8821" spans="6:7" x14ac:dyDescent="0.35">
      <c r="F8821">
        <v>8816</v>
      </c>
      <c r="G8821" s="102">
        <f t="shared" ca="1" si="141"/>
        <v>5.0781438081909769E-2</v>
      </c>
    </row>
    <row r="8822" spans="6:7" x14ac:dyDescent="0.35">
      <c r="F8822">
        <v>8817</v>
      </c>
      <c r="G8822" s="102">
        <f t="shared" ca="1" si="141"/>
        <v>6.1598833831630773E-3</v>
      </c>
    </row>
    <row r="8823" spans="6:7" x14ac:dyDescent="0.35">
      <c r="F8823">
        <v>8818</v>
      </c>
      <c r="G8823" s="102">
        <f t="shared" ca="1" si="141"/>
        <v>5.796901982258458E-2</v>
      </c>
    </row>
    <row r="8824" spans="6:7" x14ac:dyDescent="0.35">
      <c r="F8824">
        <v>8819</v>
      </c>
      <c r="G8824" s="102">
        <f t="shared" ca="1" si="141"/>
        <v>2.6935117962856633E-2</v>
      </c>
    </row>
    <row r="8825" spans="6:7" x14ac:dyDescent="0.35">
      <c r="F8825">
        <v>8820</v>
      </c>
      <c r="G8825" s="102">
        <f t="shared" ca="1" si="141"/>
        <v>8.7751886528840528E-2</v>
      </c>
    </row>
    <row r="8826" spans="6:7" x14ac:dyDescent="0.35">
      <c r="F8826">
        <v>8821</v>
      </c>
      <c r="G8826" s="102">
        <f t="shared" ca="1" si="141"/>
        <v>-9.6087217646829925E-2</v>
      </c>
    </row>
    <row r="8827" spans="6:7" x14ac:dyDescent="0.35">
      <c r="F8827">
        <v>8822</v>
      </c>
      <c r="G8827" s="102">
        <f t="shared" ca="1" si="141"/>
        <v>-5.9748562285002124E-2</v>
      </c>
    </row>
    <row r="8828" spans="6:7" x14ac:dyDescent="0.35">
      <c r="F8828">
        <v>8823</v>
      </c>
      <c r="G8828" s="102">
        <f t="shared" ca="1" si="141"/>
        <v>1.8690786635284347E-2</v>
      </c>
    </row>
    <row r="8829" spans="6:7" x14ac:dyDescent="0.35">
      <c r="F8829">
        <v>8824</v>
      </c>
      <c r="G8829" s="102">
        <f t="shared" ca="1" si="141"/>
        <v>-9.4270953214899408E-2</v>
      </c>
    </row>
    <row r="8830" spans="6:7" x14ac:dyDescent="0.35">
      <c r="F8830">
        <v>8825</v>
      </c>
      <c r="G8830" s="102">
        <f t="shared" ca="1" si="141"/>
        <v>-0.10925547687325741</v>
      </c>
    </row>
    <row r="8831" spans="6:7" x14ac:dyDescent="0.35">
      <c r="F8831">
        <v>8826</v>
      </c>
      <c r="G8831" s="102">
        <f t="shared" ca="1" si="141"/>
        <v>-2.6313213481953947E-3</v>
      </c>
    </row>
    <row r="8832" spans="6:7" x14ac:dyDescent="0.35">
      <c r="F8832">
        <v>8827</v>
      </c>
      <c r="G8832" s="102">
        <f t="shared" ca="1" si="141"/>
        <v>6.9216179038210007E-2</v>
      </c>
    </row>
    <row r="8833" spans="6:7" x14ac:dyDescent="0.35">
      <c r="F8833">
        <v>8828</v>
      </c>
      <c r="G8833" s="102">
        <f t="shared" ca="1" si="141"/>
        <v>-9.7499929404230662E-2</v>
      </c>
    </row>
    <row r="8834" spans="6:7" x14ac:dyDescent="0.35">
      <c r="F8834">
        <v>8829</v>
      </c>
      <c r="G8834" s="102">
        <f t="shared" ca="1" si="141"/>
        <v>4.4097533126128019E-2</v>
      </c>
    </row>
    <row r="8835" spans="6:7" x14ac:dyDescent="0.35">
      <c r="F8835">
        <v>8830</v>
      </c>
      <c r="G8835" s="102">
        <f t="shared" ca="1" si="141"/>
        <v>-0.1535503475042711</v>
      </c>
    </row>
    <row r="8836" spans="6:7" x14ac:dyDescent="0.35">
      <c r="F8836">
        <v>8831</v>
      </c>
      <c r="G8836" s="102">
        <f t="shared" ca="1" si="141"/>
        <v>-2.9327827615929013E-2</v>
      </c>
    </row>
    <row r="8837" spans="6:7" x14ac:dyDescent="0.35">
      <c r="F8837">
        <v>8832</v>
      </c>
      <c r="G8837" s="102">
        <f t="shared" ca="1" si="141"/>
        <v>-7.9552771529226539E-3</v>
      </c>
    </row>
    <row r="8838" spans="6:7" x14ac:dyDescent="0.35">
      <c r="F8838">
        <v>8833</v>
      </c>
      <c r="G8838" s="102">
        <f t="shared" ca="1" si="141"/>
        <v>-7.0594147884233308E-2</v>
      </c>
    </row>
    <row r="8839" spans="6:7" x14ac:dyDescent="0.35">
      <c r="F8839">
        <v>8834</v>
      </c>
      <c r="G8839" s="102">
        <f t="shared" ref="G8839:G8902" ca="1" si="142">_xlfn.NORM.INV(RAND(),M$9,M$10)</f>
        <v>2.2345290991144925E-3</v>
      </c>
    </row>
    <row r="8840" spans="6:7" x14ac:dyDescent="0.35">
      <c r="F8840">
        <v>8835</v>
      </c>
      <c r="G8840" s="102">
        <f t="shared" ca="1" si="142"/>
        <v>-3.9099944802286749E-2</v>
      </c>
    </row>
    <row r="8841" spans="6:7" x14ac:dyDescent="0.35">
      <c r="F8841">
        <v>8836</v>
      </c>
      <c r="G8841" s="102">
        <f t="shared" ca="1" si="142"/>
        <v>-1.5291658285216253E-2</v>
      </c>
    </row>
    <row r="8842" spans="6:7" x14ac:dyDescent="0.35">
      <c r="F8842">
        <v>8837</v>
      </c>
      <c r="G8842" s="102">
        <f t="shared" ca="1" si="142"/>
        <v>8.3657597621064117E-2</v>
      </c>
    </row>
    <row r="8843" spans="6:7" x14ac:dyDescent="0.35">
      <c r="F8843">
        <v>8838</v>
      </c>
      <c r="G8843" s="102">
        <f t="shared" ca="1" si="142"/>
        <v>5.7838370535065547E-2</v>
      </c>
    </row>
    <row r="8844" spans="6:7" x14ac:dyDescent="0.35">
      <c r="F8844">
        <v>8839</v>
      </c>
      <c r="G8844" s="102">
        <f t="shared" ca="1" si="142"/>
        <v>3.2252736912513791E-2</v>
      </c>
    </row>
    <row r="8845" spans="6:7" x14ac:dyDescent="0.35">
      <c r="F8845">
        <v>8840</v>
      </c>
      <c r="G8845" s="102">
        <f t="shared" ca="1" si="142"/>
        <v>-3.7015418224088686E-2</v>
      </c>
    </row>
    <row r="8846" spans="6:7" x14ac:dyDescent="0.35">
      <c r="F8846">
        <v>8841</v>
      </c>
      <c r="G8846" s="102">
        <f t="shared" ca="1" si="142"/>
        <v>-4.6789112110014394E-2</v>
      </c>
    </row>
    <row r="8847" spans="6:7" x14ac:dyDescent="0.35">
      <c r="F8847">
        <v>8842</v>
      </c>
      <c r="G8847" s="102">
        <f t="shared" ca="1" si="142"/>
        <v>6.1115260957403356E-2</v>
      </c>
    </row>
    <row r="8848" spans="6:7" x14ac:dyDescent="0.35">
      <c r="F8848">
        <v>8843</v>
      </c>
      <c r="G8848" s="102">
        <f t="shared" ca="1" si="142"/>
        <v>4.6400154027579285E-2</v>
      </c>
    </row>
    <row r="8849" spans="6:7" x14ac:dyDescent="0.35">
      <c r="F8849">
        <v>8844</v>
      </c>
      <c r="G8849" s="102">
        <f t="shared" ca="1" si="142"/>
        <v>-6.5916048754798076E-2</v>
      </c>
    </row>
    <row r="8850" spans="6:7" x14ac:dyDescent="0.35">
      <c r="F8850">
        <v>8845</v>
      </c>
      <c r="G8850" s="102">
        <f t="shared" ca="1" si="142"/>
        <v>-3.4992645154104024E-2</v>
      </c>
    </row>
    <row r="8851" spans="6:7" x14ac:dyDescent="0.35">
      <c r="F8851">
        <v>8846</v>
      </c>
      <c r="G8851" s="102">
        <f t="shared" ca="1" si="142"/>
        <v>3.1143659126705216E-2</v>
      </c>
    </row>
    <row r="8852" spans="6:7" x14ac:dyDescent="0.35">
      <c r="F8852">
        <v>8847</v>
      </c>
      <c r="G8852" s="102">
        <f t="shared" ca="1" si="142"/>
        <v>0.12800106154068208</v>
      </c>
    </row>
    <row r="8853" spans="6:7" x14ac:dyDescent="0.35">
      <c r="F8853">
        <v>8848</v>
      </c>
      <c r="G8853" s="102">
        <f t="shared" ca="1" si="142"/>
        <v>-4.9251023326736892E-2</v>
      </c>
    </row>
    <row r="8854" spans="6:7" x14ac:dyDescent="0.35">
      <c r="F8854">
        <v>8849</v>
      </c>
      <c r="G8854" s="102">
        <f t="shared" ca="1" si="142"/>
        <v>1.7279956442711818E-2</v>
      </c>
    </row>
    <row r="8855" spans="6:7" x14ac:dyDescent="0.35">
      <c r="F8855">
        <v>8850</v>
      </c>
      <c r="G8855" s="102">
        <f t="shared" ca="1" si="142"/>
        <v>7.3095507280298774E-2</v>
      </c>
    </row>
    <row r="8856" spans="6:7" x14ac:dyDescent="0.35">
      <c r="F8856">
        <v>8851</v>
      </c>
      <c r="G8856" s="102">
        <f t="shared" ca="1" si="142"/>
        <v>-4.3673306412974316E-2</v>
      </c>
    </row>
    <row r="8857" spans="6:7" x14ac:dyDescent="0.35">
      <c r="F8857">
        <v>8852</v>
      </c>
      <c r="G8857" s="102">
        <f t="shared" ca="1" si="142"/>
        <v>-1.3019031887084731E-2</v>
      </c>
    </row>
    <row r="8858" spans="6:7" x14ac:dyDescent="0.35">
      <c r="F8858">
        <v>8853</v>
      </c>
      <c r="G8858" s="102">
        <f t="shared" ca="1" si="142"/>
        <v>-2.1960599397791294E-2</v>
      </c>
    </row>
    <row r="8859" spans="6:7" x14ac:dyDescent="0.35">
      <c r="F8859">
        <v>8854</v>
      </c>
      <c r="G8859" s="102">
        <f t="shared" ca="1" si="142"/>
        <v>3.1061420155265949E-2</v>
      </c>
    </row>
    <row r="8860" spans="6:7" x14ac:dyDescent="0.35">
      <c r="F8860">
        <v>8855</v>
      </c>
      <c r="G8860" s="102">
        <f t="shared" ca="1" si="142"/>
        <v>-4.168869204492992E-2</v>
      </c>
    </row>
    <row r="8861" spans="6:7" x14ac:dyDescent="0.35">
      <c r="F8861">
        <v>8856</v>
      </c>
      <c r="G8861" s="102">
        <f t="shared" ca="1" si="142"/>
        <v>2.1593648358917403E-2</v>
      </c>
    </row>
    <row r="8862" spans="6:7" x14ac:dyDescent="0.35">
      <c r="F8862">
        <v>8857</v>
      </c>
      <c r="G8862" s="102">
        <f t="shared" ca="1" si="142"/>
        <v>-1.3558924318031584E-2</v>
      </c>
    </row>
    <row r="8863" spans="6:7" x14ac:dyDescent="0.35">
      <c r="F8863">
        <v>8858</v>
      </c>
      <c r="G8863" s="102">
        <f t="shared" ca="1" si="142"/>
        <v>2.594899104093034E-2</v>
      </c>
    </row>
    <row r="8864" spans="6:7" x14ac:dyDescent="0.35">
      <c r="F8864">
        <v>8859</v>
      </c>
      <c r="G8864" s="102">
        <f t="shared" ca="1" si="142"/>
        <v>-0.11587368480876588</v>
      </c>
    </row>
    <row r="8865" spans="6:7" x14ac:dyDescent="0.35">
      <c r="F8865">
        <v>8860</v>
      </c>
      <c r="G8865" s="102">
        <f t="shared" ca="1" si="142"/>
        <v>4.7811525851175901E-2</v>
      </c>
    </row>
    <row r="8866" spans="6:7" x14ac:dyDescent="0.35">
      <c r="F8866">
        <v>8861</v>
      </c>
      <c r="G8866" s="102">
        <f t="shared" ca="1" si="142"/>
        <v>8.4099386904100085E-2</v>
      </c>
    </row>
    <row r="8867" spans="6:7" x14ac:dyDescent="0.35">
      <c r="F8867">
        <v>8862</v>
      </c>
      <c r="G8867" s="102">
        <f t="shared" ca="1" si="142"/>
        <v>4.3864811879919738E-2</v>
      </c>
    </row>
    <row r="8868" spans="6:7" x14ac:dyDescent="0.35">
      <c r="F8868">
        <v>8863</v>
      </c>
      <c r="G8868" s="102">
        <f t="shared" ca="1" si="142"/>
        <v>-7.4488661217620017E-2</v>
      </c>
    </row>
    <row r="8869" spans="6:7" x14ac:dyDescent="0.35">
      <c r="F8869">
        <v>8864</v>
      </c>
      <c r="G8869" s="102">
        <f t="shared" ca="1" si="142"/>
        <v>2.1999215606067372E-2</v>
      </c>
    </row>
    <row r="8870" spans="6:7" x14ac:dyDescent="0.35">
      <c r="F8870">
        <v>8865</v>
      </c>
      <c r="G8870" s="102">
        <f t="shared" ca="1" si="142"/>
        <v>-6.1455660662166109E-2</v>
      </c>
    </row>
    <row r="8871" spans="6:7" x14ac:dyDescent="0.35">
      <c r="F8871">
        <v>8866</v>
      </c>
      <c r="G8871" s="102">
        <f t="shared" ca="1" si="142"/>
        <v>-4.4995137108350292E-2</v>
      </c>
    </row>
    <row r="8872" spans="6:7" x14ac:dyDescent="0.35">
      <c r="F8872">
        <v>8867</v>
      </c>
      <c r="G8872" s="102">
        <f t="shared" ca="1" si="142"/>
        <v>-6.8835515074406869E-2</v>
      </c>
    </row>
    <row r="8873" spans="6:7" x14ac:dyDescent="0.35">
      <c r="F8873">
        <v>8868</v>
      </c>
      <c r="G8873" s="102">
        <f t="shared" ca="1" si="142"/>
        <v>3.464177262731221E-3</v>
      </c>
    </row>
    <row r="8874" spans="6:7" x14ac:dyDescent="0.35">
      <c r="F8874">
        <v>8869</v>
      </c>
      <c r="G8874" s="102">
        <f t="shared" ca="1" si="142"/>
        <v>8.7754213470142544E-3</v>
      </c>
    </row>
    <row r="8875" spans="6:7" x14ac:dyDescent="0.35">
      <c r="F8875">
        <v>8870</v>
      </c>
      <c r="G8875" s="102">
        <f t="shared" ca="1" si="142"/>
        <v>-6.2109790112510707E-2</v>
      </c>
    </row>
    <row r="8876" spans="6:7" x14ac:dyDescent="0.35">
      <c r="F8876">
        <v>8871</v>
      </c>
      <c r="G8876" s="102">
        <f t="shared" ca="1" si="142"/>
        <v>1.502711641245796E-2</v>
      </c>
    </row>
    <row r="8877" spans="6:7" x14ac:dyDescent="0.35">
      <c r="F8877">
        <v>8872</v>
      </c>
      <c r="G8877" s="102">
        <f t="shared" ca="1" si="142"/>
        <v>7.8232185270117049E-2</v>
      </c>
    </row>
    <row r="8878" spans="6:7" x14ac:dyDescent="0.35">
      <c r="F8878">
        <v>8873</v>
      </c>
      <c r="G8878" s="102">
        <f t="shared" ca="1" si="142"/>
        <v>0.17473115421574453</v>
      </c>
    </row>
    <row r="8879" spans="6:7" x14ac:dyDescent="0.35">
      <c r="F8879">
        <v>8874</v>
      </c>
      <c r="G8879" s="102">
        <f t="shared" ca="1" si="142"/>
        <v>-2.1885797349938244E-2</v>
      </c>
    </row>
    <row r="8880" spans="6:7" x14ac:dyDescent="0.35">
      <c r="F8880">
        <v>8875</v>
      </c>
      <c r="G8880" s="102">
        <f t="shared" ca="1" si="142"/>
        <v>1.1096324521488867E-2</v>
      </c>
    </row>
    <row r="8881" spans="6:7" x14ac:dyDescent="0.35">
      <c r="F8881">
        <v>8876</v>
      </c>
      <c r="G8881" s="102">
        <f t="shared" ca="1" si="142"/>
        <v>4.8236293481133577E-2</v>
      </c>
    </row>
    <row r="8882" spans="6:7" x14ac:dyDescent="0.35">
      <c r="F8882">
        <v>8877</v>
      </c>
      <c r="G8882" s="102">
        <f t="shared" ca="1" si="142"/>
        <v>-1.0026476953618621E-2</v>
      </c>
    </row>
    <row r="8883" spans="6:7" x14ac:dyDescent="0.35">
      <c r="F8883">
        <v>8878</v>
      </c>
      <c r="G8883" s="102">
        <f t="shared" ca="1" si="142"/>
        <v>8.6122238064496717E-2</v>
      </c>
    </row>
    <row r="8884" spans="6:7" x14ac:dyDescent="0.35">
      <c r="F8884">
        <v>8879</v>
      </c>
      <c r="G8884" s="102">
        <f t="shared" ca="1" si="142"/>
        <v>8.2308967847872061E-2</v>
      </c>
    </row>
    <row r="8885" spans="6:7" x14ac:dyDescent="0.35">
      <c r="F8885">
        <v>8880</v>
      </c>
      <c r="G8885" s="102">
        <f t="shared" ca="1" si="142"/>
        <v>7.0109224206382336E-3</v>
      </c>
    </row>
    <row r="8886" spans="6:7" x14ac:dyDescent="0.35">
      <c r="F8886">
        <v>8881</v>
      </c>
      <c r="G8886" s="102">
        <f t="shared" ca="1" si="142"/>
        <v>-2.596950444250528E-2</v>
      </c>
    </row>
    <row r="8887" spans="6:7" x14ac:dyDescent="0.35">
      <c r="F8887">
        <v>8882</v>
      </c>
      <c r="G8887" s="102">
        <f t="shared" ca="1" si="142"/>
        <v>-5.3683909569235161E-2</v>
      </c>
    </row>
    <row r="8888" spans="6:7" x14ac:dyDescent="0.35">
      <c r="F8888">
        <v>8883</v>
      </c>
      <c r="G8888" s="102">
        <f t="shared" ca="1" si="142"/>
        <v>-2.278358509504989E-2</v>
      </c>
    </row>
    <row r="8889" spans="6:7" x14ac:dyDescent="0.35">
      <c r="F8889">
        <v>8884</v>
      </c>
      <c r="G8889" s="102">
        <f t="shared" ca="1" si="142"/>
        <v>3.3678463233504458E-2</v>
      </c>
    </row>
    <row r="8890" spans="6:7" x14ac:dyDescent="0.35">
      <c r="F8890">
        <v>8885</v>
      </c>
      <c r="G8890" s="102">
        <f t="shared" ca="1" si="142"/>
        <v>5.0760044424397632E-2</v>
      </c>
    </row>
    <row r="8891" spans="6:7" x14ac:dyDescent="0.35">
      <c r="F8891">
        <v>8886</v>
      </c>
      <c r="G8891" s="102">
        <f t="shared" ca="1" si="142"/>
        <v>3.1834109323061299E-2</v>
      </c>
    </row>
    <row r="8892" spans="6:7" x14ac:dyDescent="0.35">
      <c r="F8892">
        <v>8887</v>
      </c>
      <c r="G8892" s="102">
        <f t="shared" ca="1" si="142"/>
        <v>4.0692455336742116E-3</v>
      </c>
    </row>
    <row r="8893" spans="6:7" x14ac:dyDescent="0.35">
      <c r="F8893">
        <v>8888</v>
      </c>
      <c r="G8893" s="102">
        <f t="shared" ca="1" si="142"/>
        <v>-5.4009297110669721E-2</v>
      </c>
    </row>
    <row r="8894" spans="6:7" x14ac:dyDescent="0.35">
      <c r="F8894">
        <v>8889</v>
      </c>
      <c r="G8894" s="102">
        <f t="shared" ca="1" si="142"/>
        <v>-9.4564190885110144E-2</v>
      </c>
    </row>
    <row r="8895" spans="6:7" x14ac:dyDescent="0.35">
      <c r="F8895">
        <v>8890</v>
      </c>
      <c r="G8895" s="102">
        <f t="shared" ca="1" si="142"/>
        <v>4.3643674729532539E-2</v>
      </c>
    </row>
    <row r="8896" spans="6:7" x14ac:dyDescent="0.35">
      <c r="F8896">
        <v>8891</v>
      </c>
      <c r="G8896" s="102">
        <f t="shared" ca="1" si="142"/>
        <v>-3.113342170012515E-2</v>
      </c>
    </row>
    <row r="8897" spans="6:7" x14ac:dyDescent="0.35">
      <c r="F8897">
        <v>8892</v>
      </c>
      <c r="G8897" s="102">
        <f t="shared" ca="1" si="142"/>
        <v>-7.3978895096939931E-2</v>
      </c>
    </row>
    <row r="8898" spans="6:7" x14ac:dyDescent="0.35">
      <c r="F8898">
        <v>8893</v>
      </c>
      <c r="G8898" s="102">
        <f t="shared" ca="1" si="142"/>
        <v>7.742988209967298E-3</v>
      </c>
    </row>
    <row r="8899" spans="6:7" x14ac:dyDescent="0.35">
      <c r="F8899">
        <v>8894</v>
      </c>
      <c r="G8899" s="102">
        <f t="shared" ca="1" si="142"/>
        <v>-3.5512005309939337E-3</v>
      </c>
    </row>
    <row r="8900" spans="6:7" x14ac:dyDescent="0.35">
      <c r="F8900">
        <v>8895</v>
      </c>
      <c r="G8900" s="102">
        <f t="shared" ca="1" si="142"/>
        <v>2.3945005222788154E-2</v>
      </c>
    </row>
    <row r="8901" spans="6:7" x14ac:dyDescent="0.35">
      <c r="F8901">
        <v>8896</v>
      </c>
      <c r="G8901" s="102">
        <f t="shared" ca="1" si="142"/>
        <v>-2.3728260410919789E-2</v>
      </c>
    </row>
    <row r="8902" spans="6:7" x14ac:dyDescent="0.35">
      <c r="F8902">
        <v>8897</v>
      </c>
      <c r="G8902" s="102">
        <f t="shared" ca="1" si="142"/>
        <v>-4.9922370242049652E-2</v>
      </c>
    </row>
    <row r="8903" spans="6:7" x14ac:dyDescent="0.35">
      <c r="F8903">
        <v>8898</v>
      </c>
      <c r="G8903" s="102">
        <f t="shared" ref="G8903:G8966" ca="1" si="143">_xlfn.NORM.INV(RAND(),M$9,M$10)</f>
        <v>1.3077222581716546E-2</v>
      </c>
    </row>
    <row r="8904" spans="6:7" x14ac:dyDescent="0.35">
      <c r="F8904">
        <v>8899</v>
      </c>
      <c r="G8904" s="102">
        <f t="shared" ca="1" si="143"/>
        <v>-6.5533000034645105E-3</v>
      </c>
    </row>
    <row r="8905" spans="6:7" x14ac:dyDescent="0.35">
      <c r="F8905">
        <v>8900</v>
      </c>
      <c r="G8905" s="102">
        <f t="shared" ca="1" si="143"/>
        <v>-1.6320128965492905E-3</v>
      </c>
    </row>
    <row r="8906" spans="6:7" x14ac:dyDescent="0.35">
      <c r="F8906">
        <v>8901</v>
      </c>
      <c r="G8906" s="102">
        <f t="shared" ca="1" si="143"/>
        <v>-2.7664409881164167E-2</v>
      </c>
    </row>
    <row r="8907" spans="6:7" x14ac:dyDescent="0.35">
      <c r="F8907">
        <v>8902</v>
      </c>
      <c r="G8907" s="102">
        <f t="shared" ca="1" si="143"/>
        <v>-2.1062974048102506E-2</v>
      </c>
    </row>
    <row r="8908" spans="6:7" x14ac:dyDescent="0.35">
      <c r="F8908">
        <v>8903</v>
      </c>
      <c r="G8908" s="102">
        <f t="shared" ca="1" si="143"/>
        <v>1.049019136312339E-3</v>
      </c>
    </row>
    <row r="8909" spans="6:7" x14ac:dyDescent="0.35">
      <c r="F8909">
        <v>8904</v>
      </c>
      <c r="G8909" s="102">
        <f t="shared" ca="1" si="143"/>
        <v>-3.0649821692726689E-2</v>
      </c>
    </row>
    <row r="8910" spans="6:7" x14ac:dyDescent="0.35">
      <c r="F8910">
        <v>8905</v>
      </c>
      <c r="G8910" s="102">
        <f t="shared" ca="1" si="143"/>
        <v>0.1225487010264414</v>
      </c>
    </row>
    <row r="8911" spans="6:7" x14ac:dyDescent="0.35">
      <c r="F8911">
        <v>8906</v>
      </c>
      <c r="G8911" s="102">
        <f t="shared" ca="1" si="143"/>
        <v>-6.9485131773016823E-2</v>
      </c>
    </row>
    <row r="8912" spans="6:7" x14ac:dyDescent="0.35">
      <c r="F8912">
        <v>8907</v>
      </c>
      <c r="G8912" s="102">
        <f t="shared" ca="1" si="143"/>
        <v>-7.9046027407654054E-2</v>
      </c>
    </row>
    <row r="8913" spans="6:7" x14ac:dyDescent="0.35">
      <c r="F8913">
        <v>8908</v>
      </c>
      <c r="G8913" s="102">
        <f t="shared" ca="1" si="143"/>
        <v>3.5673928420116158E-2</v>
      </c>
    </row>
    <row r="8914" spans="6:7" x14ac:dyDescent="0.35">
      <c r="F8914">
        <v>8909</v>
      </c>
      <c r="G8914" s="102">
        <f t="shared" ca="1" si="143"/>
        <v>4.9777372681578655E-2</v>
      </c>
    </row>
    <row r="8915" spans="6:7" x14ac:dyDescent="0.35">
      <c r="F8915">
        <v>8910</v>
      </c>
      <c r="G8915" s="102">
        <f t="shared" ca="1" si="143"/>
        <v>4.7255538126389871E-2</v>
      </c>
    </row>
    <row r="8916" spans="6:7" x14ac:dyDescent="0.35">
      <c r="F8916">
        <v>8911</v>
      </c>
      <c r="G8916" s="102">
        <f t="shared" ca="1" si="143"/>
        <v>1.8820834035602984E-2</v>
      </c>
    </row>
    <row r="8917" spans="6:7" x14ac:dyDescent="0.35">
      <c r="F8917">
        <v>8912</v>
      </c>
      <c r="G8917" s="102">
        <f t="shared" ca="1" si="143"/>
        <v>9.9928267525656311E-4</v>
      </c>
    </row>
    <row r="8918" spans="6:7" x14ac:dyDescent="0.35">
      <c r="F8918">
        <v>8913</v>
      </c>
      <c r="G8918" s="102">
        <f t="shared" ca="1" si="143"/>
        <v>9.5538765366719614E-3</v>
      </c>
    </row>
    <row r="8919" spans="6:7" x14ac:dyDescent="0.35">
      <c r="F8919">
        <v>8914</v>
      </c>
      <c r="G8919" s="102">
        <f t="shared" ca="1" si="143"/>
        <v>3.7227785924209944E-2</v>
      </c>
    </row>
    <row r="8920" spans="6:7" x14ac:dyDescent="0.35">
      <c r="F8920">
        <v>8915</v>
      </c>
      <c r="G8920" s="102">
        <f t="shared" ca="1" si="143"/>
        <v>-3.8488068185039234E-2</v>
      </c>
    </row>
    <row r="8921" spans="6:7" x14ac:dyDescent="0.35">
      <c r="F8921">
        <v>8916</v>
      </c>
      <c r="G8921" s="102">
        <f t="shared" ca="1" si="143"/>
        <v>-8.569954165646608E-2</v>
      </c>
    </row>
    <row r="8922" spans="6:7" x14ac:dyDescent="0.35">
      <c r="F8922">
        <v>8917</v>
      </c>
      <c r="G8922" s="102">
        <f t="shared" ca="1" si="143"/>
        <v>-9.822311629468726E-2</v>
      </c>
    </row>
    <row r="8923" spans="6:7" x14ac:dyDescent="0.35">
      <c r="F8923">
        <v>8918</v>
      </c>
      <c r="G8923" s="102">
        <f t="shared" ca="1" si="143"/>
        <v>-3.9944668028643479E-2</v>
      </c>
    </row>
    <row r="8924" spans="6:7" x14ac:dyDescent="0.35">
      <c r="F8924">
        <v>8919</v>
      </c>
      <c r="G8924" s="102">
        <f t="shared" ca="1" si="143"/>
        <v>-3.4388304277708392E-2</v>
      </c>
    </row>
    <row r="8925" spans="6:7" x14ac:dyDescent="0.35">
      <c r="F8925">
        <v>8920</v>
      </c>
      <c r="G8925" s="102">
        <f t="shared" ca="1" si="143"/>
        <v>-5.6887935954762839E-2</v>
      </c>
    </row>
    <row r="8926" spans="6:7" x14ac:dyDescent="0.35">
      <c r="F8926">
        <v>8921</v>
      </c>
      <c r="G8926" s="102">
        <f t="shared" ca="1" si="143"/>
        <v>-4.6678227686285087E-2</v>
      </c>
    </row>
    <row r="8927" spans="6:7" x14ac:dyDescent="0.35">
      <c r="F8927">
        <v>8922</v>
      </c>
      <c r="G8927" s="102">
        <f t="shared" ca="1" si="143"/>
        <v>-1.1659653731784753E-2</v>
      </c>
    </row>
    <row r="8928" spans="6:7" x14ac:dyDescent="0.35">
      <c r="F8928">
        <v>8923</v>
      </c>
      <c r="G8928" s="102">
        <f t="shared" ca="1" si="143"/>
        <v>-6.9907425154450663E-3</v>
      </c>
    </row>
    <row r="8929" spans="6:7" x14ac:dyDescent="0.35">
      <c r="F8929">
        <v>8924</v>
      </c>
      <c r="G8929" s="102">
        <f t="shared" ca="1" si="143"/>
        <v>2.2945164683698081E-2</v>
      </c>
    </row>
    <row r="8930" spans="6:7" x14ac:dyDescent="0.35">
      <c r="F8930">
        <v>8925</v>
      </c>
      <c r="G8930" s="102">
        <f t="shared" ca="1" si="143"/>
        <v>-4.1931286386773852E-3</v>
      </c>
    </row>
    <row r="8931" spans="6:7" x14ac:dyDescent="0.35">
      <c r="F8931">
        <v>8926</v>
      </c>
      <c r="G8931" s="102">
        <f t="shared" ca="1" si="143"/>
        <v>9.2711366890592985E-3</v>
      </c>
    </row>
    <row r="8932" spans="6:7" x14ac:dyDescent="0.35">
      <c r="F8932">
        <v>8927</v>
      </c>
      <c r="G8932" s="102">
        <f t="shared" ca="1" si="143"/>
        <v>3.149222996231521E-2</v>
      </c>
    </row>
    <row r="8933" spans="6:7" x14ac:dyDescent="0.35">
      <c r="F8933">
        <v>8928</v>
      </c>
      <c r="G8933" s="102">
        <f t="shared" ca="1" si="143"/>
        <v>-3.7550872436142774E-2</v>
      </c>
    </row>
    <row r="8934" spans="6:7" x14ac:dyDescent="0.35">
      <c r="F8934">
        <v>8929</v>
      </c>
      <c r="G8934" s="102">
        <f t="shared" ca="1" si="143"/>
        <v>-3.908560054113841E-2</v>
      </c>
    </row>
    <row r="8935" spans="6:7" x14ac:dyDescent="0.35">
      <c r="F8935">
        <v>8930</v>
      </c>
      <c r="G8935" s="102">
        <f t="shared" ca="1" si="143"/>
        <v>-0.20647861168898565</v>
      </c>
    </row>
    <row r="8936" spans="6:7" x14ac:dyDescent="0.35">
      <c r="F8936">
        <v>8931</v>
      </c>
      <c r="G8936" s="102">
        <f t="shared" ca="1" si="143"/>
        <v>-2.3361765988868837E-2</v>
      </c>
    </row>
    <row r="8937" spans="6:7" x14ac:dyDescent="0.35">
      <c r="F8937">
        <v>8932</v>
      </c>
      <c r="G8937" s="102">
        <f t="shared" ca="1" si="143"/>
        <v>5.091904948425427E-2</v>
      </c>
    </row>
    <row r="8938" spans="6:7" x14ac:dyDescent="0.35">
      <c r="F8938">
        <v>8933</v>
      </c>
      <c r="G8938" s="102">
        <f t="shared" ca="1" si="143"/>
        <v>-4.4430751325798878E-2</v>
      </c>
    </row>
    <row r="8939" spans="6:7" x14ac:dyDescent="0.35">
      <c r="F8939">
        <v>8934</v>
      </c>
      <c r="G8939" s="102">
        <f t="shared" ca="1" si="143"/>
        <v>3.1697954014974106E-2</v>
      </c>
    </row>
    <row r="8940" spans="6:7" x14ac:dyDescent="0.35">
      <c r="F8940">
        <v>8935</v>
      </c>
      <c r="G8940" s="102">
        <f t="shared" ca="1" si="143"/>
        <v>7.1485581522134106E-2</v>
      </c>
    </row>
    <row r="8941" spans="6:7" x14ac:dyDescent="0.35">
      <c r="F8941">
        <v>8936</v>
      </c>
      <c r="G8941" s="102">
        <f t="shared" ca="1" si="143"/>
        <v>2.2331469723137744E-2</v>
      </c>
    </row>
    <row r="8942" spans="6:7" x14ac:dyDescent="0.35">
      <c r="F8942">
        <v>8937</v>
      </c>
      <c r="G8942" s="102">
        <f t="shared" ca="1" si="143"/>
        <v>-2.8560319599453644E-2</v>
      </c>
    </row>
    <row r="8943" spans="6:7" x14ac:dyDescent="0.35">
      <c r="F8943">
        <v>8938</v>
      </c>
      <c r="G8943" s="102">
        <f t="shared" ca="1" si="143"/>
        <v>-2.8199205308842172E-2</v>
      </c>
    </row>
    <row r="8944" spans="6:7" x14ac:dyDescent="0.35">
      <c r="F8944">
        <v>8939</v>
      </c>
      <c r="G8944" s="102">
        <f t="shared" ca="1" si="143"/>
        <v>6.3566548973843871E-4</v>
      </c>
    </row>
    <row r="8945" spans="6:7" x14ac:dyDescent="0.35">
      <c r="F8945">
        <v>8940</v>
      </c>
      <c r="G8945" s="102">
        <f t="shared" ca="1" si="143"/>
        <v>-6.904473244322705E-2</v>
      </c>
    </row>
    <row r="8946" spans="6:7" x14ac:dyDescent="0.35">
      <c r="F8946">
        <v>8941</v>
      </c>
      <c r="G8946" s="102">
        <f t="shared" ca="1" si="143"/>
        <v>-8.4072253419011575E-2</v>
      </c>
    </row>
    <row r="8947" spans="6:7" x14ac:dyDescent="0.35">
      <c r="F8947">
        <v>8942</v>
      </c>
      <c r="G8947" s="102">
        <f t="shared" ca="1" si="143"/>
        <v>-0.11833948086364746</v>
      </c>
    </row>
    <row r="8948" spans="6:7" x14ac:dyDescent="0.35">
      <c r="F8948">
        <v>8943</v>
      </c>
      <c r="G8948" s="102">
        <f t="shared" ca="1" si="143"/>
        <v>-7.5340276269102585E-2</v>
      </c>
    </row>
    <row r="8949" spans="6:7" x14ac:dyDescent="0.35">
      <c r="F8949">
        <v>8944</v>
      </c>
      <c r="G8949" s="102">
        <f t="shared" ca="1" si="143"/>
        <v>-2.8958633982035561E-2</v>
      </c>
    </row>
    <row r="8950" spans="6:7" x14ac:dyDescent="0.35">
      <c r="F8950">
        <v>8945</v>
      </c>
      <c r="G8950" s="102">
        <f t="shared" ca="1" si="143"/>
        <v>2.072686436756023E-2</v>
      </c>
    </row>
    <row r="8951" spans="6:7" x14ac:dyDescent="0.35">
      <c r="F8951">
        <v>8946</v>
      </c>
      <c r="G8951" s="102">
        <f t="shared" ca="1" si="143"/>
        <v>-4.1506892494908881E-2</v>
      </c>
    </row>
    <row r="8952" spans="6:7" x14ac:dyDescent="0.35">
      <c r="F8952">
        <v>8947</v>
      </c>
      <c r="G8952" s="102">
        <f t="shared" ca="1" si="143"/>
        <v>0.10591431076588083</v>
      </c>
    </row>
    <row r="8953" spans="6:7" x14ac:dyDescent="0.35">
      <c r="F8953">
        <v>8948</v>
      </c>
      <c r="G8953" s="102">
        <f t="shared" ca="1" si="143"/>
        <v>4.4538773711105782E-3</v>
      </c>
    </row>
    <row r="8954" spans="6:7" x14ac:dyDescent="0.35">
      <c r="F8954">
        <v>8949</v>
      </c>
      <c r="G8954" s="102">
        <f t="shared" ca="1" si="143"/>
        <v>3.8124836560365652E-2</v>
      </c>
    </row>
    <row r="8955" spans="6:7" x14ac:dyDescent="0.35">
      <c r="F8955">
        <v>8950</v>
      </c>
      <c r="G8955" s="102">
        <f t="shared" ca="1" si="143"/>
        <v>-4.466333001439611E-2</v>
      </c>
    </row>
    <row r="8956" spans="6:7" x14ac:dyDescent="0.35">
      <c r="F8956">
        <v>8951</v>
      </c>
      <c r="G8956" s="102">
        <f t="shared" ca="1" si="143"/>
        <v>-6.1102609671829664E-2</v>
      </c>
    </row>
    <row r="8957" spans="6:7" x14ac:dyDescent="0.35">
      <c r="F8957">
        <v>8952</v>
      </c>
      <c r="G8957" s="102">
        <f t="shared" ca="1" si="143"/>
        <v>-8.8224990659904832E-3</v>
      </c>
    </row>
    <row r="8958" spans="6:7" x14ac:dyDescent="0.35">
      <c r="F8958">
        <v>8953</v>
      </c>
      <c r="G8958" s="102">
        <f t="shared" ca="1" si="143"/>
        <v>0.11695461178393363</v>
      </c>
    </row>
    <row r="8959" spans="6:7" x14ac:dyDescent="0.35">
      <c r="F8959">
        <v>8954</v>
      </c>
      <c r="G8959" s="102">
        <f t="shared" ca="1" si="143"/>
        <v>-2.850169046286756E-2</v>
      </c>
    </row>
    <row r="8960" spans="6:7" x14ac:dyDescent="0.35">
      <c r="F8960">
        <v>8955</v>
      </c>
      <c r="G8960" s="102">
        <f t="shared" ca="1" si="143"/>
        <v>-7.3500401634853968E-2</v>
      </c>
    </row>
    <row r="8961" spans="6:7" x14ac:dyDescent="0.35">
      <c r="F8961">
        <v>8956</v>
      </c>
      <c r="G8961" s="102">
        <f t="shared" ca="1" si="143"/>
        <v>7.58649287149184E-2</v>
      </c>
    </row>
    <row r="8962" spans="6:7" x14ac:dyDescent="0.35">
      <c r="F8962">
        <v>8957</v>
      </c>
      <c r="G8962" s="102">
        <f t="shared" ca="1" si="143"/>
        <v>6.4736711449984399E-2</v>
      </c>
    </row>
    <row r="8963" spans="6:7" x14ac:dyDescent="0.35">
      <c r="F8963">
        <v>8958</v>
      </c>
      <c r="G8963" s="102">
        <f t="shared" ca="1" si="143"/>
        <v>-3.1117117926723954E-2</v>
      </c>
    </row>
    <row r="8964" spans="6:7" x14ac:dyDescent="0.35">
      <c r="F8964">
        <v>8959</v>
      </c>
      <c r="G8964" s="102">
        <f t="shared" ca="1" si="143"/>
        <v>-3.4094541106188474E-2</v>
      </c>
    </row>
    <row r="8965" spans="6:7" x14ac:dyDescent="0.35">
      <c r="F8965">
        <v>8960</v>
      </c>
      <c r="G8965" s="102">
        <f t="shared" ca="1" si="143"/>
        <v>-3.4880665835974919E-2</v>
      </c>
    </row>
    <row r="8966" spans="6:7" x14ac:dyDescent="0.35">
      <c r="F8966">
        <v>8961</v>
      </c>
      <c r="G8966" s="102">
        <f t="shared" ca="1" si="143"/>
        <v>1.1290582401638827E-2</v>
      </c>
    </row>
    <row r="8967" spans="6:7" x14ac:dyDescent="0.35">
      <c r="F8967">
        <v>8962</v>
      </c>
      <c r="G8967" s="102">
        <f t="shared" ref="G8967:G9030" ca="1" si="144">_xlfn.NORM.INV(RAND(),M$9,M$10)</f>
        <v>-3.6909246436198598E-2</v>
      </c>
    </row>
    <row r="8968" spans="6:7" x14ac:dyDescent="0.35">
      <c r="F8968">
        <v>8963</v>
      </c>
      <c r="G8968" s="102">
        <f t="shared" ca="1" si="144"/>
        <v>1.7347087708683536E-2</v>
      </c>
    </row>
    <row r="8969" spans="6:7" x14ac:dyDescent="0.35">
      <c r="F8969">
        <v>8964</v>
      </c>
      <c r="G8969" s="102">
        <f t="shared" ca="1" si="144"/>
        <v>8.499842056653599E-2</v>
      </c>
    </row>
    <row r="8970" spans="6:7" x14ac:dyDescent="0.35">
      <c r="F8970">
        <v>8965</v>
      </c>
      <c r="G8970" s="102">
        <f t="shared" ca="1" si="144"/>
        <v>1.7972372227931617E-3</v>
      </c>
    </row>
    <row r="8971" spans="6:7" x14ac:dyDescent="0.35">
      <c r="F8971">
        <v>8966</v>
      </c>
      <c r="G8971" s="102">
        <f t="shared" ca="1" si="144"/>
        <v>1.8099821254300111E-2</v>
      </c>
    </row>
    <row r="8972" spans="6:7" x14ac:dyDescent="0.35">
      <c r="F8972">
        <v>8967</v>
      </c>
      <c r="G8972" s="102">
        <f t="shared" ca="1" si="144"/>
        <v>-6.3714854737575377E-2</v>
      </c>
    </row>
    <row r="8973" spans="6:7" x14ac:dyDescent="0.35">
      <c r="F8973">
        <v>8968</v>
      </c>
      <c r="G8973" s="102">
        <f t="shared" ca="1" si="144"/>
        <v>-4.1081463980980906E-2</v>
      </c>
    </row>
    <row r="8974" spans="6:7" x14ac:dyDescent="0.35">
      <c r="F8974">
        <v>8969</v>
      </c>
      <c r="G8974" s="102">
        <f t="shared" ca="1" si="144"/>
        <v>4.7907887264654683E-2</v>
      </c>
    </row>
    <row r="8975" spans="6:7" x14ac:dyDescent="0.35">
      <c r="F8975">
        <v>8970</v>
      </c>
      <c r="G8975" s="102">
        <f t="shared" ca="1" si="144"/>
        <v>2.5061792171060717E-2</v>
      </c>
    </row>
    <row r="8976" spans="6:7" x14ac:dyDescent="0.35">
      <c r="F8976">
        <v>8971</v>
      </c>
      <c r="G8976" s="102">
        <f t="shared" ca="1" si="144"/>
        <v>-8.5448283821088267E-2</v>
      </c>
    </row>
    <row r="8977" spans="6:7" x14ac:dyDescent="0.35">
      <c r="F8977">
        <v>8972</v>
      </c>
      <c r="G8977" s="102">
        <f t="shared" ca="1" si="144"/>
        <v>-7.0756036505256706E-2</v>
      </c>
    </row>
    <row r="8978" spans="6:7" x14ac:dyDescent="0.35">
      <c r="F8978">
        <v>8973</v>
      </c>
      <c r="G8978" s="102">
        <f t="shared" ca="1" si="144"/>
        <v>-1.2112999581126768E-2</v>
      </c>
    </row>
    <row r="8979" spans="6:7" x14ac:dyDescent="0.35">
      <c r="F8979">
        <v>8974</v>
      </c>
      <c r="G8979" s="102">
        <f t="shared" ca="1" si="144"/>
        <v>-6.1697674652047688E-2</v>
      </c>
    </row>
    <row r="8980" spans="6:7" x14ac:dyDescent="0.35">
      <c r="F8980">
        <v>8975</v>
      </c>
      <c r="G8980" s="102">
        <f t="shared" ca="1" si="144"/>
        <v>8.0678031323113353E-2</v>
      </c>
    </row>
    <row r="8981" spans="6:7" x14ac:dyDescent="0.35">
      <c r="F8981">
        <v>8976</v>
      </c>
      <c r="G8981" s="102">
        <f t="shared" ca="1" si="144"/>
        <v>-1.0441961631304812E-3</v>
      </c>
    </row>
    <row r="8982" spans="6:7" x14ac:dyDescent="0.35">
      <c r="F8982">
        <v>8977</v>
      </c>
      <c r="G8982" s="102">
        <f t="shared" ca="1" si="144"/>
        <v>-6.7968565309101614E-2</v>
      </c>
    </row>
    <row r="8983" spans="6:7" x14ac:dyDescent="0.35">
      <c r="F8983">
        <v>8978</v>
      </c>
      <c r="G8983" s="102">
        <f t="shared" ca="1" si="144"/>
        <v>7.9373328428819813E-3</v>
      </c>
    </row>
    <row r="8984" spans="6:7" x14ac:dyDescent="0.35">
      <c r="F8984">
        <v>8979</v>
      </c>
      <c r="G8984" s="102">
        <f t="shared" ca="1" si="144"/>
        <v>-8.44094105162536E-2</v>
      </c>
    </row>
    <row r="8985" spans="6:7" x14ac:dyDescent="0.35">
      <c r="F8985">
        <v>8980</v>
      </c>
      <c r="G8985" s="102">
        <f t="shared" ca="1" si="144"/>
        <v>-1.4742806405930217E-2</v>
      </c>
    </row>
    <row r="8986" spans="6:7" x14ac:dyDescent="0.35">
      <c r="F8986">
        <v>8981</v>
      </c>
      <c r="G8986" s="102">
        <f t="shared" ca="1" si="144"/>
        <v>7.7326666979933623E-2</v>
      </c>
    </row>
    <row r="8987" spans="6:7" x14ac:dyDescent="0.35">
      <c r="F8987">
        <v>8982</v>
      </c>
      <c r="G8987" s="102">
        <f t="shared" ca="1" si="144"/>
        <v>3.2910562142400721E-2</v>
      </c>
    </row>
    <row r="8988" spans="6:7" x14ac:dyDescent="0.35">
      <c r="F8988">
        <v>8983</v>
      </c>
      <c r="G8988" s="102">
        <f t="shared" ca="1" si="144"/>
        <v>2.2729606248676669E-2</v>
      </c>
    </row>
    <row r="8989" spans="6:7" x14ac:dyDescent="0.35">
      <c r="F8989">
        <v>8984</v>
      </c>
      <c r="G8989" s="102">
        <f t="shared" ca="1" si="144"/>
        <v>-8.3260208121922238E-2</v>
      </c>
    </row>
    <row r="8990" spans="6:7" x14ac:dyDescent="0.35">
      <c r="F8990">
        <v>8985</v>
      </c>
      <c r="G8990" s="102">
        <f t="shared" ca="1" si="144"/>
        <v>-5.7763873566042345E-2</v>
      </c>
    </row>
    <row r="8991" spans="6:7" x14ac:dyDescent="0.35">
      <c r="F8991">
        <v>8986</v>
      </c>
      <c r="G8991" s="102">
        <f t="shared" ca="1" si="144"/>
        <v>-2.7502287224384178E-2</v>
      </c>
    </row>
    <row r="8992" spans="6:7" x14ac:dyDescent="0.35">
      <c r="F8992">
        <v>8987</v>
      </c>
      <c r="G8992" s="102">
        <f t="shared" ca="1" si="144"/>
        <v>5.7444852461341664E-2</v>
      </c>
    </row>
    <row r="8993" spans="6:7" x14ac:dyDescent="0.35">
      <c r="F8993">
        <v>8988</v>
      </c>
      <c r="G8993" s="102">
        <f t="shared" ca="1" si="144"/>
        <v>-7.4388819410258766E-3</v>
      </c>
    </row>
    <row r="8994" spans="6:7" x14ac:dyDescent="0.35">
      <c r="F8994">
        <v>8989</v>
      </c>
      <c r="G8994" s="102">
        <f t="shared" ca="1" si="144"/>
        <v>-7.9759083080083851E-2</v>
      </c>
    </row>
    <row r="8995" spans="6:7" x14ac:dyDescent="0.35">
      <c r="F8995">
        <v>8990</v>
      </c>
      <c r="G8995" s="102">
        <f t="shared" ca="1" si="144"/>
        <v>-5.6274455091015016E-2</v>
      </c>
    </row>
    <row r="8996" spans="6:7" x14ac:dyDescent="0.35">
      <c r="F8996">
        <v>8991</v>
      </c>
      <c r="G8996" s="102">
        <f t="shared" ca="1" si="144"/>
        <v>3.242336203974093E-2</v>
      </c>
    </row>
    <row r="8997" spans="6:7" x14ac:dyDescent="0.35">
      <c r="F8997">
        <v>8992</v>
      </c>
      <c r="G8997" s="102">
        <f t="shared" ca="1" si="144"/>
        <v>-7.9805654104054116E-2</v>
      </c>
    </row>
    <row r="8998" spans="6:7" x14ac:dyDescent="0.35">
      <c r="F8998">
        <v>8993</v>
      </c>
      <c r="G8998" s="102">
        <f t="shared" ca="1" si="144"/>
        <v>2.4091246062943879E-2</v>
      </c>
    </row>
    <row r="8999" spans="6:7" x14ac:dyDescent="0.35">
      <c r="F8999">
        <v>8994</v>
      </c>
      <c r="G8999" s="102">
        <f t="shared" ca="1" si="144"/>
        <v>-8.9279156906505425E-2</v>
      </c>
    </row>
    <row r="9000" spans="6:7" x14ac:dyDescent="0.35">
      <c r="F9000">
        <v>8995</v>
      </c>
      <c r="G9000" s="102">
        <f t="shared" ca="1" si="144"/>
        <v>1.0705225747150039E-2</v>
      </c>
    </row>
    <row r="9001" spans="6:7" x14ac:dyDescent="0.35">
      <c r="F9001">
        <v>8996</v>
      </c>
      <c r="G9001" s="102">
        <f t="shared" ca="1" si="144"/>
        <v>-0.15264058830678862</v>
      </c>
    </row>
    <row r="9002" spans="6:7" x14ac:dyDescent="0.35">
      <c r="F9002">
        <v>8997</v>
      </c>
      <c r="G9002" s="102">
        <f t="shared" ca="1" si="144"/>
        <v>5.9441888615547986E-2</v>
      </c>
    </row>
    <row r="9003" spans="6:7" x14ac:dyDescent="0.35">
      <c r="F9003">
        <v>8998</v>
      </c>
      <c r="G9003" s="102">
        <f t="shared" ca="1" si="144"/>
        <v>5.0084759256061942E-2</v>
      </c>
    </row>
    <row r="9004" spans="6:7" x14ac:dyDescent="0.35">
      <c r="F9004">
        <v>8999</v>
      </c>
      <c r="G9004" s="102">
        <f t="shared" ca="1" si="144"/>
        <v>0.11005937734167064</v>
      </c>
    </row>
    <row r="9005" spans="6:7" x14ac:dyDescent="0.35">
      <c r="F9005">
        <v>9000</v>
      </c>
      <c r="G9005" s="102">
        <f t="shared" ca="1" si="144"/>
        <v>-5.804023944407842E-2</v>
      </c>
    </row>
    <row r="9006" spans="6:7" x14ac:dyDescent="0.35">
      <c r="F9006">
        <v>9001</v>
      </c>
      <c r="G9006" s="102">
        <f t="shared" ca="1" si="144"/>
        <v>6.1526990708190316E-2</v>
      </c>
    </row>
    <row r="9007" spans="6:7" x14ac:dyDescent="0.35">
      <c r="F9007">
        <v>9002</v>
      </c>
      <c r="G9007" s="102">
        <f t="shared" ca="1" si="144"/>
        <v>1.4967422863412981E-2</v>
      </c>
    </row>
    <row r="9008" spans="6:7" x14ac:dyDescent="0.35">
      <c r="F9008">
        <v>9003</v>
      </c>
      <c r="G9008" s="102">
        <f t="shared" ca="1" si="144"/>
        <v>-0.10249567643545135</v>
      </c>
    </row>
    <row r="9009" spans="6:7" x14ac:dyDescent="0.35">
      <c r="F9009">
        <v>9004</v>
      </c>
      <c r="G9009" s="102">
        <f t="shared" ca="1" si="144"/>
        <v>6.2014444535278504E-2</v>
      </c>
    </row>
    <row r="9010" spans="6:7" x14ac:dyDescent="0.35">
      <c r="F9010">
        <v>9005</v>
      </c>
      <c r="G9010" s="102">
        <f t="shared" ca="1" si="144"/>
        <v>-0.13141911814058507</v>
      </c>
    </row>
    <row r="9011" spans="6:7" x14ac:dyDescent="0.35">
      <c r="F9011">
        <v>9006</v>
      </c>
      <c r="G9011" s="102">
        <f t="shared" ca="1" si="144"/>
        <v>-0.11363873631009022</v>
      </c>
    </row>
    <row r="9012" spans="6:7" x14ac:dyDescent="0.35">
      <c r="F9012">
        <v>9007</v>
      </c>
      <c r="G9012" s="102">
        <f t="shared" ca="1" si="144"/>
        <v>1.3833357517079724E-2</v>
      </c>
    </row>
    <row r="9013" spans="6:7" x14ac:dyDescent="0.35">
      <c r="F9013">
        <v>9008</v>
      </c>
      <c r="G9013" s="102">
        <f t="shared" ca="1" si="144"/>
        <v>7.2075998766220464E-2</v>
      </c>
    </row>
    <row r="9014" spans="6:7" x14ac:dyDescent="0.35">
      <c r="F9014">
        <v>9009</v>
      </c>
      <c r="G9014" s="102">
        <f t="shared" ca="1" si="144"/>
        <v>2.5444966293627982E-3</v>
      </c>
    </row>
    <row r="9015" spans="6:7" x14ac:dyDescent="0.35">
      <c r="F9015">
        <v>9010</v>
      </c>
      <c r="G9015" s="102">
        <f t="shared" ca="1" si="144"/>
        <v>-8.1991286627494553E-2</v>
      </c>
    </row>
    <row r="9016" spans="6:7" x14ac:dyDescent="0.35">
      <c r="F9016">
        <v>9011</v>
      </c>
      <c r="G9016" s="102">
        <f t="shared" ca="1" si="144"/>
        <v>7.3797653159740226E-2</v>
      </c>
    </row>
    <row r="9017" spans="6:7" x14ac:dyDescent="0.35">
      <c r="F9017">
        <v>9012</v>
      </c>
      <c r="G9017" s="102">
        <f t="shared" ca="1" si="144"/>
        <v>1.2805928056149916E-2</v>
      </c>
    </row>
    <row r="9018" spans="6:7" x14ac:dyDescent="0.35">
      <c r="F9018">
        <v>9013</v>
      </c>
      <c r="G9018" s="102">
        <f t="shared" ca="1" si="144"/>
        <v>-3.1254749777080273E-2</v>
      </c>
    </row>
    <row r="9019" spans="6:7" x14ac:dyDescent="0.35">
      <c r="F9019">
        <v>9014</v>
      </c>
      <c r="G9019" s="102">
        <f t="shared" ca="1" si="144"/>
        <v>-6.0712612780664532E-2</v>
      </c>
    </row>
    <row r="9020" spans="6:7" x14ac:dyDescent="0.35">
      <c r="F9020">
        <v>9015</v>
      </c>
      <c r="G9020" s="102">
        <f t="shared" ca="1" si="144"/>
        <v>6.2620411080565666E-3</v>
      </c>
    </row>
    <row r="9021" spans="6:7" x14ac:dyDescent="0.35">
      <c r="F9021">
        <v>9016</v>
      </c>
      <c r="G9021" s="102">
        <f t="shared" ca="1" si="144"/>
        <v>-0.10404385907011678</v>
      </c>
    </row>
    <row r="9022" spans="6:7" x14ac:dyDescent="0.35">
      <c r="F9022">
        <v>9017</v>
      </c>
      <c r="G9022" s="102">
        <f t="shared" ca="1" si="144"/>
        <v>-0.16602588746623234</v>
      </c>
    </row>
    <row r="9023" spans="6:7" x14ac:dyDescent="0.35">
      <c r="F9023">
        <v>9018</v>
      </c>
      <c r="G9023" s="102">
        <f t="shared" ca="1" si="144"/>
        <v>6.7545825185014299E-2</v>
      </c>
    </row>
    <row r="9024" spans="6:7" x14ac:dyDescent="0.35">
      <c r="F9024">
        <v>9019</v>
      </c>
      <c r="G9024" s="102">
        <f t="shared" ca="1" si="144"/>
        <v>-3.2888745644315126E-2</v>
      </c>
    </row>
    <row r="9025" spans="6:7" x14ac:dyDescent="0.35">
      <c r="F9025">
        <v>9020</v>
      </c>
      <c r="G9025" s="102">
        <f t="shared" ca="1" si="144"/>
        <v>5.2745295197813291E-2</v>
      </c>
    </row>
    <row r="9026" spans="6:7" x14ac:dyDescent="0.35">
      <c r="F9026">
        <v>9021</v>
      </c>
      <c r="G9026" s="102">
        <f t="shared" ca="1" si="144"/>
        <v>-5.3125409340953389E-2</v>
      </c>
    </row>
    <row r="9027" spans="6:7" x14ac:dyDescent="0.35">
      <c r="F9027">
        <v>9022</v>
      </c>
      <c r="G9027" s="102">
        <f t="shared" ca="1" si="144"/>
        <v>-7.4452667412296392E-3</v>
      </c>
    </row>
    <row r="9028" spans="6:7" x14ac:dyDescent="0.35">
      <c r="F9028">
        <v>9023</v>
      </c>
      <c r="G9028" s="102">
        <f t="shared" ca="1" si="144"/>
        <v>8.8439148323348274E-2</v>
      </c>
    </row>
    <row r="9029" spans="6:7" x14ac:dyDescent="0.35">
      <c r="F9029">
        <v>9024</v>
      </c>
      <c r="G9029" s="102">
        <f t="shared" ca="1" si="144"/>
        <v>-0.15053611165026737</v>
      </c>
    </row>
    <row r="9030" spans="6:7" x14ac:dyDescent="0.35">
      <c r="F9030">
        <v>9025</v>
      </c>
      <c r="G9030" s="102">
        <f t="shared" ca="1" si="144"/>
        <v>1.7823895274828385E-2</v>
      </c>
    </row>
    <row r="9031" spans="6:7" x14ac:dyDescent="0.35">
      <c r="F9031">
        <v>9026</v>
      </c>
      <c r="G9031" s="102">
        <f t="shared" ref="G9031:G9094" ca="1" si="145">_xlfn.NORM.INV(RAND(),M$9,M$10)</f>
        <v>5.4260610924865019E-2</v>
      </c>
    </row>
    <row r="9032" spans="6:7" x14ac:dyDescent="0.35">
      <c r="F9032">
        <v>9027</v>
      </c>
      <c r="G9032" s="102">
        <f t="shared" ca="1" si="145"/>
        <v>-2.4318104415033692E-2</v>
      </c>
    </row>
    <row r="9033" spans="6:7" x14ac:dyDescent="0.35">
      <c r="F9033">
        <v>9028</v>
      </c>
      <c r="G9033" s="102">
        <f t="shared" ca="1" si="145"/>
        <v>-0.18137906235825635</v>
      </c>
    </row>
    <row r="9034" spans="6:7" x14ac:dyDescent="0.35">
      <c r="F9034">
        <v>9029</v>
      </c>
      <c r="G9034" s="102">
        <f t="shared" ca="1" si="145"/>
        <v>-0.11478980443146887</v>
      </c>
    </row>
    <row r="9035" spans="6:7" x14ac:dyDescent="0.35">
      <c r="F9035">
        <v>9030</v>
      </c>
      <c r="G9035" s="102">
        <f t="shared" ca="1" si="145"/>
        <v>-5.5623044103173591E-2</v>
      </c>
    </row>
    <row r="9036" spans="6:7" x14ac:dyDescent="0.35">
      <c r="F9036">
        <v>9031</v>
      </c>
      <c r="G9036" s="102">
        <f t="shared" ca="1" si="145"/>
        <v>5.5040850114491502E-2</v>
      </c>
    </row>
    <row r="9037" spans="6:7" x14ac:dyDescent="0.35">
      <c r="F9037">
        <v>9032</v>
      </c>
      <c r="G9037" s="102">
        <f t="shared" ca="1" si="145"/>
        <v>1.1490681001969413E-2</v>
      </c>
    </row>
    <row r="9038" spans="6:7" x14ac:dyDescent="0.35">
      <c r="F9038">
        <v>9033</v>
      </c>
      <c r="G9038" s="102">
        <f t="shared" ca="1" si="145"/>
        <v>2.2733016025164889E-2</v>
      </c>
    </row>
    <row r="9039" spans="6:7" x14ac:dyDescent="0.35">
      <c r="F9039">
        <v>9034</v>
      </c>
      <c r="G9039" s="102">
        <f t="shared" ca="1" si="145"/>
        <v>4.6976392930637961E-2</v>
      </c>
    </row>
    <row r="9040" spans="6:7" x14ac:dyDescent="0.35">
      <c r="F9040">
        <v>9035</v>
      </c>
      <c r="G9040" s="102">
        <f t="shared" ca="1" si="145"/>
        <v>0.1076764936573298</v>
      </c>
    </row>
    <row r="9041" spans="6:7" x14ac:dyDescent="0.35">
      <c r="F9041">
        <v>9036</v>
      </c>
      <c r="G9041" s="102">
        <f t="shared" ca="1" si="145"/>
        <v>2.2743823335005183E-2</v>
      </c>
    </row>
    <row r="9042" spans="6:7" x14ac:dyDescent="0.35">
      <c r="F9042">
        <v>9037</v>
      </c>
      <c r="G9042" s="102">
        <f t="shared" ca="1" si="145"/>
        <v>5.7318111169161925E-2</v>
      </c>
    </row>
    <row r="9043" spans="6:7" x14ac:dyDescent="0.35">
      <c r="F9043">
        <v>9038</v>
      </c>
      <c r="G9043" s="102">
        <f t="shared" ca="1" si="145"/>
        <v>-7.3720736281949299E-3</v>
      </c>
    </row>
    <row r="9044" spans="6:7" x14ac:dyDescent="0.35">
      <c r="F9044">
        <v>9039</v>
      </c>
      <c r="G9044" s="102">
        <f t="shared" ca="1" si="145"/>
        <v>1.7467315080012813E-3</v>
      </c>
    </row>
    <row r="9045" spans="6:7" x14ac:dyDescent="0.35">
      <c r="F9045">
        <v>9040</v>
      </c>
      <c r="G9045" s="102">
        <f t="shared" ca="1" si="145"/>
        <v>9.6065828109089726E-3</v>
      </c>
    </row>
    <row r="9046" spans="6:7" x14ac:dyDescent="0.35">
      <c r="F9046">
        <v>9041</v>
      </c>
      <c r="G9046" s="102">
        <f t="shared" ca="1" si="145"/>
        <v>-6.5051547772448121E-2</v>
      </c>
    </row>
    <row r="9047" spans="6:7" x14ac:dyDescent="0.35">
      <c r="F9047">
        <v>9042</v>
      </c>
      <c r="G9047" s="102">
        <f t="shared" ca="1" si="145"/>
        <v>-2.5359774590697413E-2</v>
      </c>
    </row>
    <row r="9048" spans="6:7" x14ac:dyDescent="0.35">
      <c r="F9048">
        <v>9043</v>
      </c>
      <c r="G9048" s="102">
        <f t="shared" ca="1" si="145"/>
        <v>5.0025827783375415E-2</v>
      </c>
    </row>
    <row r="9049" spans="6:7" x14ac:dyDescent="0.35">
      <c r="F9049">
        <v>9044</v>
      </c>
      <c r="G9049" s="102">
        <f t="shared" ca="1" si="145"/>
        <v>-1.6073247783606838E-2</v>
      </c>
    </row>
    <row r="9050" spans="6:7" x14ac:dyDescent="0.35">
      <c r="F9050">
        <v>9045</v>
      </c>
      <c r="G9050" s="102">
        <f t="shared" ca="1" si="145"/>
        <v>-5.577444947304154E-2</v>
      </c>
    </row>
    <row r="9051" spans="6:7" x14ac:dyDescent="0.35">
      <c r="F9051">
        <v>9046</v>
      </c>
      <c r="G9051" s="102">
        <f t="shared" ca="1" si="145"/>
        <v>1.8797389994014884E-3</v>
      </c>
    </row>
    <row r="9052" spans="6:7" x14ac:dyDescent="0.35">
      <c r="F9052">
        <v>9047</v>
      </c>
      <c r="G9052" s="102">
        <f t="shared" ca="1" si="145"/>
        <v>4.5510073397679485E-2</v>
      </c>
    </row>
    <row r="9053" spans="6:7" x14ac:dyDescent="0.35">
      <c r="F9053">
        <v>9048</v>
      </c>
      <c r="G9053" s="102">
        <f t="shared" ca="1" si="145"/>
        <v>2.8600303236801166E-2</v>
      </c>
    </row>
    <row r="9054" spans="6:7" x14ac:dyDescent="0.35">
      <c r="F9054">
        <v>9049</v>
      </c>
      <c r="G9054" s="102">
        <f t="shared" ca="1" si="145"/>
        <v>1.5405241047508331E-2</v>
      </c>
    </row>
    <row r="9055" spans="6:7" x14ac:dyDescent="0.35">
      <c r="F9055">
        <v>9050</v>
      </c>
      <c r="G9055" s="102">
        <f t="shared" ca="1" si="145"/>
        <v>-2.1547657572118109E-3</v>
      </c>
    </row>
    <row r="9056" spans="6:7" x14ac:dyDescent="0.35">
      <c r="F9056">
        <v>9051</v>
      </c>
      <c r="G9056" s="102">
        <f t="shared" ca="1" si="145"/>
        <v>6.8844540492828451E-3</v>
      </c>
    </row>
    <row r="9057" spans="6:7" x14ac:dyDescent="0.35">
      <c r="F9057">
        <v>9052</v>
      </c>
      <c r="G9057" s="102">
        <f t="shared" ca="1" si="145"/>
        <v>3.8678407331274478E-2</v>
      </c>
    </row>
    <row r="9058" spans="6:7" x14ac:dyDescent="0.35">
      <c r="F9058">
        <v>9053</v>
      </c>
      <c r="G9058" s="102">
        <f t="shared" ca="1" si="145"/>
        <v>-2.8564711040505866E-2</v>
      </c>
    </row>
    <row r="9059" spans="6:7" x14ac:dyDescent="0.35">
      <c r="F9059">
        <v>9054</v>
      </c>
      <c r="G9059" s="102">
        <f t="shared" ca="1" si="145"/>
        <v>7.6195032615126543E-2</v>
      </c>
    </row>
    <row r="9060" spans="6:7" x14ac:dyDescent="0.35">
      <c r="F9060">
        <v>9055</v>
      </c>
      <c r="G9060" s="102">
        <f t="shared" ca="1" si="145"/>
        <v>-5.2997191262695836E-2</v>
      </c>
    </row>
    <row r="9061" spans="6:7" x14ac:dyDescent="0.35">
      <c r="F9061">
        <v>9056</v>
      </c>
      <c r="G9061" s="102">
        <f t="shared" ca="1" si="145"/>
        <v>3.9539198370594122E-2</v>
      </c>
    </row>
    <row r="9062" spans="6:7" x14ac:dyDescent="0.35">
      <c r="F9062">
        <v>9057</v>
      </c>
      <c r="G9062" s="102">
        <f t="shared" ca="1" si="145"/>
        <v>7.3397550701983269E-2</v>
      </c>
    </row>
    <row r="9063" spans="6:7" x14ac:dyDescent="0.35">
      <c r="F9063">
        <v>9058</v>
      </c>
      <c r="G9063" s="102">
        <f t="shared" ca="1" si="145"/>
        <v>-3.678164587995799E-4</v>
      </c>
    </row>
    <row r="9064" spans="6:7" x14ac:dyDescent="0.35">
      <c r="F9064">
        <v>9059</v>
      </c>
      <c r="G9064" s="102">
        <f t="shared" ca="1" si="145"/>
        <v>0.12248981442341102</v>
      </c>
    </row>
    <row r="9065" spans="6:7" x14ac:dyDescent="0.35">
      <c r="F9065">
        <v>9060</v>
      </c>
      <c r="G9065" s="102">
        <f t="shared" ca="1" si="145"/>
        <v>-4.2138232734649117E-2</v>
      </c>
    </row>
    <row r="9066" spans="6:7" x14ac:dyDescent="0.35">
      <c r="F9066">
        <v>9061</v>
      </c>
      <c r="G9066" s="102">
        <f t="shared" ca="1" si="145"/>
        <v>-6.5780354944835959E-2</v>
      </c>
    </row>
    <row r="9067" spans="6:7" x14ac:dyDescent="0.35">
      <c r="F9067">
        <v>9062</v>
      </c>
      <c r="G9067" s="102">
        <f t="shared" ca="1" si="145"/>
        <v>7.2549233362712406E-2</v>
      </c>
    </row>
    <row r="9068" spans="6:7" x14ac:dyDescent="0.35">
      <c r="F9068">
        <v>9063</v>
      </c>
      <c r="G9068" s="102">
        <f t="shared" ca="1" si="145"/>
        <v>2.8022611708944305E-2</v>
      </c>
    </row>
    <row r="9069" spans="6:7" x14ac:dyDescent="0.35">
      <c r="F9069">
        <v>9064</v>
      </c>
      <c r="G9069" s="102">
        <f t="shared" ca="1" si="145"/>
        <v>3.2779160248675304E-3</v>
      </c>
    </row>
    <row r="9070" spans="6:7" x14ac:dyDescent="0.35">
      <c r="F9070">
        <v>9065</v>
      </c>
      <c r="G9070" s="102">
        <f t="shared" ca="1" si="145"/>
        <v>-3.3124390696489037E-2</v>
      </c>
    </row>
    <row r="9071" spans="6:7" x14ac:dyDescent="0.35">
      <c r="F9071">
        <v>9066</v>
      </c>
      <c r="G9071" s="102">
        <f t="shared" ca="1" si="145"/>
        <v>-8.1693184565077057E-2</v>
      </c>
    </row>
    <row r="9072" spans="6:7" x14ac:dyDescent="0.35">
      <c r="F9072">
        <v>9067</v>
      </c>
      <c r="G9072" s="102">
        <f t="shared" ca="1" si="145"/>
        <v>-8.9120963397645615E-3</v>
      </c>
    </row>
    <row r="9073" spans="6:7" x14ac:dyDescent="0.35">
      <c r="F9073">
        <v>9068</v>
      </c>
      <c r="G9073" s="102">
        <f t="shared" ca="1" si="145"/>
        <v>-3.9849446986621392E-2</v>
      </c>
    </row>
    <row r="9074" spans="6:7" x14ac:dyDescent="0.35">
      <c r="F9074">
        <v>9069</v>
      </c>
      <c r="G9074" s="102">
        <f t="shared" ca="1" si="145"/>
        <v>-1.2921199172957913E-2</v>
      </c>
    </row>
    <row r="9075" spans="6:7" x14ac:dyDescent="0.35">
      <c r="F9075">
        <v>9070</v>
      </c>
      <c r="G9075" s="102">
        <f t="shared" ca="1" si="145"/>
        <v>-7.1152099596225024E-2</v>
      </c>
    </row>
    <row r="9076" spans="6:7" x14ac:dyDescent="0.35">
      <c r="F9076">
        <v>9071</v>
      </c>
      <c r="G9076" s="102">
        <f t="shared" ca="1" si="145"/>
        <v>3.854841349868704E-2</v>
      </c>
    </row>
    <row r="9077" spans="6:7" x14ac:dyDescent="0.35">
      <c r="F9077">
        <v>9072</v>
      </c>
      <c r="G9077" s="102">
        <f t="shared" ca="1" si="145"/>
        <v>-3.5910269898073659E-2</v>
      </c>
    </row>
    <row r="9078" spans="6:7" x14ac:dyDescent="0.35">
      <c r="F9078">
        <v>9073</v>
      </c>
      <c r="G9078" s="102">
        <f t="shared" ca="1" si="145"/>
        <v>-9.2442867403221968E-3</v>
      </c>
    </row>
    <row r="9079" spans="6:7" x14ac:dyDescent="0.35">
      <c r="F9079">
        <v>9074</v>
      </c>
      <c r="G9079" s="102">
        <f t="shared" ca="1" si="145"/>
        <v>-4.036268951226625E-2</v>
      </c>
    </row>
    <row r="9080" spans="6:7" x14ac:dyDescent="0.35">
      <c r="F9080">
        <v>9075</v>
      </c>
      <c r="G9080" s="102">
        <f t="shared" ca="1" si="145"/>
        <v>8.9149191534175793E-3</v>
      </c>
    </row>
    <row r="9081" spans="6:7" x14ac:dyDescent="0.35">
      <c r="F9081">
        <v>9076</v>
      </c>
      <c r="G9081" s="102">
        <f t="shared" ca="1" si="145"/>
        <v>5.4895453826039955E-2</v>
      </c>
    </row>
    <row r="9082" spans="6:7" x14ac:dyDescent="0.35">
      <c r="F9082">
        <v>9077</v>
      </c>
      <c r="G9082" s="102">
        <f t="shared" ca="1" si="145"/>
        <v>1.5274480622608146E-2</v>
      </c>
    </row>
    <row r="9083" spans="6:7" x14ac:dyDescent="0.35">
      <c r="F9083">
        <v>9078</v>
      </c>
      <c r="G9083" s="102">
        <f t="shared" ca="1" si="145"/>
        <v>-3.862613851926032E-2</v>
      </c>
    </row>
    <row r="9084" spans="6:7" x14ac:dyDescent="0.35">
      <c r="F9084">
        <v>9079</v>
      </c>
      <c r="G9084" s="102">
        <f t="shared" ca="1" si="145"/>
        <v>2.3964613159380508E-2</v>
      </c>
    </row>
    <row r="9085" spans="6:7" x14ac:dyDescent="0.35">
      <c r="F9085">
        <v>9080</v>
      </c>
      <c r="G9085" s="102">
        <f t="shared" ca="1" si="145"/>
        <v>3.9251235783072051E-3</v>
      </c>
    </row>
    <row r="9086" spans="6:7" x14ac:dyDescent="0.35">
      <c r="F9086">
        <v>9081</v>
      </c>
      <c r="G9086" s="102">
        <f t="shared" ca="1" si="145"/>
        <v>3.7136394640890462E-3</v>
      </c>
    </row>
    <row r="9087" spans="6:7" x14ac:dyDescent="0.35">
      <c r="F9087">
        <v>9082</v>
      </c>
      <c r="G9087" s="102">
        <f t="shared" ca="1" si="145"/>
        <v>-6.3732765005983794E-2</v>
      </c>
    </row>
    <row r="9088" spans="6:7" x14ac:dyDescent="0.35">
      <c r="F9088">
        <v>9083</v>
      </c>
      <c r="G9088" s="102">
        <f t="shared" ca="1" si="145"/>
        <v>-9.9185471899163307E-3</v>
      </c>
    </row>
    <row r="9089" spans="6:7" x14ac:dyDescent="0.35">
      <c r="F9089">
        <v>9084</v>
      </c>
      <c r="G9089" s="102">
        <f t="shared" ca="1" si="145"/>
        <v>-0.1325439305895256</v>
      </c>
    </row>
    <row r="9090" spans="6:7" x14ac:dyDescent="0.35">
      <c r="F9090">
        <v>9085</v>
      </c>
      <c r="G9090" s="102">
        <f t="shared" ca="1" si="145"/>
        <v>7.5498788722180785E-3</v>
      </c>
    </row>
    <row r="9091" spans="6:7" x14ac:dyDescent="0.35">
      <c r="F9091">
        <v>9086</v>
      </c>
      <c r="G9091" s="102">
        <f t="shared" ca="1" si="145"/>
        <v>1.7878936851302343E-2</v>
      </c>
    </row>
    <row r="9092" spans="6:7" x14ac:dyDescent="0.35">
      <c r="F9092">
        <v>9087</v>
      </c>
      <c r="G9092" s="102">
        <f t="shared" ca="1" si="145"/>
        <v>-3.2436126211762666E-2</v>
      </c>
    </row>
    <row r="9093" spans="6:7" x14ac:dyDescent="0.35">
      <c r="F9093">
        <v>9088</v>
      </c>
      <c r="G9093" s="102">
        <f t="shared" ca="1" si="145"/>
        <v>-9.0844774635229619E-3</v>
      </c>
    </row>
    <row r="9094" spans="6:7" x14ac:dyDescent="0.35">
      <c r="F9094">
        <v>9089</v>
      </c>
      <c r="G9094" s="102">
        <f t="shared" ca="1" si="145"/>
        <v>-2.5881234299183812E-3</v>
      </c>
    </row>
    <row r="9095" spans="6:7" x14ac:dyDescent="0.35">
      <c r="F9095">
        <v>9090</v>
      </c>
      <c r="G9095" s="102">
        <f t="shared" ref="G9095:G9158" ca="1" si="146">_xlfn.NORM.INV(RAND(),M$9,M$10)</f>
        <v>-7.4246727801597773E-2</v>
      </c>
    </row>
    <row r="9096" spans="6:7" x14ac:dyDescent="0.35">
      <c r="F9096">
        <v>9091</v>
      </c>
      <c r="G9096" s="102">
        <f t="shared" ca="1" si="146"/>
        <v>6.1404678264295007E-2</v>
      </c>
    </row>
    <row r="9097" spans="6:7" x14ac:dyDescent="0.35">
      <c r="F9097">
        <v>9092</v>
      </c>
      <c r="G9097" s="102">
        <f t="shared" ca="1" si="146"/>
        <v>-6.5771697519982214E-2</v>
      </c>
    </row>
    <row r="9098" spans="6:7" x14ac:dyDescent="0.35">
      <c r="F9098">
        <v>9093</v>
      </c>
      <c r="G9098" s="102">
        <f t="shared" ca="1" si="146"/>
        <v>-0.15753901347334995</v>
      </c>
    </row>
    <row r="9099" spans="6:7" x14ac:dyDescent="0.35">
      <c r="F9099">
        <v>9094</v>
      </c>
      <c r="G9099" s="102">
        <f t="shared" ca="1" si="146"/>
        <v>-1.5244976566617635E-2</v>
      </c>
    </row>
    <row r="9100" spans="6:7" x14ac:dyDescent="0.35">
      <c r="F9100">
        <v>9095</v>
      </c>
      <c r="G9100" s="102">
        <f t="shared" ca="1" si="146"/>
        <v>3.8990064126497068E-2</v>
      </c>
    </row>
    <row r="9101" spans="6:7" x14ac:dyDescent="0.35">
      <c r="F9101">
        <v>9096</v>
      </c>
      <c r="G9101" s="102">
        <f t="shared" ca="1" si="146"/>
        <v>-4.1821322269592204E-2</v>
      </c>
    </row>
    <row r="9102" spans="6:7" x14ac:dyDescent="0.35">
      <c r="F9102">
        <v>9097</v>
      </c>
      <c r="G9102" s="102">
        <f t="shared" ca="1" si="146"/>
        <v>-7.6201548417889328E-2</v>
      </c>
    </row>
    <row r="9103" spans="6:7" x14ac:dyDescent="0.35">
      <c r="F9103">
        <v>9098</v>
      </c>
      <c r="G9103" s="102">
        <f t="shared" ca="1" si="146"/>
        <v>-0.12367219910708233</v>
      </c>
    </row>
    <row r="9104" spans="6:7" x14ac:dyDescent="0.35">
      <c r="F9104">
        <v>9099</v>
      </c>
      <c r="G9104" s="102">
        <f t="shared" ca="1" si="146"/>
        <v>1.3471124008198852E-2</v>
      </c>
    </row>
    <row r="9105" spans="6:7" x14ac:dyDescent="0.35">
      <c r="F9105">
        <v>9100</v>
      </c>
      <c r="G9105" s="102">
        <f t="shared" ca="1" si="146"/>
        <v>7.2755203031580548E-2</v>
      </c>
    </row>
    <row r="9106" spans="6:7" x14ac:dyDescent="0.35">
      <c r="F9106">
        <v>9101</v>
      </c>
      <c r="G9106" s="102">
        <f t="shared" ca="1" si="146"/>
        <v>-3.1618488746537887E-2</v>
      </c>
    </row>
    <row r="9107" spans="6:7" x14ac:dyDescent="0.35">
      <c r="F9107">
        <v>9102</v>
      </c>
      <c r="G9107" s="102">
        <f t="shared" ca="1" si="146"/>
        <v>-8.8995486378375274E-2</v>
      </c>
    </row>
    <row r="9108" spans="6:7" x14ac:dyDescent="0.35">
      <c r="F9108">
        <v>9103</v>
      </c>
      <c r="G9108" s="102">
        <f t="shared" ca="1" si="146"/>
        <v>-2.2675088832040328E-2</v>
      </c>
    </row>
    <row r="9109" spans="6:7" x14ac:dyDescent="0.35">
      <c r="F9109">
        <v>9104</v>
      </c>
      <c r="G9109" s="102">
        <f t="shared" ca="1" si="146"/>
        <v>-4.005382831196995E-2</v>
      </c>
    </row>
    <row r="9110" spans="6:7" x14ac:dyDescent="0.35">
      <c r="F9110">
        <v>9105</v>
      </c>
      <c r="G9110" s="102">
        <f t="shared" ca="1" si="146"/>
        <v>3.1459232096344464E-2</v>
      </c>
    </row>
    <row r="9111" spans="6:7" x14ac:dyDescent="0.35">
      <c r="F9111">
        <v>9106</v>
      </c>
      <c r="G9111" s="102">
        <f t="shared" ca="1" si="146"/>
        <v>-6.585671925703882E-3</v>
      </c>
    </row>
    <row r="9112" spans="6:7" x14ac:dyDescent="0.35">
      <c r="F9112">
        <v>9107</v>
      </c>
      <c r="G9112" s="102">
        <f t="shared" ca="1" si="146"/>
        <v>3.0973717602027582E-2</v>
      </c>
    </row>
    <row r="9113" spans="6:7" x14ac:dyDescent="0.35">
      <c r="F9113">
        <v>9108</v>
      </c>
      <c r="G9113" s="102">
        <f t="shared" ca="1" si="146"/>
        <v>3.6777809258877123E-2</v>
      </c>
    </row>
    <row r="9114" spans="6:7" x14ac:dyDescent="0.35">
      <c r="F9114">
        <v>9109</v>
      </c>
      <c r="G9114" s="102">
        <f t="shared" ca="1" si="146"/>
        <v>-1.7920050655950322E-2</v>
      </c>
    </row>
    <row r="9115" spans="6:7" x14ac:dyDescent="0.35">
      <c r="F9115">
        <v>9110</v>
      </c>
      <c r="G9115" s="102">
        <f t="shared" ca="1" si="146"/>
        <v>2.0861395993591231E-2</v>
      </c>
    </row>
    <row r="9116" spans="6:7" x14ac:dyDescent="0.35">
      <c r="F9116">
        <v>9111</v>
      </c>
      <c r="G9116" s="102">
        <f t="shared" ca="1" si="146"/>
        <v>5.888731400646173E-2</v>
      </c>
    </row>
    <row r="9117" spans="6:7" x14ac:dyDescent="0.35">
      <c r="F9117">
        <v>9112</v>
      </c>
      <c r="G9117" s="102">
        <f t="shared" ca="1" si="146"/>
        <v>2.3454934577436221E-2</v>
      </c>
    </row>
    <row r="9118" spans="6:7" x14ac:dyDescent="0.35">
      <c r="F9118">
        <v>9113</v>
      </c>
      <c r="G9118" s="102">
        <f t="shared" ca="1" si="146"/>
        <v>2.4450780889680123E-2</v>
      </c>
    </row>
    <row r="9119" spans="6:7" x14ac:dyDescent="0.35">
      <c r="F9119">
        <v>9114</v>
      </c>
      <c r="G9119" s="102">
        <f t="shared" ca="1" si="146"/>
        <v>-0.11077578149501711</v>
      </c>
    </row>
    <row r="9120" spans="6:7" x14ac:dyDescent="0.35">
      <c r="F9120">
        <v>9115</v>
      </c>
      <c r="G9120" s="102">
        <f t="shared" ca="1" si="146"/>
        <v>5.4378974627543764E-2</v>
      </c>
    </row>
    <row r="9121" spans="6:7" x14ac:dyDescent="0.35">
      <c r="F9121">
        <v>9116</v>
      </c>
      <c r="G9121" s="102">
        <f t="shared" ca="1" si="146"/>
        <v>-6.7666379305871008E-2</v>
      </c>
    </row>
    <row r="9122" spans="6:7" x14ac:dyDescent="0.35">
      <c r="F9122">
        <v>9117</v>
      </c>
      <c r="G9122" s="102">
        <f t="shared" ca="1" si="146"/>
        <v>-0.13865076557481532</v>
      </c>
    </row>
    <row r="9123" spans="6:7" x14ac:dyDescent="0.35">
      <c r="F9123">
        <v>9118</v>
      </c>
      <c r="G9123" s="102">
        <f t="shared" ca="1" si="146"/>
        <v>1.093610474536829E-2</v>
      </c>
    </row>
    <row r="9124" spans="6:7" x14ac:dyDescent="0.35">
      <c r="F9124">
        <v>9119</v>
      </c>
      <c r="G9124" s="102">
        <f t="shared" ca="1" si="146"/>
        <v>-2.8553990915531985E-2</v>
      </c>
    </row>
    <row r="9125" spans="6:7" x14ac:dyDescent="0.35">
      <c r="F9125">
        <v>9120</v>
      </c>
      <c r="G9125" s="102">
        <f t="shared" ca="1" si="146"/>
        <v>6.2337487412624445E-2</v>
      </c>
    </row>
    <row r="9126" spans="6:7" x14ac:dyDescent="0.35">
      <c r="F9126">
        <v>9121</v>
      </c>
      <c r="G9126" s="102">
        <f t="shared" ca="1" si="146"/>
        <v>3.1350657967361861E-2</v>
      </c>
    </row>
    <row r="9127" spans="6:7" x14ac:dyDescent="0.35">
      <c r="F9127">
        <v>9122</v>
      </c>
      <c r="G9127" s="102">
        <f t="shared" ca="1" si="146"/>
        <v>-5.3520667557144755E-2</v>
      </c>
    </row>
    <row r="9128" spans="6:7" x14ac:dyDescent="0.35">
      <c r="F9128">
        <v>9123</v>
      </c>
      <c r="G9128" s="102">
        <f t="shared" ca="1" si="146"/>
        <v>0.11513544612257963</v>
      </c>
    </row>
    <row r="9129" spans="6:7" x14ac:dyDescent="0.35">
      <c r="F9129">
        <v>9124</v>
      </c>
      <c r="G9129" s="102">
        <f t="shared" ca="1" si="146"/>
        <v>-9.6726268203241442E-2</v>
      </c>
    </row>
    <row r="9130" spans="6:7" x14ac:dyDescent="0.35">
      <c r="F9130">
        <v>9125</v>
      </c>
      <c r="G9130" s="102">
        <f t="shared" ca="1" si="146"/>
        <v>5.7514115381428213E-2</v>
      </c>
    </row>
    <row r="9131" spans="6:7" x14ac:dyDescent="0.35">
      <c r="F9131">
        <v>9126</v>
      </c>
      <c r="G9131" s="102">
        <f t="shared" ca="1" si="146"/>
        <v>6.0751546890116359E-2</v>
      </c>
    </row>
    <row r="9132" spans="6:7" x14ac:dyDescent="0.35">
      <c r="F9132">
        <v>9127</v>
      </c>
      <c r="G9132" s="102">
        <f t="shared" ca="1" si="146"/>
        <v>-8.6349553346250385E-2</v>
      </c>
    </row>
    <row r="9133" spans="6:7" x14ac:dyDescent="0.35">
      <c r="F9133">
        <v>9128</v>
      </c>
      <c r="G9133" s="102">
        <f t="shared" ca="1" si="146"/>
        <v>4.0468185458929953E-2</v>
      </c>
    </row>
    <row r="9134" spans="6:7" x14ac:dyDescent="0.35">
      <c r="F9134">
        <v>9129</v>
      </c>
      <c r="G9134" s="102">
        <f t="shared" ca="1" si="146"/>
        <v>-4.0964318685544288E-2</v>
      </c>
    </row>
    <row r="9135" spans="6:7" x14ac:dyDescent="0.35">
      <c r="F9135">
        <v>9130</v>
      </c>
      <c r="G9135" s="102">
        <f t="shared" ca="1" si="146"/>
        <v>-5.2375605842847103E-2</v>
      </c>
    </row>
    <row r="9136" spans="6:7" x14ac:dyDescent="0.35">
      <c r="F9136">
        <v>9131</v>
      </c>
      <c r="G9136" s="102">
        <f t="shared" ca="1" si="146"/>
        <v>-7.8026593397906144E-2</v>
      </c>
    </row>
    <row r="9137" spans="6:7" x14ac:dyDescent="0.35">
      <c r="F9137">
        <v>9132</v>
      </c>
      <c r="G9137" s="102">
        <f t="shared" ca="1" si="146"/>
        <v>-2.9450816917938282E-2</v>
      </c>
    </row>
    <row r="9138" spans="6:7" x14ac:dyDescent="0.35">
      <c r="F9138">
        <v>9133</v>
      </c>
      <c r="G9138" s="102">
        <f t="shared" ca="1" si="146"/>
        <v>-1.3449503546720259E-2</v>
      </c>
    </row>
    <row r="9139" spans="6:7" x14ac:dyDescent="0.35">
      <c r="F9139">
        <v>9134</v>
      </c>
      <c r="G9139" s="102">
        <f t="shared" ca="1" si="146"/>
        <v>-8.2217277949289874E-2</v>
      </c>
    </row>
    <row r="9140" spans="6:7" x14ac:dyDescent="0.35">
      <c r="F9140">
        <v>9135</v>
      </c>
      <c r="G9140" s="102">
        <f t="shared" ca="1" si="146"/>
        <v>1.3628328224001153E-2</v>
      </c>
    </row>
    <row r="9141" spans="6:7" x14ac:dyDescent="0.35">
      <c r="F9141">
        <v>9136</v>
      </c>
      <c r="G9141" s="102">
        <f t="shared" ca="1" si="146"/>
        <v>-7.4960477984207421E-2</v>
      </c>
    </row>
    <row r="9142" spans="6:7" x14ac:dyDescent="0.35">
      <c r="F9142">
        <v>9137</v>
      </c>
      <c r="G9142" s="102">
        <f t="shared" ca="1" si="146"/>
        <v>-4.6498881175210061E-2</v>
      </c>
    </row>
    <row r="9143" spans="6:7" x14ac:dyDescent="0.35">
      <c r="F9143">
        <v>9138</v>
      </c>
      <c r="G9143" s="102">
        <f t="shared" ca="1" si="146"/>
        <v>-5.8758185121901493E-2</v>
      </c>
    </row>
    <row r="9144" spans="6:7" x14ac:dyDescent="0.35">
      <c r="F9144">
        <v>9139</v>
      </c>
      <c r="G9144" s="102">
        <f t="shared" ca="1" si="146"/>
        <v>4.8485854304297318E-2</v>
      </c>
    </row>
    <row r="9145" spans="6:7" x14ac:dyDescent="0.35">
      <c r="F9145">
        <v>9140</v>
      </c>
      <c r="G9145" s="102">
        <f t="shared" ca="1" si="146"/>
        <v>4.6443838462135623E-2</v>
      </c>
    </row>
    <row r="9146" spans="6:7" x14ac:dyDescent="0.35">
      <c r="F9146">
        <v>9141</v>
      </c>
      <c r="G9146" s="102">
        <f t="shared" ca="1" si="146"/>
        <v>-1.0441929493052549E-2</v>
      </c>
    </row>
    <row r="9147" spans="6:7" x14ac:dyDescent="0.35">
      <c r="F9147">
        <v>9142</v>
      </c>
      <c r="G9147" s="102">
        <f t="shared" ca="1" si="146"/>
        <v>0.10934501602850659</v>
      </c>
    </row>
    <row r="9148" spans="6:7" x14ac:dyDescent="0.35">
      <c r="F9148">
        <v>9143</v>
      </c>
      <c r="G9148" s="102">
        <f t="shared" ca="1" si="146"/>
        <v>-7.5501427476564645E-2</v>
      </c>
    </row>
    <row r="9149" spans="6:7" x14ac:dyDescent="0.35">
      <c r="F9149">
        <v>9144</v>
      </c>
      <c r="G9149" s="102">
        <f t="shared" ca="1" si="146"/>
        <v>-9.3812958206482711E-4</v>
      </c>
    </row>
    <row r="9150" spans="6:7" x14ac:dyDescent="0.35">
      <c r="F9150">
        <v>9145</v>
      </c>
      <c r="G9150" s="102">
        <f t="shared" ca="1" si="146"/>
        <v>-0.11241310601190699</v>
      </c>
    </row>
    <row r="9151" spans="6:7" x14ac:dyDescent="0.35">
      <c r="F9151">
        <v>9146</v>
      </c>
      <c r="G9151" s="102">
        <f t="shared" ca="1" si="146"/>
        <v>0.11461665747346238</v>
      </c>
    </row>
    <row r="9152" spans="6:7" x14ac:dyDescent="0.35">
      <c r="F9152">
        <v>9147</v>
      </c>
      <c r="G9152" s="102">
        <f t="shared" ca="1" si="146"/>
        <v>-6.8639867816469692E-3</v>
      </c>
    </row>
    <row r="9153" spans="6:7" x14ac:dyDescent="0.35">
      <c r="F9153">
        <v>9148</v>
      </c>
      <c r="G9153" s="102">
        <f t="shared" ca="1" si="146"/>
        <v>-6.7744591010208679E-3</v>
      </c>
    </row>
    <row r="9154" spans="6:7" x14ac:dyDescent="0.35">
      <c r="F9154">
        <v>9149</v>
      </c>
      <c r="G9154" s="102">
        <f t="shared" ca="1" si="146"/>
        <v>3.6811592654068692E-2</v>
      </c>
    </row>
    <row r="9155" spans="6:7" x14ac:dyDescent="0.35">
      <c r="F9155">
        <v>9150</v>
      </c>
      <c r="G9155" s="102">
        <f t="shared" ca="1" si="146"/>
        <v>4.4541023398254026E-2</v>
      </c>
    </row>
    <row r="9156" spans="6:7" x14ac:dyDescent="0.35">
      <c r="F9156">
        <v>9151</v>
      </c>
      <c r="G9156" s="102">
        <f t="shared" ca="1" si="146"/>
        <v>-6.5298493936553653E-2</v>
      </c>
    </row>
    <row r="9157" spans="6:7" x14ac:dyDescent="0.35">
      <c r="F9157">
        <v>9152</v>
      </c>
      <c r="G9157" s="102">
        <f t="shared" ca="1" si="146"/>
        <v>8.8592435185964574E-2</v>
      </c>
    </row>
    <row r="9158" spans="6:7" x14ac:dyDescent="0.35">
      <c r="F9158">
        <v>9153</v>
      </c>
      <c r="G9158" s="102">
        <f t="shared" ca="1" si="146"/>
        <v>4.2368772624938822E-2</v>
      </c>
    </row>
    <row r="9159" spans="6:7" x14ac:dyDescent="0.35">
      <c r="F9159">
        <v>9154</v>
      </c>
      <c r="G9159" s="102">
        <f t="shared" ref="G9159:G9222" ca="1" si="147">_xlfn.NORM.INV(RAND(),M$9,M$10)</f>
        <v>3.2107300975752526E-2</v>
      </c>
    </row>
    <row r="9160" spans="6:7" x14ac:dyDescent="0.35">
      <c r="F9160">
        <v>9155</v>
      </c>
      <c r="G9160" s="102">
        <f t="shared" ca="1" si="147"/>
        <v>5.7448772156768788E-2</v>
      </c>
    </row>
    <row r="9161" spans="6:7" x14ac:dyDescent="0.35">
      <c r="F9161">
        <v>9156</v>
      </c>
      <c r="G9161" s="102">
        <f t="shared" ca="1" si="147"/>
        <v>-4.463519096237005E-2</v>
      </c>
    </row>
    <row r="9162" spans="6:7" x14ac:dyDescent="0.35">
      <c r="F9162">
        <v>9157</v>
      </c>
      <c r="G9162" s="102">
        <f t="shared" ca="1" si="147"/>
        <v>5.6400993312109848E-2</v>
      </c>
    </row>
    <row r="9163" spans="6:7" x14ac:dyDescent="0.35">
      <c r="F9163">
        <v>9158</v>
      </c>
      <c r="G9163" s="102">
        <f t="shared" ca="1" si="147"/>
        <v>-3.5390289079971896E-2</v>
      </c>
    </row>
    <row r="9164" spans="6:7" x14ac:dyDescent="0.35">
      <c r="F9164">
        <v>9159</v>
      </c>
      <c r="G9164" s="102">
        <f t="shared" ca="1" si="147"/>
        <v>7.4995487806599342E-2</v>
      </c>
    </row>
    <row r="9165" spans="6:7" x14ac:dyDescent="0.35">
      <c r="F9165">
        <v>9160</v>
      </c>
      <c r="G9165" s="102">
        <f t="shared" ca="1" si="147"/>
        <v>-2.032252433734421E-2</v>
      </c>
    </row>
    <row r="9166" spans="6:7" x14ac:dyDescent="0.35">
      <c r="F9166">
        <v>9161</v>
      </c>
      <c r="G9166" s="102">
        <f t="shared" ca="1" si="147"/>
        <v>-5.5106513547777056E-2</v>
      </c>
    </row>
    <row r="9167" spans="6:7" x14ac:dyDescent="0.35">
      <c r="F9167">
        <v>9162</v>
      </c>
      <c r="G9167" s="102">
        <f t="shared" ca="1" si="147"/>
        <v>9.9675864498695518E-2</v>
      </c>
    </row>
    <row r="9168" spans="6:7" x14ac:dyDescent="0.35">
      <c r="F9168">
        <v>9163</v>
      </c>
      <c r="G9168" s="102">
        <f t="shared" ca="1" si="147"/>
        <v>-6.2731067142425934E-2</v>
      </c>
    </row>
    <row r="9169" spans="6:7" x14ac:dyDescent="0.35">
      <c r="F9169">
        <v>9164</v>
      </c>
      <c r="G9169" s="102">
        <f t="shared" ca="1" si="147"/>
        <v>4.3722900371433414E-3</v>
      </c>
    </row>
    <row r="9170" spans="6:7" x14ac:dyDescent="0.35">
      <c r="F9170">
        <v>9165</v>
      </c>
      <c r="G9170" s="102">
        <f t="shared" ca="1" si="147"/>
        <v>8.4535777122033029E-2</v>
      </c>
    </row>
    <row r="9171" spans="6:7" x14ac:dyDescent="0.35">
      <c r="F9171">
        <v>9166</v>
      </c>
      <c r="G9171" s="102">
        <f t="shared" ca="1" si="147"/>
        <v>7.4656497201462071E-2</v>
      </c>
    </row>
    <row r="9172" spans="6:7" x14ac:dyDescent="0.35">
      <c r="F9172">
        <v>9167</v>
      </c>
      <c r="G9172" s="102">
        <f t="shared" ca="1" si="147"/>
        <v>1.0987494691331586E-2</v>
      </c>
    </row>
    <row r="9173" spans="6:7" x14ac:dyDescent="0.35">
      <c r="F9173">
        <v>9168</v>
      </c>
      <c r="G9173" s="102">
        <f t="shared" ca="1" si="147"/>
        <v>5.4253170723309124E-2</v>
      </c>
    </row>
    <row r="9174" spans="6:7" x14ac:dyDescent="0.35">
      <c r="F9174">
        <v>9169</v>
      </c>
      <c r="G9174" s="102">
        <f t="shared" ca="1" si="147"/>
        <v>4.3176226875775811E-2</v>
      </c>
    </row>
    <row r="9175" spans="6:7" x14ac:dyDescent="0.35">
      <c r="F9175">
        <v>9170</v>
      </c>
      <c r="G9175" s="102">
        <f t="shared" ca="1" si="147"/>
        <v>4.7181143232815428E-2</v>
      </c>
    </row>
    <row r="9176" spans="6:7" x14ac:dyDescent="0.35">
      <c r="F9176">
        <v>9171</v>
      </c>
      <c r="G9176" s="102">
        <f t="shared" ca="1" si="147"/>
        <v>6.9428229724053464E-2</v>
      </c>
    </row>
    <row r="9177" spans="6:7" x14ac:dyDescent="0.35">
      <c r="F9177">
        <v>9172</v>
      </c>
      <c r="G9177" s="102">
        <f t="shared" ca="1" si="147"/>
        <v>1.0073680546652683E-2</v>
      </c>
    </row>
    <row r="9178" spans="6:7" x14ac:dyDescent="0.35">
      <c r="F9178">
        <v>9173</v>
      </c>
      <c r="G9178" s="102">
        <f t="shared" ca="1" si="147"/>
        <v>1.7725829710854117E-2</v>
      </c>
    </row>
    <row r="9179" spans="6:7" x14ac:dyDescent="0.35">
      <c r="F9179">
        <v>9174</v>
      </c>
      <c r="G9179" s="102">
        <f t="shared" ca="1" si="147"/>
        <v>9.5588465322452784E-2</v>
      </c>
    </row>
    <row r="9180" spans="6:7" x14ac:dyDescent="0.35">
      <c r="F9180">
        <v>9175</v>
      </c>
      <c r="G9180" s="102">
        <f t="shared" ca="1" si="147"/>
        <v>0.12247609469930799</v>
      </c>
    </row>
    <row r="9181" spans="6:7" x14ac:dyDescent="0.35">
      <c r="F9181">
        <v>9176</v>
      </c>
      <c r="G9181" s="102">
        <f t="shared" ca="1" si="147"/>
        <v>0.16244723561160135</v>
      </c>
    </row>
    <row r="9182" spans="6:7" x14ac:dyDescent="0.35">
      <c r="F9182">
        <v>9177</v>
      </c>
      <c r="G9182" s="102">
        <f t="shared" ca="1" si="147"/>
        <v>3.3886120396941041E-2</v>
      </c>
    </row>
    <row r="9183" spans="6:7" x14ac:dyDescent="0.35">
      <c r="F9183">
        <v>9178</v>
      </c>
      <c r="G9183" s="102">
        <f t="shared" ca="1" si="147"/>
        <v>-8.391387735592927E-3</v>
      </c>
    </row>
    <row r="9184" spans="6:7" x14ac:dyDescent="0.35">
      <c r="F9184">
        <v>9179</v>
      </c>
      <c r="G9184" s="102">
        <f t="shared" ca="1" si="147"/>
        <v>-2.031098454618558E-2</v>
      </c>
    </row>
    <row r="9185" spans="6:7" x14ac:dyDescent="0.35">
      <c r="F9185">
        <v>9180</v>
      </c>
      <c r="G9185" s="102">
        <f t="shared" ca="1" si="147"/>
        <v>3.8874263051818667E-2</v>
      </c>
    </row>
    <row r="9186" spans="6:7" x14ac:dyDescent="0.35">
      <c r="F9186">
        <v>9181</v>
      </c>
      <c r="G9186" s="102">
        <f t="shared" ca="1" si="147"/>
        <v>3.3308746672113476E-2</v>
      </c>
    </row>
    <row r="9187" spans="6:7" x14ac:dyDescent="0.35">
      <c r="F9187">
        <v>9182</v>
      </c>
      <c r="G9187" s="102">
        <f t="shared" ca="1" si="147"/>
        <v>-2.4450172772568363E-2</v>
      </c>
    </row>
    <row r="9188" spans="6:7" x14ac:dyDescent="0.35">
      <c r="F9188">
        <v>9183</v>
      </c>
      <c r="G9188" s="102">
        <f t="shared" ca="1" si="147"/>
        <v>7.0142842456549961E-2</v>
      </c>
    </row>
    <row r="9189" spans="6:7" x14ac:dyDescent="0.35">
      <c r="F9189">
        <v>9184</v>
      </c>
      <c r="G9189" s="102">
        <f t="shared" ca="1" si="147"/>
        <v>-3.7609797805701672E-2</v>
      </c>
    </row>
    <row r="9190" spans="6:7" x14ac:dyDescent="0.35">
      <c r="F9190">
        <v>9185</v>
      </c>
      <c r="G9190" s="102">
        <f t="shared" ca="1" si="147"/>
        <v>-8.4283375157540308E-2</v>
      </c>
    </row>
    <row r="9191" spans="6:7" x14ac:dyDescent="0.35">
      <c r="F9191">
        <v>9186</v>
      </c>
      <c r="G9191" s="102">
        <f t="shared" ca="1" si="147"/>
        <v>-5.2021239514266973E-2</v>
      </c>
    </row>
    <row r="9192" spans="6:7" x14ac:dyDescent="0.35">
      <c r="F9192">
        <v>9187</v>
      </c>
      <c r="G9192" s="102">
        <f t="shared" ca="1" si="147"/>
        <v>0.10064267440229153</v>
      </c>
    </row>
    <row r="9193" spans="6:7" x14ac:dyDescent="0.35">
      <c r="F9193">
        <v>9188</v>
      </c>
      <c r="G9193" s="102">
        <f t="shared" ca="1" si="147"/>
        <v>-0.12807978750567209</v>
      </c>
    </row>
    <row r="9194" spans="6:7" x14ac:dyDescent="0.35">
      <c r="F9194">
        <v>9189</v>
      </c>
      <c r="G9194" s="102">
        <f t="shared" ca="1" si="147"/>
        <v>-0.14909350949511926</v>
      </c>
    </row>
    <row r="9195" spans="6:7" x14ac:dyDescent="0.35">
      <c r="F9195">
        <v>9190</v>
      </c>
      <c r="G9195" s="102">
        <f t="shared" ca="1" si="147"/>
        <v>-0.1129491201736632</v>
      </c>
    </row>
    <row r="9196" spans="6:7" x14ac:dyDescent="0.35">
      <c r="F9196">
        <v>9191</v>
      </c>
      <c r="G9196" s="102">
        <f t="shared" ca="1" si="147"/>
        <v>-3.1585553174022972E-2</v>
      </c>
    </row>
    <row r="9197" spans="6:7" x14ac:dyDescent="0.35">
      <c r="F9197">
        <v>9192</v>
      </c>
      <c r="G9197" s="102">
        <f t="shared" ca="1" si="147"/>
        <v>0.10398734840215672</v>
      </c>
    </row>
    <row r="9198" spans="6:7" x14ac:dyDescent="0.35">
      <c r="F9198">
        <v>9193</v>
      </c>
      <c r="G9198" s="102">
        <f t="shared" ca="1" si="147"/>
        <v>-4.5153504049121218E-2</v>
      </c>
    </row>
    <row r="9199" spans="6:7" x14ac:dyDescent="0.35">
      <c r="F9199">
        <v>9194</v>
      </c>
      <c r="G9199" s="102">
        <f t="shared" ca="1" si="147"/>
        <v>1.2860003428341583E-2</v>
      </c>
    </row>
    <row r="9200" spans="6:7" x14ac:dyDescent="0.35">
      <c r="F9200">
        <v>9195</v>
      </c>
      <c r="G9200" s="102">
        <f t="shared" ca="1" si="147"/>
        <v>-4.5160720114384476E-2</v>
      </c>
    </row>
    <row r="9201" spans="6:7" x14ac:dyDescent="0.35">
      <c r="F9201">
        <v>9196</v>
      </c>
      <c r="G9201" s="102">
        <f t="shared" ca="1" si="147"/>
        <v>-2.2948646170151958E-2</v>
      </c>
    </row>
    <row r="9202" spans="6:7" x14ac:dyDescent="0.35">
      <c r="F9202">
        <v>9197</v>
      </c>
      <c r="G9202" s="102">
        <f t="shared" ca="1" si="147"/>
        <v>-7.5833808838794897E-2</v>
      </c>
    </row>
    <row r="9203" spans="6:7" x14ac:dyDescent="0.35">
      <c r="F9203">
        <v>9198</v>
      </c>
      <c r="G9203" s="102">
        <f t="shared" ca="1" si="147"/>
        <v>-3.6275430872396416E-2</v>
      </c>
    </row>
    <row r="9204" spans="6:7" x14ac:dyDescent="0.35">
      <c r="F9204">
        <v>9199</v>
      </c>
      <c r="G9204" s="102">
        <f t="shared" ca="1" si="147"/>
        <v>-7.8793749393751347E-2</v>
      </c>
    </row>
    <row r="9205" spans="6:7" x14ac:dyDescent="0.35">
      <c r="F9205">
        <v>9200</v>
      </c>
      <c r="G9205" s="102">
        <f t="shared" ca="1" si="147"/>
        <v>-3.858312925560139E-3</v>
      </c>
    </row>
    <row r="9206" spans="6:7" x14ac:dyDescent="0.35">
      <c r="F9206">
        <v>9201</v>
      </c>
      <c r="G9206" s="102">
        <f t="shared" ca="1" si="147"/>
        <v>1.5640267529008448E-2</v>
      </c>
    </row>
    <row r="9207" spans="6:7" x14ac:dyDescent="0.35">
      <c r="F9207">
        <v>9202</v>
      </c>
      <c r="G9207" s="102">
        <f t="shared" ca="1" si="147"/>
        <v>-7.4196840229642097E-2</v>
      </c>
    </row>
    <row r="9208" spans="6:7" x14ac:dyDescent="0.35">
      <c r="F9208">
        <v>9203</v>
      </c>
      <c r="G9208" s="102">
        <f t="shared" ca="1" si="147"/>
        <v>-5.1269034280170211E-2</v>
      </c>
    </row>
    <row r="9209" spans="6:7" x14ac:dyDescent="0.35">
      <c r="F9209">
        <v>9204</v>
      </c>
      <c r="G9209" s="102">
        <f t="shared" ca="1" si="147"/>
        <v>-2.4471679923583574E-2</v>
      </c>
    </row>
    <row r="9210" spans="6:7" x14ac:dyDescent="0.35">
      <c r="F9210">
        <v>9205</v>
      </c>
      <c r="G9210" s="102">
        <f t="shared" ca="1" si="147"/>
        <v>-5.8966159069142234E-3</v>
      </c>
    </row>
    <row r="9211" spans="6:7" x14ac:dyDescent="0.35">
      <c r="F9211">
        <v>9206</v>
      </c>
      <c r="G9211" s="102">
        <f t="shared" ca="1" si="147"/>
        <v>1.4996541253059492E-2</v>
      </c>
    </row>
    <row r="9212" spans="6:7" x14ac:dyDescent="0.35">
      <c r="F9212">
        <v>9207</v>
      </c>
      <c r="G9212" s="102">
        <f t="shared" ca="1" si="147"/>
        <v>-2.0480314111976879E-2</v>
      </c>
    </row>
    <row r="9213" spans="6:7" x14ac:dyDescent="0.35">
      <c r="F9213">
        <v>9208</v>
      </c>
      <c r="G9213" s="102">
        <f t="shared" ca="1" si="147"/>
        <v>-0.11706621941146925</v>
      </c>
    </row>
    <row r="9214" spans="6:7" x14ac:dyDescent="0.35">
      <c r="F9214">
        <v>9209</v>
      </c>
      <c r="G9214" s="102">
        <f t="shared" ca="1" si="147"/>
        <v>-2.7069583425576142E-2</v>
      </c>
    </row>
    <row r="9215" spans="6:7" x14ac:dyDescent="0.35">
      <c r="F9215">
        <v>9210</v>
      </c>
      <c r="G9215" s="102">
        <f t="shared" ca="1" si="147"/>
        <v>-4.3431394864618222E-2</v>
      </c>
    </row>
    <row r="9216" spans="6:7" x14ac:dyDescent="0.35">
      <c r="F9216">
        <v>9211</v>
      </c>
      <c r="G9216" s="102">
        <f t="shared" ca="1" si="147"/>
        <v>-3.4407544064745846E-2</v>
      </c>
    </row>
    <row r="9217" spans="6:7" x14ac:dyDescent="0.35">
      <c r="F9217">
        <v>9212</v>
      </c>
      <c r="G9217" s="102">
        <f t="shared" ca="1" si="147"/>
        <v>-1.4426718868496658E-2</v>
      </c>
    </row>
    <row r="9218" spans="6:7" x14ac:dyDescent="0.35">
      <c r="F9218">
        <v>9213</v>
      </c>
      <c r="G9218" s="102">
        <f t="shared" ca="1" si="147"/>
        <v>-7.387071467806125E-2</v>
      </c>
    </row>
    <row r="9219" spans="6:7" x14ac:dyDescent="0.35">
      <c r="F9219">
        <v>9214</v>
      </c>
      <c r="G9219" s="102">
        <f t="shared" ca="1" si="147"/>
        <v>1.9654746214376535E-2</v>
      </c>
    </row>
    <row r="9220" spans="6:7" x14ac:dyDescent="0.35">
      <c r="F9220">
        <v>9215</v>
      </c>
      <c r="G9220" s="102">
        <f t="shared" ca="1" si="147"/>
        <v>1.3265156374063749E-2</v>
      </c>
    </row>
    <row r="9221" spans="6:7" x14ac:dyDescent="0.35">
      <c r="F9221">
        <v>9216</v>
      </c>
      <c r="G9221" s="102">
        <f t="shared" ca="1" si="147"/>
        <v>-4.6520615215466687E-2</v>
      </c>
    </row>
    <row r="9222" spans="6:7" x14ac:dyDescent="0.35">
      <c r="F9222">
        <v>9217</v>
      </c>
      <c r="G9222" s="102">
        <f t="shared" ca="1" si="147"/>
        <v>1.2652919326190386E-2</v>
      </c>
    </row>
    <row r="9223" spans="6:7" x14ac:dyDescent="0.35">
      <c r="F9223">
        <v>9218</v>
      </c>
      <c r="G9223" s="102">
        <f t="shared" ref="G9223:G9286" ca="1" si="148">_xlfn.NORM.INV(RAND(),M$9,M$10)</f>
        <v>1.1191891311343068E-2</v>
      </c>
    </row>
    <row r="9224" spans="6:7" x14ac:dyDescent="0.35">
      <c r="F9224">
        <v>9219</v>
      </c>
      <c r="G9224" s="102">
        <f t="shared" ca="1" si="148"/>
        <v>2.764028032603499E-2</v>
      </c>
    </row>
    <row r="9225" spans="6:7" x14ac:dyDescent="0.35">
      <c r="F9225">
        <v>9220</v>
      </c>
      <c r="G9225" s="102">
        <f t="shared" ca="1" si="148"/>
        <v>-9.6097246130395345E-2</v>
      </c>
    </row>
    <row r="9226" spans="6:7" x14ac:dyDescent="0.35">
      <c r="F9226">
        <v>9221</v>
      </c>
      <c r="G9226" s="102">
        <f t="shared" ca="1" si="148"/>
        <v>6.1353304467774997E-2</v>
      </c>
    </row>
    <row r="9227" spans="6:7" x14ac:dyDescent="0.35">
      <c r="F9227">
        <v>9222</v>
      </c>
      <c r="G9227" s="102">
        <f t="shared" ca="1" si="148"/>
        <v>-0.10018651380037734</v>
      </c>
    </row>
    <row r="9228" spans="6:7" x14ac:dyDescent="0.35">
      <c r="F9228">
        <v>9223</v>
      </c>
      <c r="G9228" s="102">
        <f t="shared" ca="1" si="148"/>
        <v>4.3555314486290311E-2</v>
      </c>
    </row>
    <row r="9229" spans="6:7" x14ac:dyDescent="0.35">
      <c r="F9229">
        <v>9224</v>
      </c>
      <c r="G9229" s="102">
        <f t="shared" ca="1" si="148"/>
        <v>-2.7096917124532979E-2</v>
      </c>
    </row>
    <row r="9230" spans="6:7" x14ac:dyDescent="0.35">
      <c r="F9230">
        <v>9225</v>
      </c>
      <c r="G9230" s="102">
        <f t="shared" ca="1" si="148"/>
        <v>-0.13773118948303151</v>
      </c>
    </row>
    <row r="9231" spans="6:7" x14ac:dyDescent="0.35">
      <c r="F9231">
        <v>9226</v>
      </c>
      <c r="G9231" s="102">
        <f t="shared" ca="1" si="148"/>
        <v>0.10831315113041984</v>
      </c>
    </row>
    <row r="9232" spans="6:7" x14ac:dyDescent="0.35">
      <c r="F9232">
        <v>9227</v>
      </c>
      <c r="G9232" s="102">
        <f t="shared" ca="1" si="148"/>
        <v>-3.5132290949854234E-2</v>
      </c>
    </row>
    <row r="9233" spans="6:7" x14ac:dyDescent="0.35">
      <c r="F9233">
        <v>9228</v>
      </c>
      <c r="G9233" s="102">
        <f t="shared" ca="1" si="148"/>
        <v>-1.0193890564166863E-2</v>
      </c>
    </row>
    <row r="9234" spans="6:7" x14ac:dyDescent="0.35">
      <c r="F9234">
        <v>9229</v>
      </c>
      <c r="G9234" s="102">
        <f t="shared" ca="1" si="148"/>
        <v>-2.6482981228913387E-2</v>
      </c>
    </row>
    <row r="9235" spans="6:7" x14ac:dyDescent="0.35">
      <c r="F9235">
        <v>9230</v>
      </c>
      <c r="G9235" s="102">
        <f t="shared" ca="1" si="148"/>
        <v>6.144211171271266E-2</v>
      </c>
    </row>
    <row r="9236" spans="6:7" x14ac:dyDescent="0.35">
      <c r="F9236">
        <v>9231</v>
      </c>
      <c r="G9236" s="102">
        <f t="shared" ca="1" si="148"/>
        <v>-8.7542736804312848E-2</v>
      </c>
    </row>
    <row r="9237" spans="6:7" x14ac:dyDescent="0.35">
      <c r="F9237">
        <v>9232</v>
      </c>
      <c r="G9237" s="102">
        <f t="shared" ca="1" si="148"/>
        <v>3.3420686712068021E-2</v>
      </c>
    </row>
    <row r="9238" spans="6:7" x14ac:dyDescent="0.35">
      <c r="F9238">
        <v>9233</v>
      </c>
      <c r="G9238" s="102">
        <f t="shared" ca="1" si="148"/>
        <v>-1.7117952046578691E-2</v>
      </c>
    </row>
    <row r="9239" spans="6:7" x14ac:dyDescent="0.35">
      <c r="F9239">
        <v>9234</v>
      </c>
      <c r="G9239" s="102">
        <f t="shared" ca="1" si="148"/>
        <v>-7.6013498085460929E-2</v>
      </c>
    </row>
    <row r="9240" spans="6:7" x14ac:dyDescent="0.35">
      <c r="F9240">
        <v>9235</v>
      </c>
      <c r="G9240" s="102">
        <f t="shared" ca="1" si="148"/>
        <v>2.4584581019981174E-2</v>
      </c>
    </row>
    <row r="9241" spans="6:7" x14ac:dyDescent="0.35">
      <c r="F9241">
        <v>9236</v>
      </c>
      <c r="G9241" s="102">
        <f t="shared" ca="1" si="148"/>
        <v>-0.12001248787211849</v>
      </c>
    </row>
    <row r="9242" spans="6:7" x14ac:dyDescent="0.35">
      <c r="F9242">
        <v>9237</v>
      </c>
      <c r="G9242" s="102">
        <f t="shared" ca="1" si="148"/>
        <v>-4.99436872723089E-3</v>
      </c>
    </row>
    <row r="9243" spans="6:7" x14ac:dyDescent="0.35">
      <c r="F9243">
        <v>9238</v>
      </c>
      <c r="G9243" s="102">
        <f t="shared" ca="1" si="148"/>
        <v>-0.12876943786385317</v>
      </c>
    </row>
    <row r="9244" spans="6:7" x14ac:dyDescent="0.35">
      <c r="F9244">
        <v>9239</v>
      </c>
      <c r="G9244" s="102">
        <f t="shared" ca="1" si="148"/>
        <v>1.8421371841841359E-2</v>
      </c>
    </row>
    <row r="9245" spans="6:7" x14ac:dyDescent="0.35">
      <c r="F9245">
        <v>9240</v>
      </c>
      <c r="G9245" s="102">
        <f t="shared" ca="1" si="148"/>
        <v>-8.7497629587407269E-2</v>
      </c>
    </row>
    <row r="9246" spans="6:7" x14ac:dyDescent="0.35">
      <c r="F9246">
        <v>9241</v>
      </c>
      <c r="G9246" s="102">
        <f t="shared" ca="1" si="148"/>
        <v>-2.7057887853989757E-2</v>
      </c>
    </row>
    <row r="9247" spans="6:7" x14ac:dyDescent="0.35">
      <c r="F9247">
        <v>9242</v>
      </c>
      <c r="G9247" s="102">
        <f t="shared" ca="1" si="148"/>
        <v>7.1613744155897149E-2</v>
      </c>
    </row>
    <row r="9248" spans="6:7" x14ac:dyDescent="0.35">
      <c r="F9248">
        <v>9243</v>
      </c>
      <c r="G9248" s="102">
        <f t="shared" ca="1" si="148"/>
        <v>-1.775651796722804E-2</v>
      </c>
    </row>
    <row r="9249" spans="6:7" x14ac:dyDescent="0.35">
      <c r="F9249">
        <v>9244</v>
      </c>
      <c r="G9249" s="102">
        <f t="shared" ca="1" si="148"/>
        <v>0.1110991706073626</v>
      </c>
    </row>
    <row r="9250" spans="6:7" x14ac:dyDescent="0.35">
      <c r="F9250">
        <v>9245</v>
      </c>
      <c r="G9250" s="102">
        <f t="shared" ca="1" si="148"/>
        <v>3.1785380105102637E-2</v>
      </c>
    </row>
    <row r="9251" spans="6:7" x14ac:dyDescent="0.35">
      <c r="F9251">
        <v>9246</v>
      </c>
      <c r="G9251" s="102">
        <f t="shared" ca="1" si="148"/>
        <v>-9.2759899344832461E-3</v>
      </c>
    </row>
    <row r="9252" spans="6:7" x14ac:dyDescent="0.35">
      <c r="F9252">
        <v>9247</v>
      </c>
      <c r="G9252" s="102">
        <f t="shared" ca="1" si="148"/>
        <v>-1.7573932980942185E-3</v>
      </c>
    </row>
    <row r="9253" spans="6:7" x14ac:dyDescent="0.35">
      <c r="F9253">
        <v>9248</v>
      </c>
      <c r="G9253" s="102">
        <f t="shared" ca="1" si="148"/>
        <v>-3.2960365621002088E-2</v>
      </c>
    </row>
    <row r="9254" spans="6:7" x14ac:dyDescent="0.35">
      <c r="F9254">
        <v>9249</v>
      </c>
      <c r="G9254" s="102">
        <f t="shared" ca="1" si="148"/>
        <v>-0.11447625380721814</v>
      </c>
    </row>
    <row r="9255" spans="6:7" x14ac:dyDescent="0.35">
      <c r="F9255">
        <v>9250</v>
      </c>
      <c r="G9255" s="102">
        <f t="shared" ca="1" si="148"/>
        <v>2.7595183391941103E-2</v>
      </c>
    </row>
    <row r="9256" spans="6:7" x14ac:dyDescent="0.35">
      <c r="F9256">
        <v>9251</v>
      </c>
      <c r="G9256" s="102">
        <f t="shared" ca="1" si="148"/>
        <v>7.9416074092967429E-2</v>
      </c>
    </row>
    <row r="9257" spans="6:7" x14ac:dyDescent="0.35">
      <c r="F9257">
        <v>9252</v>
      </c>
      <c r="G9257" s="102">
        <f t="shared" ca="1" si="148"/>
        <v>4.9462487126899046E-2</v>
      </c>
    </row>
    <row r="9258" spans="6:7" x14ac:dyDescent="0.35">
      <c r="F9258">
        <v>9253</v>
      </c>
      <c r="G9258" s="102">
        <f t="shared" ca="1" si="148"/>
        <v>-3.8092207071243195E-2</v>
      </c>
    </row>
    <row r="9259" spans="6:7" x14ac:dyDescent="0.35">
      <c r="F9259">
        <v>9254</v>
      </c>
      <c r="G9259" s="102">
        <f t="shared" ca="1" si="148"/>
        <v>4.4961274645519925E-2</v>
      </c>
    </row>
    <row r="9260" spans="6:7" x14ac:dyDescent="0.35">
      <c r="F9260">
        <v>9255</v>
      </c>
      <c r="G9260" s="102">
        <f t="shared" ca="1" si="148"/>
        <v>7.8382845411727964E-2</v>
      </c>
    </row>
    <row r="9261" spans="6:7" x14ac:dyDescent="0.35">
      <c r="F9261">
        <v>9256</v>
      </c>
      <c r="G9261" s="102">
        <f t="shared" ca="1" si="148"/>
        <v>-0.12785521156458607</v>
      </c>
    </row>
    <row r="9262" spans="6:7" x14ac:dyDescent="0.35">
      <c r="F9262">
        <v>9257</v>
      </c>
      <c r="G9262" s="102">
        <f t="shared" ca="1" si="148"/>
        <v>8.2211388918839688E-3</v>
      </c>
    </row>
    <row r="9263" spans="6:7" x14ac:dyDescent="0.35">
      <c r="F9263">
        <v>9258</v>
      </c>
      <c r="G9263" s="102">
        <f t="shared" ca="1" si="148"/>
        <v>5.4095253468787588E-2</v>
      </c>
    </row>
    <row r="9264" spans="6:7" x14ac:dyDescent="0.35">
      <c r="F9264">
        <v>9259</v>
      </c>
      <c r="G9264" s="102">
        <f t="shared" ca="1" si="148"/>
        <v>0.13499198787773264</v>
      </c>
    </row>
    <row r="9265" spans="6:7" x14ac:dyDescent="0.35">
      <c r="F9265">
        <v>9260</v>
      </c>
      <c r="G9265" s="102">
        <f t="shared" ca="1" si="148"/>
        <v>5.5968594742115435E-2</v>
      </c>
    </row>
    <row r="9266" spans="6:7" x14ac:dyDescent="0.35">
      <c r="F9266">
        <v>9261</v>
      </c>
      <c r="G9266" s="102">
        <f t="shared" ca="1" si="148"/>
        <v>8.8159343972064083E-2</v>
      </c>
    </row>
    <row r="9267" spans="6:7" x14ac:dyDescent="0.35">
      <c r="F9267">
        <v>9262</v>
      </c>
      <c r="G9267" s="102">
        <f t="shared" ca="1" si="148"/>
        <v>-6.5176831695845414E-2</v>
      </c>
    </row>
    <row r="9268" spans="6:7" x14ac:dyDescent="0.35">
      <c r="F9268">
        <v>9263</v>
      </c>
      <c r="G9268" s="102">
        <f t="shared" ca="1" si="148"/>
        <v>-2.6014752630920936E-2</v>
      </c>
    </row>
    <row r="9269" spans="6:7" x14ac:dyDescent="0.35">
      <c r="F9269">
        <v>9264</v>
      </c>
      <c r="G9269" s="102">
        <f t="shared" ca="1" si="148"/>
        <v>-3.7529379960582712E-2</v>
      </c>
    </row>
    <row r="9270" spans="6:7" x14ac:dyDescent="0.35">
      <c r="F9270">
        <v>9265</v>
      </c>
      <c r="G9270" s="102">
        <f t="shared" ca="1" si="148"/>
        <v>-7.104839437007817E-3</v>
      </c>
    </row>
    <row r="9271" spans="6:7" x14ac:dyDescent="0.35">
      <c r="F9271">
        <v>9266</v>
      </c>
      <c r="G9271" s="102">
        <f t="shared" ca="1" si="148"/>
        <v>-5.42578308785088E-2</v>
      </c>
    </row>
    <row r="9272" spans="6:7" x14ac:dyDescent="0.35">
      <c r="F9272">
        <v>9267</v>
      </c>
      <c r="G9272" s="102">
        <f t="shared" ca="1" si="148"/>
        <v>-1.5861040435393887E-2</v>
      </c>
    </row>
    <row r="9273" spans="6:7" x14ac:dyDescent="0.35">
      <c r="F9273">
        <v>9268</v>
      </c>
      <c r="G9273" s="102">
        <f t="shared" ca="1" si="148"/>
        <v>1.0585579637785041E-2</v>
      </c>
    </row>
    <row r="9274" spans="6:7" x14ac:dyDescent="0.35">
      <c r="F9274">
        <v>9269</v>
      </c>
      <c r="G9274" s="102">
        <f t="shared" ca="1" si="148"/>
        <v>-1.0455192729341499E-2</v>
      </c>
    </row>
    <row r="9275" spans="6:7" x14ac:dyDescent="0.35">
      <c r="F9275">
        <v>9270</v>
      </c>
      <c r="G9275" s="102">
        <f t="shared" ca="1" si="148"/>
        <v>2.7678514913823848E-2</v>
      </c>
    </row>
    <row r="9276" spans="6:7" x14ac:dyDescent="0.35">
      <c r="F9276">
        <v>9271</v>
      </c>
      <c r="G9276" s="102">
        <f t="shared" ca="1" si="148"/>
        <v>-4.0822579921455562E-2</v>
      </c>
    </row>
    <row r="9277" spans="6:7" x14ac:dyDescent="0.35">
      <c r="F9277">
        <v>9272</v>
      </c>
      <c r="G9277" s="102">
        <f t="shared" ca="1" si="148"/>
        <v>-1.403155042984245E-2</v>
      </c>
    </row>
    <row r="9278" spans="6:7" x14ac:dyDescent="0.35">
      <c r="F9278">
        <v>9273</v>
      </c>
      <c r="G9278" s="102">
        <f t="shared" ca="1" si="148"/>
        <v>-1.814471165370288E-3</v>
      </c>
    </row>
    <row r="9279" spans="6:7" x14ac:dyDescent="0.35">
      <c r="F9279">
        <v>9274</v>
      </c>
      <c r="G9279" s="102">
        <f t="shared" ca="1" si="148"/>
        <v>4.7386896763712882E-2</v>
      </c>
    </row>
    <row r="9280" spans="6:7" x14ac:dyDescent="0.35">
      <c r="F9280">
        <v>9275</v>
      </c>
      <c r="G9280" s="102">
        <f t="shared" ca="1" si="148"/>
        <v>-7.7810829351325717E-2</v>
      </c>
    </row>
    <row r="9281" spans="6:7" x14ac:dyDescent="0.35">
      <c r="F9281">
        <v>9276</v>
      </c>
      <c r="G9281" s="102">
        <f t="shared" ca="1" si="148"/>
        <v>9.5466472358563564E-2</v>
      </c>
    </row>
    <row r="9282" spans="6:7" x14ac:dyDescent="0.35">
      <c r="F9282">
        <v>9277</v>
      </c>
      <c r="G9282" s="102">
        <f t="shared" ca="1" si="148"/>
        <v>1.5789166649379082E-2</v>
      </c>
    </row>
    <row r="9283" spans="6:7" x14ac:dyDescent="0.35">
      <c r="F9283">
        <v>9278</v>
      </c>
      <c r="G9283" s="102">
        <f t="shared" ca="1" si="148"/>
        <v>0.16774791251320925</v>
      </c>
    </row>
    <row r="9284" spans="6:7" x14ac:dyDescent="0.35">
      <c r="F9284">
        <v>9279</v>
      </c>
      <c r="G9284" s="102">
        <f t="shared" ca="1" si="148"/>
        <v>2.2618235588132349E-2</v>
      </c>
    </row>
    <row r="9285" spans="6:7" x14ac:dyDescent="0.35">
      <c r="F9285">
        <v>9280</v>
      </c>
      <c r="G9285" s="102">
        <f t="shared" ca="1" si="148"/>
        <v>-5.4710489316069477E-2</v>
      </c>
    </row>
    <row r="9286" spans="6:7" x14ac:dyDescent="0.35">
      <c r="F9286">
        <v>9281</v>
      </c>
      <c r="G9286" s="102">
        <f t="shared" ca="1" si="148"/>
        <v>-5.5529389251084513E-2</v>
      </c>
    </row>
    <row r="9287" spans="6:7" x14ac:dyDescent="0.35">
      <c r="F9287">
        <v>9282</v>
      </c>
      <c r="G9287" s="102">
        <f t="shared" ref="G9287:G9350" ca="1" si="149">_xlfn.NORM.INV(RAND(),M$9,M$10)</f>
        <v>-1.7622124822864571E-2</v>
      </c>
    </row>
    <row r="9288" spans="6:7" x14ac:dyDescent="0.35">
      <c r="F9288">
        <v>9283</v>
      </c>
      <c r="G9288" s="102">
        <f t="shared" ca="1" si="149"/>
        <v>-2.5984920642697276E-2</v>
      </c>
    </row>
    <row r="9289" spans="6:7" x14ac:dyDescent="0.35">
      <c r="F9289">
        <v>9284</v>
      </c>
      <c r="G9289" s="102">
        <f t="shared" ca="1" si="149"/>
        <v>-4.3056483879138005E-2</v>
      </c>
    </row>
    <row r="9290" spans="6:7" x14ac:dyDescent="0.35">
      <c r="F9290">
        <v>9285</v>
      </c>
      <c r="G9290" s="102">
        <f t="shared" ca="1" si="149"/>
        <v>-8.350290480313367E-3</v>
      </c>
    </row>
    <row r="9291" spans="6:7" x14ac:dyDescent="0.35">
      <c r="F9291">
        <v>9286</v>
      </c>
      <c r="G9291" s="102">
        <f t="shared" ca="1" si="149"/>
        <v>7.3540205485296023E-2</v>
      </c>
    </row>
    <row r="9292" spans="6:7" x14ac:dyDescent="0.35">
      <c r="F9292">
        <v>9287</v>
      </c>
      <c r="G9292" s="102">
        <f t="shared" ca="1" si="149"/>
        <v>-0.14468816385065675</v>
      </c>
    </row>
    <row r="9293" spans="6:7" x14ac:dyDescent="0.35">
      <c r="F9293">
        <v>9288</v>
      </c>
      <c r="G9293" s="102">
        <f t="shared" ca="1" si="149"/>
        <v>-5.9102393573106315E-2</v>
      </c>
    </row>
    <row r="9294" spans="6:7" x14ac:dyDescent="0.35">
      <c r="F9294">
        <v>9289</v>
      </c>
      <c r="G9294" s="102">
        <f t="shared" ca="1" si="149"/>
        <v>3.0004210932411211E-3</v>
      </c>
    </row>
    <row r="9295" spans="6:7" x14ac:dyDescent="0.35">
      <c r="F9295">
        <v>9290</v>
      </c>
      <c r="G9295" s="102">
        <f t="shared" ca="1" si="149"/>
        <v>-7.2969272260512044E-2</v>
      </c>
    </row>
    <row r="9296" spans="6:7" x14ac:dyDescent="0.35">
      <c r="F9296">
        <v>9291</v>
      </c>
      <c r="G9296" s="102">
        <f t="shared" ca="1" si="149"/>
        <v>9.8300238317412275E-2</v>
      </c>
    </row>
    <row r="9297" spans="6:7" x14ac:dyDescent="0.35">
      <c r="F9297">
        <v>9292</v>
      </c>
      <c r="G9297" s="102">
        <f t="shared" ca="1" si="149"/>
        <v>-6.7326472505849971E-2</v>
      </c>
    </row>
    <row r="9298" spans="6:7" x14ac:dyDescent="0.35">
      <c r="F9298">
        <v>9293</v>
      </c>
      <c r="G9298" s="102">
        <f t="shared" ca="1" si="149"/>
        <v>-0.12977257491277058</v>
      </c>
    </row>
    <row r="9299" spans="6:7" x14ac:dyDescent="0.35">
      <c r="F9299">
        <v>9294</v>
      </c>
      <c r="G9299" s="102">
        <f t="shared" ca="1" si="149"/>
        <v>0.10692006003204327</v>
      </c>
    </row>
    <row r="9300" spans="6:7" x14ac:dyDescent="0.35">
      <c r="F9300">
        <v>9295</v>
      </c>
      <c r="G9300" s="102">
        <f t="shared" ca="1" si="149"/>
        <v>-5.6882716500334619E-3</v>
      </c>
    </row>
    <row r="9301" spans="6:7" x14ac:dyDescent="0.35">
      <c r="F9301">
        <v>9296</v>
      </c>
      <c r="G9301" s="102">
        <f t="shared" ca="1" si="149"/>
        <v>6.2556892287437979E-2</v>
      </c>
    </row>
    <row r="9302" spans="6:7" x14ac:dyDescent="0.35">
      <c r="F9302">
        <v>9297</v>
      </c>
      <c r="G9302" s="102">
        <f t="shared" ca="1" si="149"/>
        <v>3.7661356970033436E-2</v>
      </c>
    </row>
    <row r="9303" spans="6:7" x14ac:dyDescent="0.35">
      <c r="F9303">
        <v>9298</v>
      </c>
      <c r="G9303" s="102">
        <f t="shared" ca="1" si="149"/>
        <v>-4.0707526972732458E-2</v>
      </c>
    </row>
    <row r="9304" spans="6:7" x14ac:dyDescent="0.35">
      <c r="F9304">
        <v>9299</v>
      </c>
      <c r="G9304" s="102">
        <f t="shared" ca="1" si="149"/>
        <v>2.6073227727488723E-2</v>
      </c>
    </row>
    <row r="9305" spans="6:7" x14ac:dyDescent="0.35">
      <c r="F9305">
        <v>9300</v>
      </c>
      <c r="G9305" s="102">
        <f t="shared" ca="1" si="149"/>
        <v>-8.7371814633018505E-2</v>
      </c>
    </row>
    <row r="9306" spans="6:7" x14ac:dyDescent="0.35">
      <c r="F9306">
        <v>9301</v>
      </c>
      <c r="G9306" s="102">
        <f t="shared" ca="1" si="149"/>
        <v>4.3770539439204392E-2</v>
      </c>
    </row>
    <row r="9307" spans="6:7" x14ac:dyDescent="0.35">
      <c r="F9307">
        <v>9302</v>
      </c>
      <c r="G9307" s="102">
        <f t="shared" ca="1" si="149"/>
        <v>0.1152853196797364</v>
      </c>
    </row>
    <row r="9308" spans="6:7" x14ac:dyDescent="0.35">
      <c r="F9308">
        <v>9303</v>
      </c>
      <c r="G9308" s="102">
        <f t="shared" ca="1" si="149"/>
        <v>3.7315189946352922E-3</v>
      </c>
    </row>
    <row r="9309" spans="6:7" x14ac:dyDescent="0.35">
      <c r="F9309">
        <v>9304</v>
      </c>
      <c r="G9309" s="102">
        <f t="shared" ca="1" si="149"/>
        <v>1.029952493140455E-2</v>
      </c>
    </row>
    <row r="9310" spans="6:7" x14ac:dyDescent="0.35">
      <c r="F9310">
        <v>9305</v>
      </c>
      <c r="G9310" s="102">
        <f t="shared" ca="1" si="149"/>
        <v>1.82960871326328E-2</v>
      </c>
    </row>
    <row r="9311" spans="6:7" x14ac:dyDescent="0.35">
      <c r="F9311">
        <v>9306</v>
      </c>
      <c r="G9311" s="102">
        <f t="shared" ca="1" si="149"/>
        <v>-0.10303433170535621</v>
      </c>
    </row>
    <row r="9312" spans="6:7" x14ac:dyDescent="0.35">
      <c r="F9312">
        <v>9307</v>
      </c>
      <c r="G9312" s="102">
        <f t="shared" ca="1" si="149"/>
        <v>5.9923852375604075E-2</v>
      </c>
    </row>
    <row r="9313" spans="6:7" x14ac:dyDescent="0.35">
      <c r="F9313">
        <v>9308</v>
      </c>
      <c r="G9313" s="102">
        <f t="shared" ca="1" si="149"/>
        <v>-4.3889965236091233E-2</v>
      </c>
    </row>
    <row r="9314" spans="6:7" x14ac:dyDescent="0.35">
      <c r="F9314">
        <v>9309</v>
      </c>
      <c r="G9314" s="102">
        <f t="shared" ca="1" si="149"/>
        <v>-6.61806764899983E-2</v>
      </c>
    </row>
    <row r="9315" spans="6:7" x14ac:dyDescent="0.35">
      <c r="F9315">
        <v>9310</v>
      </c>
      <c r="G9315" s="102">
        <f t="shared" ca="1" si="149"/>
        <v>6.9297587883874717E-2</v>
      </c>
    </row>
    <row r="9316" spans="6:7" x14ac:dyDescent="0.35">
      <c r="F9316">
        <v>9311</v>
      </c>
      <c r="G9316" s="102">
        <f t="shared" ca="1" si="149"/>
        <v>-2.1261025648037592E-2</v>
      </c>
    </row>
    <row r="9317" spans="6:7" x14ac:dyDescent="0.35">
      <c r="F9317">
        <v>9312</v>
      </c>
      <c r="G9317" s="102">
        <f t="shared" ca="1" si="149"/>
        <v>-4.4115006887275918E-2</v>
      </c>
    </row>
    <row r="9318" spans="6:7" x14ac:dyDescent="0.35">
      <c r="F9318">
        <v>9313</v>
      </c>
      <c r="G9318" s="102">
        <f t="shared" ca="1" si="149"/>
        <v>-4.3454761062399525E-2</v>
      </c>
    </row>
    <row r="9319" spans="6:7" x14ac:dyDescent="0.35">
      <c r="F9319">
        <v>9314</v>
      </c>
      <c r="G9319" s="102">
        <f t="shared" ca="1" si="149"/>
        <v>-1.5859327580973189E-2</v>
      </c>
    </row>
    <row r="9320" spans="6:7" x14ac:dyDescent="0.35">
      <c r="F9320">
        <v>9315</v>
      </c>
      <c r="G9320" s="102">
        <f t="shared" ca="1" si="149"/>
        <v>-1.2115990813554177E-2</v>
      </c>
    </row>
    <row r="9321" spans="6:7" x14ac:dyDescent="0.35">
      <c r="F9321">
        <v>9316</v>
      </c>
      <c r="G9321" s="102">
        <f t="shared" ca="1" si="149"/>
        <v>-2.3474963314813906E-2</v>
      </c>
    </row>
    <row r="9322" spans="6:7" x14ac:dyDescent="0.35">
      <c r="F9322">
        <v>9317</v>
      </c>
      <c r="G9322" s="102">
        <f t="shared" ca="1" si="149"/>
        <v>-0.15780454155390447</v>
      </c>
    </row>
    <row r="9323" spans="6:7" x14ac:dyDescent="0.35">
      <c r="F9323">
        <v>9318</v>
      </c>
      <c r="G9323" s="102">
        <f t="shared" ca="1" si="149"/>
        <v>-5.4289490520930978E-4</v>
      </c>
    </row>
    <row r="9324" spans="6:7" x14ac:dyDescent="0.35">
      <c r="F9324">
        <v>9319</v>
      </c>
      <c r="G9324" s="102">
        <f t="shared" ca="1" si="149"/>
        <v>-0.12795551329408897</v>
      </c>
    </row>
    <row r="9325" spans="6:7" x14ac:dyDescent="0.35">
      <c r="F9325">
        <v>9320</v>
      </c>
      <c r="G9325" s="102">
        <f t="shared" ca="1" si="149"/>
        <v>-3.368618834550985E-3</v>
      </c>
    </row>
    <row r="9326" spans="6:7" x14ac:dyDescent="0.35">
      <c r="F9326">
        <v>9321</v>
      </c>
      <c r="G9326" s="102">
        <f t="shared" ca="1" si="149"/>
        <v>3.5739433642265339E-2</v>
      </c>
    </row>
    <row r="9327" spans="6:7" x14ac:dyDescent="0.35">
      <c r="F9327">
        <v>9322</v>
      </c>
      <c r="G9327" s="102">
        <f t="shared" ca="1" si="149"/>
        <v>-2.9212964937899755E-2</v>
      </c>
    </row>
    <row r="9328" spans="6:7" x14ac:dyDescent="0.35">
      <c r="F9328">
        <v>9323</v>
      </c>
      <c r="G9328" s="102">
        <f t="shared" ca="1" si="149"/>
        <v>5.6521491262701715E-2</v>
      </c>
    </row>
    <row r="9329" spans="6:7" x14ac:dyDescent="0.35">
      <c r="F9329">
        <v>9324</v>
      </c>
      <c r="G9329" s="102">
        <f t="shared" ca="1" si="149"/>
        <v>4.0082873438705063E-2</v>
      </c>
    </row>
    <row r="9330" spans="6:7" x14ac:dyDescent="0.35">
      <c r="F9330">
        <v>9325</v>
      </c>
      <c r="G9330" s="102">
        <f t="shared" ca="1" si="149"/>
        <v>-5.7146579936517394E-2</v>
      </c>
    </row>
    <row r="9331" spans="6:7" x14ac:dyDescent="0.35">
      <c r="F9331">
        <v>9326</v>
      </c>
      <c r="G9331" s="102">
        <f t="shared" ca="1" si="149"/>
        <v>-8.4674603540733986E-3</v>
      </c>
    </row>
    <row r="9332" spans="6:7" x14ac:dyDescent="0.35">
      <c r="F9332">
        <v>9327</v>
      </c>
      <c r="G9332" s="102">
        <f t="shared" ca="1" si="149"/>
        <v>-0.12279188401867482</v>
      </c>
    </row>
    <row r="9333" spans="6:7" x14ac:dyDescent="0.35">
      <c r="F9333">
        <v>9328</v>
      </c>
      <c r="G9333" s="102">
        <f t="shared" ca="1" si="149"/>
        <v>2.2186405943517715E-2</v>
      </c>
    </row>
    <row r="9334" spans="6:7" x14ac:dyDescent="0.35">
      <c r="F9334">
        <v>9329</v>
      </c>
      <c r="G9334" s="102">
        <f t="shared" ca="1" si="149"/>
        <v>-2.9469375334794062E-3</v>
      </c>
    </row>
    <row r="9335" spans="6:7" x14ac:dyDescent="0.35">
      <c r="F9335">
        <v>9330</v>
      </c>
      <c r="G9335" s="102">
        <f t="shared" ca="1" si="149"/>
        <v>-8.6573875376201925E-2</v>
      </c>
    </row>
    <row r="9336" spans="6:7" x14ac:dyDescent="0.35">
      <c r="F9336">
        <v>9331</v>
      </c>
      <c r="G9336" s="102">
        <f t="shared" ca="1" si="149"/>
        <v>-1.2507715795039509E-2</v>
      </c>
    </row>
    <row r="9337" spans="6:7" x14ac:dyDescent="0.35">
      <c r="F9337">
        <v>9332</v>
      </c>
      <c r="G9337" s="102">
        <f t="shared" ca="1" si="149"/>
        <v>0.16519461451323358</v>
      </c>
    </row>
    <row r="9338" spans="6:7" x14ac:dyDescent="0.35">
      <c r="F9338">
        <v>9333</v>
      </c>
      <c r="G9338" s="102">
        <f t="shared" ca="1" si="149"/>
        <v>9.14446356024292E-2</v>
      </c>
    </row>
    <row r="9339" spans="6:7" x14ac:dyDescent="0.35">
      <c r="F9339">
        <v>9334</v>
      </c>
      <c r="G9339" s="102">
        <f t="shared" ca="1" si="149"/>
        <v>-9.8958618830204528E-2</v>
      </c>
    </row>
    <row r="9340" spans="6:7" x14ac:dyDescent="0.35">
      <c r="F9340">
        <v>9335</v>
      </c>
      <c r="G9340" s="102">
        <f t="shared" ca="1" si="149"/>
        <v>-2.2157757207977029E-3</v>
      </c>
    </row>
    <row r="9341" spans="6:7" x14ac:dyDescent="0.35">
      <c r="F9341">
        <v>9336</v>
      </c>
      <c r="G9341" s="102">
        <f t="shared" ca="1" si="149"/>
        <v>-4.2132755863805701E-2</v>
      </c>
    </row>
    <row r="9342" spans="6:7" x14ac:dyDescent="0.35">
      <c r="F9342">
        <v>9337</v>
      </c>
      <c r="G9342" s="102">
        <f t="shared" ca="1" si="149"/>
        <v>-0.11327116305382232</v>
      </c>
    </row>
    <row r="9343" spans="6:7" x14ac:dyDescent="0.35">
      <c r="F9343">
        <v>9338</v>
      </c>
      <c r="G9343" s="102">
        <f t="shared" ca="1" si="149"/>
        <v>3.953948653567245E-2</v>
      </c>
    </row>
    <row r="9344" spans="6:7" x14ac:dyDescent="0.35">
      <c r="F9344">
        <v>9339</v>
      </c>
      <c r="G9344" s="102">
        <f t="shared" ca="1" si="149"/>
        <v>-4.2870108610154695E-2</v>
      </c>
    </row>
    <row r="9345" spans="6:7" x14ac:dyDescent="0.35">
      <c r="F9345">
        <v>9340</v>
      </c>
      <c r="G9345" s="102">
        <f t="shared" ca="1" si="149"/>
        <v>-0.11024102412571651</v>
      </c>
    </row>
    <row r="9346" spans="6:7" x14ac:dyDescent="0.35">
      <c r="F9346">
        <v>9341</v>
      </c>
      <c r="G9346" s="102">
        <f t="shared" ca="1" si="149"/>
        <v>1.0948978110552583E-2</v>
      </c>
    </row>
    <row r="9347" spans="6:7" x14ac:dyDescent="0.35">
      <c r="F9347">
        <v>9342</v>
      </c>
      <c r="G9347" s="102">
        <f t="shared" ca="1" si="149"/>
        <v>-3.7838357801364839E-2</v>
      </c>
    </row>
    <row r="9348" spans="6:7" x14ac:dyDescent="0.35">
      <c r="F9348">
        <v>9343</v>
      </c>
      <c r="G9348" s="102">
        <f t="shared" ca="1" si="149"/>
        <v>-3.2149342763441377E-2</v>
      </c>
    </row>
    <row r="9349" spans="6:7" x14ac:dyDescent="0.35">
      <c r="F9349">
        <v>9344</v>
      </c>
      <c r="G9349" s="102">
        <f t="shared" ca="1" si="149"/>
        <v>6.21935329307652E-3</v>
      </c>
    </row>
    <row r="9350" spans="6:7" x14ac:dyDescent="0.35">
      <c r="F9350">
        <v>9345</v>
      </c>
      <c r="G9350" s="102">
        <f t="shared" ca="1" si="149"/>
        <v>1.553272534237201E-2</v>
      </c>
    </row>
    <row r="9351" spans="6:7" x14ac:dyDescent="0.35">
      <c r="F9351">
        <v>9346</v>
      </c>
      <c r="G9351" s="102">
        <f t="shared" ref="G9351:G9414" ca="1" si="150">_xlfn.NORM.INV(RAND(),M$9,M$10)</f>
        <v>-1.1145565356976396E-2</v>
      </c>
    </row>
    <row r="9352" spans="6:7" x14ac:dyDescent="0.35">
      <c r="F9352">
        <v>9347</v>
      </c>
      <c r="G9352" s="102">
        <f t="shared" ca="1" si="150"/>
        <v>2.2199110934522523E-2</v>
      </c>
    </row>
    <row r="9353" spans="6:7" x14ac:dyDescent="0.35">
      <c r="F9353">
        <v>9348</v>
      </c>
      <c r="G9353" s="102">
        <f t="shared" ca="1" si="150"/>
        <v>8.8736755894228178E-2</v>
      </c>
    </row>
    <row r="9354" spans="6:7" x14ac:dyDescent="0.35">
      <c r="F9354">
        <v>9349</v>
      </c>
      <c r="G9354" s="102">
        <f t="shared" ca="1" si="150"/>
        <v>-2.4402208339334756E-2</v>
      </c>
    </row>
    <row r="9355" spans="6:7" x14ac:dyDescent="0.35">
      <c r="F9355">
        <v>9350</v>
      </c>
      <c r="G9355" s="102">
        <f t="shared" ca="1" si="150"/>
        <v>-1.5448473676502357E-2</v>
      </c>
    </row>
    <row r="9356" spans="6:7" x14ac:dyDescent="0.35">
      <c r="F9356">
        <v>9351</v>
      </c>
      <c r="G9356" s="102">
        <f t="shared" ca="1" si="150"/>
        <v>3.307679456679067E-3</v>
      </c>
    </row>
    <row r="9357" spans="6:7" x14ac:dyDescent="0.35">
      <c r="F9357">
        <v>9352</v>
      </c>
      <c r="G9357" s="102">
        <f t="shared" ca="1" si="150"/>
        <v>-3.5976014037849585E-2</v>
      </c>
    </row>
    <row r="9358" spans="6:7" x14ac:dyDescent="0.35">
      <c r="F9358">
        <v>9353</v>
      </c>
      <c r="G9358" s="102">
        <f t="shared" ca="1" si="150"/>
        <v>-5.2325120826964222E-2</v>
      </c>
    </row>
    <row r="9359" spans="6:7" x14ac:dyDescent="0.35">
      <c r="F9359">
        <v>9354</v>
      </c>
      <c r="G9359" s="102">
        <f t="shared" ca="1" si="150"/>
        <v>-8.7449446236944034E-2</v>
      </c>
    </row>
    <row r="9360" spans="6:7" x14ac:dyDescent="0.35">
      <c r="F9360">
        <v>9355</v>
      </c>
      <c r="G9360" s="102">
        <f t="shared" ca="1" si="150"/>
        <v>3.3353217318702166E-2</v>
      </c>
    </row>
    <row r="9361" spans="6:7" x14ac:dyDescent="0.35">
      <c r="F9361">
        <v>9356</v>
      </c>
      <c r="G9361" s="102">
        <f t="shared" ca="1" si="150"/>
        <v>-2.0463466307368863E-2</v>
      </c>
    </row>
    <row r="9362" spans="6:7" x14ac:dyDescent="0.35">
      <c r="F9362">
        <v>9357</v>
      </c>
      <c r="G9362" s="102">
        <f t="shared" ca="1" si="150"/>
        <v>-8.1013806507272398E-2</v>
      </c>
    </row>
    <row r="9363" spans="6:7" x14ac:dyDescent="0.35">
      <c r="F9363">
        <v>9358</v>
      </c>
      <c r="G9363" s="102">
        <f t="shared" ca="1" si="150"/>
        <v>-0.1202657794466698</v>
      </c>
    </row>
    <row r="9364" spans="6:7" x14ac:dyDescent="0.35">
      <c r="F9364">
        <v>9359</v>
      </c>
      <c r="G9364" s="102">
        <f t="shared" ca="1" si="150"/>
        <v>1.9633237949981966E-2</v>
      </c>
    </row>
    <row r="9365" spans="6:7" x14ac:dyDescent="0.35">
      <c r="F9365">
        <v>9360</v>
      </c>
      <c r="G9365" s="102">
        <f t="shared" ca="1" si="150"/>
        <v>-8.9444254024459963E-2</v>
      </c>
    </row>
    <row r="9366" spans="6:7" x14ac:dyDescent="0.35">
      <c r="F9366">
        <v>9361</v>
      </c>
      <c r="G9366" s="102">
        <f t="shared" ca="1" si="150"/>
        <v>-8.6270952077512585E-4</v>
      </c>
    </row>
    <row r="9367" spans="6:7" x14ac:dyDescent="0.35">
      <c r="F9367">
        <v>9362</v>
      </c>
      <c r="G9367" s="102">
        <f t="shared" ca="1" si="150"/>
        <v>4.7805709866377305E-2</v>
      </c>
    </row>
    <row r="9368" spans="6:7" x14ac:dyDescent="0.35">
      <c r="F9368">
        <v>9363</v>
      </c>
      <c r="G9368" s="102">
        <f t="shared" ca="1" si="150"/>
        <v>-1.5159149159485496E-2</v>
      </c>
    </row>
    <row r="9369" spans="6:7" x14ac:dyDescent="0.35">
      <c r="F9369">
        <v>9364</v>
      </c>
      <c r="G9369" s="102">
        <f t="shared" ca="1" si="150"/>
        <v>-2.9832906618833255E-4</v>
      </c>
    </row>
    <row r="9370" spans="6:7" x14ac:dyDescent="0.35">
      <c r="F9370">
        <v>9365</v>
      </c>
      <c r="G9370" s="102">
        <f t="shared" ca="1" si="150"/>
        <v>-1.4252457174300542E-2</v>
      </c>
    </row>
    <row r="9371" spans="6:7" x14ac:dyDescent="0.35">
      <c r="F9371">
        <v>9366</v>
      </c>
      <c r="G9371" s="102">
        <f t="shared" ca="1" si="150"/>
        <v>1.0366759383126638E-2</v>
      </c>
    </row>
    <row r="9372" spans="6:7" x14ac:dyDescent="0.35">
      <c r="F9372">
        <v>9367</v>
      </c>
      <c r="G9372" s="102">
        <f t="shared" ca="1" si="150"/>
        <v>-2.2851720742254115E-2</v>
      </c>
    </row>
    <row r="9373" spans="6:7" x14ac:dyDescent="0.35">
      <c r="F9373">
        <v>9368</v>
      </c>
      <c r="G9373" s="102">
        <f t="shared" ca="1" si="150"/>
        <v>1.2534486559587575E-2</v>
      </c>
    </row>
    <row r="9374" spans="6:7" x14ac:dyDescent="0.35">
      <c r="F9374">
        <v>9369</v>
      </c>
      <c r="G9374" s="102">
        <f t="shared" ca="1" si="150"/>
        <v>0.14531451658463482</v>
      </c>
    </row>
    <row r="9375" spans="6:7" x14ac:dyDescent="0.35">
      <c r="F9375">
        <v>9370</v>
      </c>
      <c r="G9375" s="102">
        <f t="shared" ca="1" si="150"/>
        <v>-2.9505583751725888E-2</v>
      </c>
    </row>
    <row r="9376" spans="6:7" x14ac:dyDescent="0.35">
      <c r="F9376">
        <v>9371</v>
      </c>
      <c r="G9376" s="102">
        <f t="shared" ca="1" si="150"/>
        <v>1.6831561425953438E-2</v>
      </c>
    </row>
    <row r="9377" spans="6:7" x14ac:dyDescent="0.35">
      <c r="F9377">
        <v>9372</v>
      </c>
      <c r="G9377" s="102">
        <f t="shared" ca="1" si="150"/>
        <v>8.8299861648260106E-2</v>
      </c>
    </row>
    <row r="9378" spans="6:7" x14ac:dyDescent="0.35">
      <c r="F9378">
        <v>9373</v>
      </c>
      <c r="G9378" s="102">
        <f t="shared" ca="1" si="150"/>
        <v>-8.3079803589490755E-2</v>
      </c>
    </row>
    <row r="9379" spans="6:7" x14ac:dyDescent="0.35">
      <c r="F9379">
        <v>9374</v>
      </c>
      <c r="G9379" s="102">
        <f t="shared" ca="1" si="150"/>
        <v>7.1939122415308018E-2</v>
      </c>
    </row>
    <row r="9380" spans="6:7" x14ac:dyDescent="0.35">
      <c r="F9380">
        <v>9375</v>
      </c>
      <c r="G9380" s="102">
        <f t="shared" ca="1" si="150"/>
        <v>-1.9578975163775093E-2</v>
      </c>
    </row>
    <row r="9381" spans="6:7" x14ac:dyDescent="0.35">
      <c r="F9381">
        <v>9376</v>
      </c>
      <c r="G9381" s="102">
        <f t="shared" ca="1" si="150"/>
        <v>-5.1994393857424992E-2</v>
      </c>
    </row>
    <row r="9382" spans="6:7" x14ac:dyDescent="0.35">
      <c r="F9382">
        <v>9377</v>
      </c>
      <c r="G9382" s="102">
        <f t="shared" ca="1" si="150"/>
        <v>-7.2227624978756733E-2</v>
      </c>
    </row>
    <row r="9383" spans="6:7" x14ac:dyDescent="0.35">
      <c r="F9383">
        <v>9378</v>
      </c>
      <c r="G9383" s="102">
        <f t="shared" ca="1" si="150"/>
        <v>-1.9775778608737922E-2</v>
      </c>
    </row>
    <row r="9384" spans="6:7" x14ac:dyDescent="0.35">
      <c r="F9384">
        <v>9379</v>
      </c>
      <c r="G9384" s="102">
        <f t="shared" ca="1" si="150"/>
        <v>2.0138876140393031E-2</v>
      </c>
    </row>
    <row r="9385" spans="6:7" x14ac:dyDescent="0.35">
      <c r="F9385">
        <v>9380</v>
      </c>
      <c r="G9385" s="102">
        <f t="shared" ca="1" si="150"/>
        <v>6.4592249483204536E-2</v>
      </c>
    </row>
    <row r="9386" spans="6:7" x14ac:dyDescent="0.35">
      <c r="F9386">
        <v>9381</v>
      </c>
      <c r="G9386" s="102">
        <f t="shared" ca="1" si="150"/>
        <v>-1.8139387469480822E-2</v>
      </c>
    </row>
    <row r="9387" spans="6:7" x14ac:dyDescent="0.35">
      <c r="F9387">
        <v>9382</v>
      </c>
      <c r="G9387" s="102">
        <f t="shared" ca="1" si="150"/>
        <v>4.1492238168730183E-2</v>
      </c>
    </row>
    <row r="9388" spans="6:7" x14ac:dyDescent="0.35">
      <c r="F9388">
        <v>9383</v>
      </c>
      <c r="G9388" s="102">
        <f t="shared" ca="1" si="150"/>
        <v>-1.1670788337160591E-2</v>
      </c>
    </row>
    <row r="9389" spans="6:7" x14ac:dyDescent="0.35">
      <c r="F9389">
        <v>9384</v>
      </c>
      <c r="G9389" s="102">
        <f t="shared" ca="1" si="150"/>
        <v>2.2436207225282816E-2</v>
      </c>
    </row>
    <row r="9390" spans="6:7" x14ac:dyDescent="0.35">
      <c r="F9390">
        <v>9385</v>
      </c>
      <c r="G9390" s="102">
        <f t="shared" ca="1" si="150"/>
        <v>5.6428887516971019E-2</v>
      </c>
    </row>
    <row r="9391" spans="6:7" x14ac:dyDescent="0.35">
      <c r="F9391">
        <v>9386</v>
      </c>
      <c r="G9391" s="102">
        <f t="shared" ca="1" si="150"/>
        <v>2.0570889689066039E-2</v>
      </c>
    </row>
    <row r="9392" spans="6:7" x14ac:dyDescent="0.35">
      <c r="F9392">
        <v>9387</v>
      </c>
      <c r="G9392" s="102">
        <f t="shared" ca="1" si="150"/>
        <v>2.5668058010505403E-3</v>
      </c>
    </row>
    <row r="9393" spans="6:7" x14ac:dyDescent="0.35">
      <c r="F9393">
        <v>9388</v>
      </c>
      <c r="G9393" s="102">
        <f t="shared" ca="1" si="150"/>
        <v>-7.1262240180610989E-2</v>
      </c>
    </row>
    <row r="9394" spans="6:7" x14ac:dyDescent="0.35">
      <c r="F9394">
        <v>9389</v>
      </c>
      <c r="G9394" s="102">
        <f t="shared" ca="1" si="150"/>
        <v>-7.3611591017888417E-2</v>
      </c>
    </row>
    <row r="9395" spans="6:7" x14ac:dyDescent="0.35">
      <c r="F9395">
        <v>9390</v>
      </c>
      <c r="G9395" s="102">
        <f t="shared" ca="1" si="150"/>
        <v>-5.1206073390659163E-2</v>
      </c>
    </row>
    <row r="9396" spans="6:7" x14ac:dyDescent="0.35">
      <c r="F9396">
        <v>9391</v>
      </c>
      <c r="G9396" s="102">
        <f t="shared" ca="1" si="150"/>
        <v>-2.7411863991146253E-2</v>
      </c>
    </row>
    <row r="9397" spans="6:7" x14ac:dyDescent="0.35">
      <c r="F9397">
        <v>9392</v>
      </c>
      <c r="G9397" s="102">
        <f t="shared" ca="1" si="150"/>
        <v>-4.9107668960079648E-2</v>
      </c>
    </row>
    <row r="9398" spans="6:7" x14ac:dyDescent="0.35">
      <c r="F9398">
        <v>9393</v>
      </c>
      <c r="G9398" s="102">
        <f t="shared" ca="1" si="150"/>
        <v>2.8262992069941716E-2</v>
      </c>
    </row>
    <row r="9399" spans="6:7" x14ac:dyDescent="0.35">
      <c r="F9399">
        <v>9394</v>
      </c>
      <c r="G9399" s="102">
        <f t="shared" ca="1" si="150"/>
        <v>-3.89294328066941E-2</v>
      </c>
    </row>
    <row r="9400" spans="6:7" x14ac:dyDescent="0.35">
      <c r="F9400">
        <v>9395</v>
      </c>
      <c r="G9400" s="102">
        <f t="shared" ca="1" si="150"/>
        <v>4.3604743720140296E-2</v>
      </c>
    </row>
    <row r="9401" spans="6:7" x14ac:dyDescent="0.35">
      <c r="F9401">
        <v>9396</v>
      </c>
      <c r="G9401" s="102">
        <f t="shared" ca="1" si="150"/>
        <v>-1.134734780015785E-2</v>
      </c>
    </row>
    <row r="9402" spans="6:7" x14ac:dyDescent="0.35">
      <c r="F9402">
        <v>9397</v>
      </c>
      <c r="G9402" s="102">
        <f t="shared" ca="1" si="150"/>
        <v>-0.16630615620650241</v>
      </c>
    </row>
    <row r="9403" spans="6:7" x14ac:dyDescent="0.35">
      <c r="F9403">
        <v>9398</v>
      </c>
      <c r="G9403" s="102">
        <f t="shared" ca="1" si="150"/>
        <v>7.6372079671502904E-2</v>
      </c>
    </row>
    <row r="9404" spans="6:7" x14ac:dyDescent="0.35">
      <c r="F9404">
        <v>9399</v>
      </c>
      <c r="G9404" s="102">
        <f t="shared" ca="1" si="150"/>
        <v>3.9216651528449289E-2</v>
      </c>
    </row>
    <row r="9405" spans="6:7" x14ac:dyDescent="0.35">
      <c r="F9405">
        <v>9400</v>
      </c>
      <c r="G9405" s="102">
        <f t="shared" ca="1" si="150"/>
        <v>4.6025708626308517E-2</v>
      </c>
    </row>
    <row r="9406" spans="6:7" x14ac:dyDescent="0.35">
      <c r="F9406">
        <v>9401</v>
      </c>
      <c r="G9406" s="102">
        <f t="shared" ca="1" si="150"/>
        <v>-4.6738497671171386E-2</v>
      </c>
    </row>
    <row r="9407" spans="6:7" x14ac:dyDescent="0.35">
      <c r="F9407">
        <v>9402</v>
      </c>
      <c r="G9407" s="102">
        <f t="shared" ca="1" si="150"/>
        <v>-0.13496250050068864</v>
      </c>
    </row>
    <row r="9408" spans="6:7" x14ac:dyDescent="0.35">
      <c r="F9408">
        <v>9403</v>
      </c>
      <c r="G9408" s="102">
        <f t="shared" ca="1" si="150"/>
        <v>3.8114731063415522E-2</v>
      </c>
    </row>
    <row r="9409" spans="6:7" x14ac:dyDescent="0.35">
      <c r="F9409">
        <v>9404</v>
      </c>
      <c r="G9409" s="102">
        <f t="shared" ca="1" si="150"/>
        <v>0.13362561725456232</v>
      </c>
    </row>
    <row r="9410" spans="6:7" x14ac:dyDescent="0.35">
      <c r="F9410">
        <v>9405</v>
      </c>
      <c r="G9410" s="102">
        <f t="shared" ca="1" si="150"/>
        <v>-6.8261364013833523E-2</v>
      </c>
    </row>
    <row r="9411" spans="6:7" x14ac:dyDescent="0.35">
      <c r="F9411">
        <v>9406</v>
      </c>
      <c r="G9411" s="102">
        <f t="shared" ca="1" si="150"/>
        <v>-7.7191534740526743E-2</v>
      </c>
    </row>
    <row r="9412" spans="6:7" x14ac:dyDescent="0.35">
      <c r="F9412">
        <v>9407</v>
      </c>
      <c r="G9412" s="102">
        <f t="shared" ca="1" si="150"/>
        <v>-8.2912503663536349E-2</v>
      </c>
    </row>
    <row r="9413" spans="6:7" x14ac:dyDescent="0.35">
      <c r="F9413">
        <v>9408</v>
      </c>
      <c r="G9413" s="102">
        <f t="shared" ca="1" si="150"/>
        <v>9.1551712379122019E-2</v>
      </c>
    </row>
    <row r="9414" spans="6:7" x14ac:dyDescent="0.35">
      <c r="F9414">
        <v>9409</v>
      </c>
      <c r="G9414" s="102">
        <f t="shared" ca="1" si="150"/>
        <v>1.0776493976514475E-2</v>
      </c>
    </row>
    <row r="9415" spans="6:7" x14ac:dyDescent="0.35">
      <c r="F9415">
        <v>9410</v>
      </c>
      <c r="G9415" s="102">
        <f t="shared" ref="G9415:G9478" ca="1" si="151">_xlfn.NORM.INV(RAND(),M$9,M$10)</f>
        <v>1.9411936490857654E-2</v>
      </c>
    </row>
    <row r="9416" spans="6:7" x14ac:dyDescent="0.35">
      <c r="F9416">
        <v>9411</v>
      </c>
      <c r="G9416" s="102">
        <f t="shared" ca="1" si="151"/>
        <v>-0.11768421158444646</v>
      </c>
    </row>
    <row r="9417" spans="6:7" x14ac:dyDescent="0.35">
      <c r="F9417">
        <v>9412</v>
      </c>
      <c r="G9417" s="102">
        <f t="shared" ca="1" si="151"/>
        <v>-1.8976075457258011E-2</v>
      </c>
    </row>
    <row r="9418" spans="6:7" x14ac:dyDescent="0.35">
      <c r="F9418">
        <v>9413</v>
      </c>
      <c r="G9418" s="102">
        <f t="shared" ca="1" si="151"/>
        <v>2.2931230813860247E-2</v>
      </c>
    </row>
    <row r="9419" spans="6:7" x14ac:dyDescent="0.35">
      <c r="F9419">
        <v>9414</v>
      </c>
      <c r="G9419" s="102">
        <f t="shared" ca="1" si="151"/>
        <v>1.6095349521995359E-2</v>
      </c>
    </row>
    <row r="9420" spans="6:7" x14ac:dyDescent="0.35">
      <c r="F9420">
        <v>9415</v>
      </c>
      <c r="G9420" s="102">
        <f t="shared" ca="1" si="151"/>
        <v>-3.0051078415014355E-2</v>
      </c>
    </row>
    <row r="9421" spans="6:7" x14ac:dyDescent="0.35">
      <c r="F9421">
        <v>9416</v>
      </c>
      <c r="G9421" s="102">
        <f t="shared" ca="1" si="151"/>
        <v>1.3214733179959682E-2</v>
      </c>
    </row>
    <row r="9422" spans="6:7" x14ac:dyDescent="0.35">
      <c r="F9422">
        <v>9417</v>
      </c>
      <c r="G9422" s="102">
        <f t="shared" ca="1" si="151"/>
        <v>3.1052007396823348E-2</v>
      </c>
    </row>
    <row r="9423" spans="6:7" x14ac:dyDescent="0.35">
      <c r="F9423">
        <v>9418</v>
      </c>
      <c r="G9423" s="102">
        <f t="shared" ca="1" si="151"/>
        <v>-2.0692207801219636E-2</v>
      </c>
    </row>
    <row r="9424" spans="6:7" x14ac:dyDescent="0.35">
      <c r="F9424">
        <v>9419</v>
      </c>
      <c r="G9424" s="102">
        <f t="shared" ca="1" si="151"/>
        <v>6.6405132547716392E-2</v>
      </c>
    </row>
    <row r="9425" spans="6:7" x14ac:dyDescent="0.35">
      <c r="F9425">
        <v>9420</v>
      </c>
      <c r="G9425" s="102">
        <f t="shared" ca="1" si="151"/>
        <v>8.7551549411247195E-2</v>
      </c>
    </row>
    <row r="9426" spans="6:7" x14ac:dyDescent="0.35">
      <c r="F9426">
        <v>9421</v>
      </c>
      <c r="G9426" s="102">
        <f t="shared" ca="1" si="151"/>
        <v>3.4638555467408627E-2</v>
      </c>
    </row>
    <row r="9427" spans="6:7" x14ac:dyDescent="0.35">
      <c r="F9427">
        <v>9422</v>
      </c>
      <c r="G9427" s="102">
        <f t="shared" ca="1" si="151"/>
        <v>4.1243773802048717E-2</v>
      </c>
    </row>
    <row r="9428" spans="6:7" x14ac:dyDescent="0.35">
      <c r="F9428">
        <v>9423</v>
      </c>
      <c r="G9428" s="102">
        <f t="shared" ca="1" si="151"/>
        <v>0.10188084382606193</v>
      </c>
    </row>
    <row r="9429" spans="6:7" x14ac:dyDescent="0.35">
      <c r="F9429">
        <v>9424</v>
      </c>
      <c r="G9429" s="102">
        <f t="shared" ca="1" si="151"/>
        <v>-0.10133904101313353</v>
      </c>
    </row>
    <row r="9430" spans="6:7" x14ac:dyDescent="0.35">
      <c r="F9430">
        <v>9425</v>
      </c>
      <c r="G9430" s="102">
        <f t="shared" ca="1" si="151"/>
        <v>-5.9178382075360567E-2</v>
      </c>
    </row>
    <row r="9431" spans="6:7" x14ac:dyDescent="0.35">
      <c r="F9431">
        <v>9426</v>
      </c>
      <c r="G9431" s="102">
        <f t="shared" ca="1" si="151"/>
        <v>-2.420421659205341E-2</v>
      </c>
    </row>
    <row r="9432" spans="6:7" x14ac:dyDescent="0.35">
      <c r="F9432">
        <v>9427</v>
      </c>
      <c r="G9432" s="102">
        <f t="shared" ca="1" si="151"/>
        <v>-6.5431733983903242E-2</v>
      </c>
    </row>
    <row r="9433" spans="6:7" x14ac:dyDescent="0.35">
      <c r="F9433">
        <v>9428</v>
      </c>
      <c r="G9433" s="102">
        <f t="shared" ca="1" si="151"/>
        <v>-1.4635864409999545E-2</v>
      </c>
    </row>
    <row r="9434" spans="6:7" x14ac:dyDescent="0.35">
      <c r="F9434">
        <v>9429</v>
      </c>
      <c r="G9434" s="102">
        <f t="shared" ca="1" si="151"/>
        <v>-5.0760684746180604E-2</v>
      </c>
    </row>
    <row r="9435" spans="6:7" x14ac:dyDescent="0.35">
      <c r="F9435">
        <v>9430</v>
      </c>
      <c r="G9435" s="102">
        <f t="shared" ca="1" si="151"/>
        <v>-9.0433168181967033E-2</v>
      </c>
    </row>
    <row r="9436" spans="6:7" x14ac:dyDescent="0.35">
      <c r="F9436">
        <v>9431</v>
      </c>
      <c r="G9436" s="102">
        <f t="shared" ca="1" si="151"/>
        <v>3.367446547562368E-2</v>
      </c>
    </row>
    <row r="9437" spans="6:7" x14ac:dyDescent="0.35">
      <c r="F9437">
        <v>9432</v>
      </c>
      <c r="G9437" s="102">
        <f t="shared" ca="1" si="151"/>
        <v>-4.7646600231810984E-2</v>
      </c>
    </row>
    <row r="9438" spans="6:7" x14ac:dyDescent="0.35">
      <c r="F9438">
        <v>9433</v>
      </c>
      <c r="G9438" s="102">
        <f t="shared" ca="1" si="151"/>
        <v>-5.9068201011244589E-2</v>
      </c>
    </row>
    <row r="9439" spans="6:7" x14ac:dyDescent="0.35">
      <c r="F9439">
        <v>9434</v>
      </c>
      <c r="G9439" s="102">
        <f t="shared" ca="1" si="151"/>
        <v>-6.6228994562455942E-2</v>
      </c>
    </row>
    <row r="9440" spans="6:7" x14ac:dyDescent="0.35">
      <c r="F9440">
        <v>9435</v>
      </c>
      <c r="G9440" s="102">
        <f t="shared" ca="1" si="151"/>
        <v>6.1318149803754954E-4</v>
      </c>
    </row>
    <row r="9441" spans="6:7" x14ac:dyDescent="0.35">
      <c r="F9441">
        <v>9436</v>
      </c>
      <c r="G9441" s="102">
        <f t="shared" ca="1" si="151"/>
        <v>1.0405616132319016E-3</v>
      </c>
    </row>
    <row r="9442" spans="6:7" x14ac:dyDescent="0.35">
      <c r="F9442">
        <v>9437</v>
      </c>
      <c r="G9442" s="102">
        <f t="shared" ca="1" si="151"/>
        <v>-0.10741871826305502</v>
      </c>
    </row>
    <row r="9443" spans="6:7" x14ac:dyDescent="0.35">
      <c r="F9443">
        <v>9438</v>
      </c>
      <c r="G9443" s="102">
        <f t="shared" ca="1" si="151"/>
        <v>-1.2547968490611277E-2</v>
      </c>
    </row>
    <row r="9444" spans="6:7" x14ac:dyDescent="0.35">
      <c r="F9444">
        <v>9439</v>
      </c>
      <c r="G9444" s="102">
        <f t="shared" ca="1" si="151"/>
        <v>9.2468797281917245E-2</v>
      </c>
    </row>
    <row r="9445" spans="6:7" x14ac:dyDescent="0.35">
      <c r="F9445">
        <v>9440</v>
      </c>
      <c r="G9445" s="102">
        <f t="shared" ca="1" si="151"/>
        <v>2.4459580975919853E-2</v>
      </c>
    </row>
    <row r="9446" spans="6:7" x14ac:dyDescent="0.35">
      <c r="F9446">
        <v>9441</v>
      </c>
      <c r="G9446" s="102">
        <f t="shared" ca="1" si="151"/>
        <v>-9.0207466008530982E-2</v>
      </c>
    </row>
    <row r="9447" spans="6:7" x14ac:dyDescent="0.35">
      <c r="F9447">
        <v>9442</v>
      </c>
      <c r="G9447" s="102">
        <f t="shared" ca="1" si="151"/>
        <v>4.8027595848947502E-2</v>
      </c>
    </row>
    <row r="9448" spans="6:7" x14ac:dyDescent="0.35">
      <c r="F9448">
        <v>9443</v>
      </c>
      <c r="G9448" s="102">
        <f t="shared" ca="1" si="151"/>
        <v>3.9014082423353955E-2</v>
      </c>
    </row>
    <row r="9449" spans="6:7" x14ac:dyDescent="0.35">
      <c r="F9449">
        <v>9444</v>
      </c>
      <c r="G9449" s="102">
        <f t="shared" ca="1" si="151"/>
        <v>8.6976165569878958E-2</v>
      </c>
    </row>
    <row r="9450" spans="6:7" x14ac:dyDescent="0.35">
      <c r="F9450">
        <v>9445</v>
      </c>
      <c r="G9450" s="102">
        <f t="shared" ca="1" si="151"/>
        <v>-3.4848883109676451E-3</v>
      </c>
    </row>
    <row r="9451" spans="6:7" x14ac:dyDescent="0.35">
      <c r="F9451">
        <v>9446</v>
      </c>
      <c r="G9451" s="102">
        <f t="shared" ca="1" si="151"/>
        <v>3.3835155598623934E-2</v>
      </c>
    </row>
    <row r="9452" spans="6:7" x14ac:dyDescent="0.35">
      <c r="F9452">
        <v>9447</v>
      </c>
      <c r="G9452" s="102">
        <f t="shared" ca="1" si="151"/>
        <v>-3.591196482304639E-3</v>
      </c>
    </row>
    <row r="9453" spans="6:7" x14ac:dyDescent="0.35">
      <c r="F9453">
        <v>9448</v>
      </c>
      <c r="G9453" s="102">
        <f t="shared" ca="1" si="151"/>
        <v>-4.4657682982824992E-2</v>
      </c>
    </row>
    <row r="9454" spans="6:7" x14ac:dyDescent="0.35">
      <c r="F9454">
        <v>9449</v>
      </c>
      <c r="G9454" s="102">
        <f t="shared" ca="1" si="151"/>
        <v>0.12321520067936283</v>
      </c>
    </row>
    <row r="9455" spans="6:7" x14ac:dyDescent="0.35">
      <c r="F9455">
        <v>9450</v>
      </c>
      <c r="G9455" s="102">
        <f t="shared" ca="1" si="151"/>
        <v>-5.7908625957915322E-2</v>
      </c>
    </row>
    <row r="9456" spans="6:7" x14ac:dyDescent="0.35">
      <c r="F9456">
        <v>9451</v>
      </c>
      <c r="G9456" s="102">
        <f t="shared" ca="1" si="151"/>
        <v>-3.9414263029262334E-2</v>
      </c>
    </row>
    <row r="9457" spans="6:7" x14ac:dyDescent="0.35">
      <c r="F9457">
        <v>9452</v>
      </c>
      <c r="G9457" s="102">
        <f t="shared" ca="1" si="151"/>
        <v>6.0028314917704682E-3</v>
      </c>
    </row>
    <row r="9458" spans="6:7" x14ac:dyDescent="0.35">
      <c r="F9458">
        <v>9453</v>
      </c>
      <c r="G9458" s="102">
        <f t="shared" ca="1" si="151"/>
        <v>2.4913795925286534E-2</v>
      </c>
    </row>
    <row r="9459" spans="6:7" x14ac:dyDescent="0.35">
      <c r="F9459">
        <v>9454</v>
      </c>
      <c r="G9459" s="102">
        <f t="shared" ca="1" si="151"/>
        <v>-1.464491017645716E-2</v>
      </c>
    </row>
    <row r="9460" spans="6:7" x14ac:dyDescent="0.35">
      <c r="F9460">
        <v>9455</v>
      </c>
      <c r="G9460" s="102">
        <f t="shared" ca="1" si="151"/>
        <v>1.2311751939469727E-2</v>
      </c>
    </row>
    <row r="9461" spans="6:7" x14ac:dyDescent="0.35">
      <c r="F9461">
        <v>9456</v>
      </c>
      <c r="G9461" s="102">
        <f t="shared" ca="1" si="151"/>
        <v>8.3842130103893645E-2</v>
      </c>
    </row>
    <row r="9462" spans="6:7" x14ac:dyDescent="0.35">
      <c r="F9462">
        <v>9457</v>
      </c>
      <c r="G9462" s="102">
        <f t="shared" ca="1" si="151"/>
        <v>0.12384225812337123</v>
      </c>
    </row>
    <row r="9463" spans="6:7" x14ac:dyDescent="0.35">
      <c r="F9463">
        <v>9458</v>
      </c>
      <c r="G9463" s="102">
        <f t="shared" ca="1" si="151"/>
        <v>-2.8508052454613284E-2</v>
      </c>
    </row>
    <row r="9464" spans="6:7" x14ac:dyDescent="0.35">
      <c r="F9464">
        <v>9459</v>
      </c>
      <c r="G9464" s="102">
        <f t="shared" ca="1" si="151"/>
        <v>-4.7777391592822044E-2</v>
      </c>
    </row>
    <row r="9465" spans="6:7" x14ac:dyDescent="0.35">
      <c r="F9465">
        <v>9460</v>
      </c>
      <c r="G9465" s="102">
        <f t="shared" ca="1" si="151"/>
        <v>5.2861675224460794E-2</v>
      </c>
    </row>
    <row r="9466" spans="6:7" x14ac:dyDescent="0.35">
      <c r="F9466">
        <v>9461</v>
      </c>
      <c r="G9466" s="102">
        <f t="shared" ca="1" si="151"/>
        <v>-3.8559278122980212E-2</v>
      </c>
    </row>
    <row r="9467" spans="6:7" x14ac:dyDescent="0.35">
      <c r="F9467">
        <v>9462</v>
      </c>
      <c r="G9467" s="102">
        <f t="shared" ca="1" si="151"/>
        <v>-0.11204002623709475</v>
      </c>
    </row>
    <row r="9468" spans="6:7" x14ac:dyDescent="0.35">
      <c r="F9468">
        <v>9463</v>
      </c>
      <c r="G9468" s="102">
        <f t="shared" ca="1" si="151"/>
        <v>-6.5492820946611491E-2</v>
      </c>
    </row>
    <row r="9469" spans="6:7" x14ac:dyDescent="0.35">
      <c r="F9469">
        <v>9464</v>
      </c>
      <c r="G9469" s="102">
        <f t="shared" ca="1" si="151"/>
        <v>4.6384783235794078E-2</v>
      </c>
    </row>
    <row r="9470" spans="6:7" x14ac:dyDescent="0.35">
      <c r="F9470">
        <v>9465</v>
      </c>
      <c r="G9470" s="102">
        <f t="shared" ca="1" si="151"/>
        <v>6.2588324764390191E-2</v>
      </c>
    </row>
    <row r="9471" spans="6:7" x14ac:dyDescent="0.35">
      <c r="F9471">
        <v>9466</v>
      </c>
      <c r="G9471" s="102">
        <f t="shared" ca="1" si="151"/>
        <v>1.1677976969194342E-2</v>
      </c>
    </row>
    <row r="9472" spans="6:7" x14ac:dyDescent="0.35">
      <c r="F9472">
        <v>9467</v>
      </c>
      <c r="G9472" s="102">
        <f t="shared" ca="1" si="151"/>
        <v>-7.4233571474532981E-2</v>
      </c>
    </row>
    <row r="9473" spans="6:7" x14ac:dyDescent="0.35">
      <c r="F9473">
        <v>9468</v>
      </c>
      <c r="G9473" s="102">
        <f t="shared" ca="1" si="151"/>
        <v>7.8631555394531441E-2</v>
      </c>
    </row>
    <row r="9474" spans="6:7" x14ac:dyDescent="0.35">
      <c r="F9474">
        <v>9469</v>
      </c>
      <c r="G9474" s="102">
        <f t="shared" ca="1" si="151"/>
        <v>3.9071798603335733E-2</v>
      </c>
    </row>
    <row r="9475" spans="6:7" x14ac:dyDescent="0.35">
      <c r="F9475">
        <v>9470</v>
      </c>
      <c r="G9475" s="102">
        <f t="shared" ca="1" si="151"/>
        <v>4.566149378310437E-2</v>
      </c>
    </row>
    <row r="9476" spans="6:7" x14ac:dyDescent="0.35">
      <c r="F9476">
        <v>9471</v>
      </c>
      <c r="G9476" s="102">
        <f t="shared" ca="1" si="151"/>
        <v>7.9749518978765047E-2</v>
      </c>
    </row>
    <row r="9477" spans="6:7" x14ac:dyDescent="0.35">
      <c r="F9477">
        <v>9472</v>
      </c>
      <c r="G9477" s="102">
        <f t="shared" ca="1" si="151"/>
        <v>8.6106397331654119E-3</v>
      </c>
    </row>
    <row r="9478" spans="6:7" x14ac:dyDescent="0.35">
      <c r="F9478">
        <v>9473</v>
      </c>
      <c r="G9478" s="102">
        <f t="shared" ca="1" si="151"/>
        <v>-5.8999188953904949E-2</v>
      </c>
    </row>
    <row r="9479" spans="6:7" x14ac:dyDescent="0.35">
      <c r="F9479">
        <v>9474</v>
      </c>
      <c r="G9479" s="102">
        <f t="shared" ref="G9479:G9542" ca="1" si="152">_xlfn.NORM.INV(RAND(),M$9,M$10)</f>
        <v>-8.3873895038579449E-2</v>
      </c>
    </row>
    <row r="9480" spans="6:7" x14ac:dyDescent="0.35">
      <c r="F9480">
        <v>9475</v>
      </c>
      <c r="G9480" s="102">
        <f t="shared" ca="1" si="152"/>
        <v>1.9877670782284661E-2</v>
      </c>
    </row>
    <row r="9481" spans="6:7" x14ac:dyDescent="0.35">
      <c r="F9481">
        <v>9476</v>
      </c>
      <c r="G9481" s="102">
        <f t="shared" ca="1" si="152"/>
        <v>-4.3344551638206108E-3</v>
      </c>
    </row>
    <row r="9482" spans="6:7" x14ac:dyDescent="0.35">
      <c r="F9482">
        <v>9477</v>
      </c>
      <c r="G9482" s="102">
        <f t="shared" ca="1" si="152"/>
        <v>0.12364934399819204</v>
      </c>
    </row>
    <row r="9483" spans="6:7" x14ac:dyDescent="0.35">
      <c r="F9483">
        <v>9478</v>
      </c>
      <c r="G9483" s="102">
        <f t="shared" ca="1" si="152"/>
        <v>-2.1605249008785136E-2</v>
      </c>
    </row>
    <row r="9484" spans="6:7" x14ac:dyDescent="0.35">
      <c r="F9484">
        <v>9479</v>
      </c>
      <c r="G9484" s="102">
        <f t="shared" ca="1" si="152"/>
        <v>-3.0411359874396443E-2</v>
      </c>
    </row>
    <row r="9485" spans="6:7" x14ac:dyDescent="0.35">
      <c r="F9485">
        <v>9480</v>
      </c>
      <c r="G9485" s="102">
        <f t="shared" ca="1" si="152"/>
        <v>-6.0005830161271478E-2</v>
      </c>
    </row>
    <row r="9486" spans="6:7" x14ac:dyDescent="0.35">
      <c r="F9486">
        <v>9481</v>
      </c>
      <c r="G9486" s="102">
        <f t="shared" ca="1" si="152"/>
        <v>-6.7511260957960409E-3</v>
      </c>
    </row>
    <row r="9487" spans="6:7" x14ac:dyDescent="0.35">
      <c r="F9487">
        <v>9482</v>
      </c>
      <c r="G9487" s="102">
        <f t="shared" ca="1" si="152"/>
        <v>-5.3035278168424224E-2</v>
      </c>
    </row>
    <row r="9488" spans="6:7" x14ac:dyDescent="0.35">
      <c r="F9488">
        <v>9483</v>
      </c>
      <c r="G9488" s="102">
        <f t="shared" ca="1" si="152"/>
        <v>-3.6969976309157701E-2</v>
      </c>
    </row>
    <row r="9489" spans="6:7" x14ac:dyDescent="0.35">
      <c r="F9489">
        <v>9484</v>
      </c>
      <c r="G9489" s="102">
        <f t="shared" ca="1" si="152"/>
        <v>-2.9703159942557546E-2</v>
      </c>
    </row>
    <row r="9490" spans="6:7" x14ac:dyDescent="0.35">
      <c r="F9490">
        <v>9485</v>
      </c>
      <c r="G9490" s="102">
        <f t="shared" ca="1" si="152"/>
        <v>-4.4093573064186181E-2</v>
      </c>
    </row>
    <row r="9491" spans="6:7" x14ac:dyDescent="0.35">
      <c r="F9491">
        <v>9486</v>
      </c>
      <c r="G9491" s="102">
        <f t="shared" ca="1" si="152"/>
        <v>-8.058065068164505E-3</v>
      </c>
    </row>
    <row r="9492" spans="6:7" x14ac:dyDescent="0.35">
      <c r="F9492">
        <v>9487</v>
      </c>
      <c r="G9492" s="102">
        <f t="shared" ca="1" si="152"/>
        <v>-8.2703359620822828E-2</v>
      </c>
    </row>
    <row r="9493" spans="6:7" x14ac:dyDescent="0.35">
      <c r="F9493">
        <v>9488</v>
      </c>
      <c r="G9493" s="102">
        <f t="shared" ca="1" si="152"/>
        <v>0.13932865496976971</v>
      </c>
    </row>
    <row r="9494" spans="6:7" x14ac:dyDescent="0.35">
      <c r="F9494">
        <v>9489</v>
      </c>
      <c r="G9494" s="102">
        <f t="shared" ca="1" si="152"/>
        <v>-2.9602364377053002E-2</v>
      </c>
    </row>
    <row r="9495" spans="6:7" x14ac:dyDescent="0.35">
      <c r="F9495">
        <v>9490</v>
      </c>
      <c r="G9495" s="102">
        <f t="shared" ca="1" si="152"/>
        <v>1.9521016219382278E-2</v>
      </c>
    </row>
    <row r="9496" spans="6:7" x14ac:dyDescent="0.35">
      <c r="F9496">
        <v>9491</v>
      </c>
      <c r="G9496" s="102">
        <f t="shared" ca="1" si="152"/>
        <v>5.2253389628807004E-2</v>
      </c>
    </row>
    <row r="9497" spans="6:7" x14ac:dyDescent="0.35">
      <c r="F9497">
        <v>9492</v>
      </c>
      <c r="G9497" s="102">
        <f t="shared" ca="1" si="152"/>
        <v>-9.2045058242665387E-2</v>
      </c>
    </row>
    <row r="9498" spans="6:7" x14ac:dyDescent="0.35">
      <c r="F9498">
        <v>9493</v>
      </c>
      <c r="G9498" s="102">
        <f t="shared" ca="1" si="152"/>
        <v>3.400436114340756E-2</v>
      </c>
    </row>
    <row r="9499" spans="6:7" x14ac:dyDescent="0.35">
      <c r="F9499">
        <v>9494</v>
      </c>
      <c r="G9499" s="102">
        <f t="shared" ca="1" si="152"/>
        <v>9.0928748015348271E-3</v>
      </c>
    </row>
    <row r="9500" spans="6:7" x14ac:dyDescent="0.35">
      <c r="F9500">
        <v>9495</v>
      </c>
      <c r="G9500" s="102">
        <f t="shared" ca="1" si="152"/>
        <v>3.3808342473990796E-2</v>
      </c>
    </row>
    <row r="9501" spans="6:7" x14ac:dyDescent="0.35">
      <c r="F9501">
        <v>9496</v>
      </c>
      <c r="G9501" s="102">
        <f t="shared" ca="1" si="152"/>
        <v>-4.1369603424615417E-2</v>
      </c>
    </row>
    <row r="9502" spans="6:7" x14ac:dyDescent="0.35">
      <c r="F9502">
        <v>9497</v>
      </c>
      <c r="G9502" s="102">
        <f t="shared" ca="1" si="152"/>
        <v>-7.0473818990457765E-2</v>
      </c>
    </row>
    <row r="9503" spans="6:7" x14ac:dyDescent="0.35">
      <c r="F9503">
        <v>9498</v>
      </c>
      <c r="G9503" s="102">
        <f t="shared" ca="1" si="152"/>
        <v>1.0721182639299186E-2</v>
      </c>
    </row>
    <row r="9504" spans="6:7" x14ac:dyDescent="0.35">
      <c r="F9504">
        <v>9499</v>
      </c>
      <c r="G9504" s="102">
        <f t="shared" ca="1" si="152"/>
        <v>-1.9315677691983738E-2</v>
      </c>
    </row>
    <row r="9505" spans="6:7" x14ac:dyDescent="0.35">
      <c r="F9505">
        <v>9500</v>
      </c>
      <c r="G9505" s="102">
        <f t="shared" ca="1" si="152"/>
        <v>-3.2504825175439012E-2</v>
      </c>
    </row>
    <row r="9506" spans="6:7" x14ac:dyDescent="0.35">
      <c r="F9506">
        <v>9501</v>
      </c>
      <c r="G9506" s="102">
        <f t="shared" ca="1" si="152"/>
        <v>-7.9556569888217452E-3</v>
      </c>
    </row>
    <row r="9507" spans="6:7" x14ac:dyDescent="0.35">
      <c r="F9507">
        <v>9502</v>
      </c>
      <c r="G9507" s="102">
        <f t="shared" ca="1" si="152"/>
        <v>9.3150793143489743E-2</v>
      </c>
    </row>
    <row r="9508" spans="6:7" x14ac:dyDescent="0.35">
      <c r="F9508">
        <v>9503</v>
      </c>
      <c r="G9508" s="102">
        <f t="shared" ca="1" si="152"/>
        <v>-7.2298157619987823E-3</v>
      </c>
    </row>
    <row r="9509" spans="6:7" x14ac:dyDescent="0.35">
      <c r="F9509">
        <v>9504</v>
      </c>
      <c r="G9509" s="102">
        <f t="shared" ca="1" si="152"/>
        <v>0.14006618744759136</v>
      </c>
    </row>
    <row r="9510" spans="6:7" x14ac:dyDescent="0.35">
      <c r="F9510">
        <v>9505</v>
      </c>
      <c r="G9510" s="102">
        <f t="shared" ca="1" si="152"/>
        <v>-6.3928869523889584E-2</v>
      </c>
    </row>
    <row r="9511" spans="6:7" x14ac:dyDescent="0.35">
      <c r="F9511">
        <v>9506</v>
      </c>
      <c r="G9511" s="102">
        <f t="shared" ca="1" si="152"/>
        <v>-0.12378648636886212</v>
      </c>
    </row>
    <row r="9512" spans="6:7" x14ac:dyDescent="0.35">
      <c r="F9512">
        <v>9507</v>
      </c>
      <c r="G9512" s="102">
        <f t="shared" ca="1" si="152"/>
        <v>6.0685057399559345E-2</v>
      </c>
    </row>
    <row r="9513" spans="6:7" x14ac:dyDescent="0.35">
      <c r="F9513">
        <v>9508</v>
      </c>
      <c r="G9513" s="102">
        <f t="shared" ca="1" si="152"/>
        <v>4.0370621201955115E-2</v>
      </c>
    </row>
    <row r="9514" spans="6:7" x14ac:dyDescent="0.35">
      <c r="F9514">
        <v>9509</v>
      </c>
      <c r="G9514" s="102">
        <f t="shared" ca="1" si="152"/>
        <v>3.8658736428926754E-2</v>
      </c>
    </row>
    <row r="9515" spans="6:7" x14ac:dyDescent="0.35">
      <c r="F9515">
        <v>9510</v>
      </c>
      <c r="G9515" s="102">
        <f t="shared" ca="1" si="152"/>
        <v>-6.9887205656172877E-3</v>
      </c>
    </row>
    <row r="9516" spans="6:7" x14ac:dyDescent="0.35">
      <c r="F9516">
        <v>9511</v>
      </c>
      <c r="G9516" s="102">
        <f t="shared" ca="1" si="152"/>
        <v>5.0594194980272383E-3</v>
      </c>
    </row>
    <row r="9517" spans="6:7" x14ac:dyDescent="0.35">
      <c r="F9517">
        <v>9512</v>
      </c>
      <c r="G9517" s="102">
        <f t="shared" ca="1" si="152"/>
        <v>0.12767755580389362</v>
      </c>
    </row>
    <row r="9518" spans="6:7" x14ac:dyDescent="0.35">
      <c r="F9518">
        <v>9513</v>
      </c>
      <c r="G9518" s="102">
        <f t="shared" ca="1" si="152"/>
        <v>-1.1158338837831631E-2</v>
      </c>
    </row>
    <row r="9519" spans="6:7" x14ac:dyDescent="0.35">
      <c r="F9519">
        <v>9514</v>
      </c>
      <c r="G9519" s="102">
        <f t="shared" ca="1" si="152"/>
        <v>-8.8525301866294065E-2</v>
      </c>
    </row>
    <row r="9520" spans="6:7" x14ac:dyDescent="0.35">
      <c r="F9520">
        <v>9515</v>
      </c>
      <c r="G9520" s="102">
        <f t="shared" ca="1" si="152"/>
        <v>0.14569437660017798</v>
      </c>
    </row>
    <row r="9521" spans="6:7" x14ac:dyDescent="0.35">
      <c r="F9521">
        <v>9516</v>
      </c>
      <c r="G9521" s="102">
        <f t="shared" ca="1" si="152"/>
        <v>4.1395060972336903E-2</v>
      </c>
    </row>
    <row r="9522" spans="6:7" x14ac:dyDescent="0.35">
      <c r="F9522">
        <v>9517</v>
      </c>
      <c r="G9522" s="102">
        <f t="shared" ca="1" si="152"/>
        <v>4.4276380489727721E-2</v>
      </c>
    </row>
    <row r="9523" spans="6:7" x14ac:dyDescent="0.35">
      <c r="F9523">
        <v>9518</v>
      </c>
      <c r="G9523" s="102">
        <f t="shared" ca="1" si="152"/>
        <v>-5.6242413258712848E-2</v>
      </c>
    </row>
    <row r="9524" spans="6:7" x14ac:dyDescent="0.35">
      <c r="F9524">
        <v>9519</v>
      </c>
      <c r="G9524" s="102">
        <f t="shared" ca="1" si="152"/>
        <v>5.4612340486920152E-2</v>
      </c>
    </row>
    <row r="9525" spans="6:7" x14ac:dyDescent="0.35">
      <c r="F9525">
        <v>9520</v>
      </c>
      <c r="G9525" s="102">
        <f t="shared" ca="1" si="152"/>
        <v>-1.6988935799402589E-3</v>
      </c>
    </row>
    <row r="9526" spans="6:7" x14ac:dyDescent="0.35">
      <c r="F9526">
        <v>9521</v>
      </c>
      <c r="G9526" s="102">
        <f t="shared" ca="1" si="152"/>
        <v>-0.15604245465866903</v>
      </c>
    </row>
    <row r="9527" spans="6:7" x14ac:dyDescent="0.35">
      <c r="F9527">
        <v>9522</v>
      </c>
      <c r="G9527" s="102">
        <f t="shared" ca="1" si="152"/>
        <v>-1.4167088109291558E-2</v>
      </c>
    </row>
    <row r="9528" spans="6:7" x14ac:dyDescent="0.35">
      <c r="F9528">
        <v>9523</v>
      </c>
      <c r="G9528" s="102">
        <f t="shared" ca="1" si="152"/>
        <v>5.2761008074832499E-2</v>
      </c>
    </row>
    <row r="9529" spans="6:7" x14ac:dyDescent="0.35">
      <c r="F9529">
        <v>9524</v>
      </c>
      <c r="G9529" s="102">
        <f t="shared" ca="1" si="152"/>
        <v>1.5397622087424217E-2</v>
      </c>
    </row>
    <row r="9530" spans="6:7" x14ac:dyDescent="0.35">
      <c r="F9530">
        <v>9525</v>
      </c>
      <c r="G9530" s="102">
        <f t="shared" ca="1" si="152"/>
        <v>2.5722793956827968E-2</v>
      </c>
    </row>
    <row r="9531" spans="6:7" x14ac:dyDescent="0.35">
      <c r="F9531">
        <v>9526</v>
      </c>
      <c r="G9531" s="102">
        <f t="shared" ca="1" si="152"/>
        <v>4.6205644547257327E-2</v>
      </c>
    </row>
    <row r="9532" spans="6:7" x14ac:dyDescent="0.35">
      <c r="F9532">
        <v>9527</v>
      </c>
      <c r="G9532" s="102">
        <f t="shared" ca="1" si="152"/>
        <v>2.9287098827592135E-2</v>
      </c>
    </row>
    <row r="9533" spans="6:7" x14ac:dyDescent="0.35">
      <c r="F9533">
        <v>9528</v>
      </c>
      <c r="G9533" s="102">
        <f t="shared" ca="1" si="152"/>
        <v>6.2065825576566008E-2</v>
      </c>
    </row>
    <row r="9534" spans="6:7" x14ac:dyDescent="0.35">
      <c r="F9534">
        <v>9529</v>
      </c>
      <c r="G9534" s="102">
        <f t="shared" ca="1" si="152"/>
        <v>-3.0168379461201284E-2</v>
      </c>
    </row>
    <row r="9535" spans="6:7" x14ac:dyDescent="0.35">
      <c r="F9535">
        <v>9530</v>
      </c>
      <c r="G9535" s="102">
        <f t="shared" ca="1" si="152"/>
        <v>2.4339497375656442E-2</v>
      </c>
    </row>
    <row r="9536" spans="6:7" x14ac:dyDescent="0.35">
      <c r="F9536">
        <v>9531</v>
      </c>
      <c r="G9536" s="102">
        <f t="shared" ca="1" si="152"/>
        <v>-6.6315384074701342E-3</v>
      </c>
    </row>
    <row r="9537" spans="6:7" x14ac:dyDescent="0.35">
      <c r="F9537">
        <v>9532</v>
      </c>
      <c r="G9537" s="102">
        <f t="shared" ca="1" si="152"/>
        <v>-2.8529109037934725E-2</v>
      </c>
    </row>
    <row r="9538" spans="6:7" x14ac:dyDescent="0.35">
      <c r="F9538">
        <v>9533</v>
      </c>
      <c r="G9538" s="102">
        <f t="shared" ca="1" si="152"/>
        <v>-5.6533448535150674E-2</v>
      </c>
    </row>
    <row r="9539" spans="6:7" x14ac:dyDescent="0.35">
      <c r="F9539">
        <v>9534</v>
      </c>
      <c r="G9539" s="102">
        <f t="shared" ca="1" si="152"/>
        <v>-6.1158032879979271E-2</v>
      </c>
    </row>
    <row r="9540" spans="6:7" x14ac:dyDescent="0.35">
      <c r="F9540">
        <v>9535</v>
      </c>
      <c r="G9540" s="102">
        <f t="shared" ca="1" si="152"/>
        <v>9.2793416802134834E-2</v>
      </c>
    </row>
    <row r="9541" spans="6:7" x14ac:dyDescent="0.35">
      <c r="F9541">
        <v>9536</v>
      </c>
      <c r="G9541" s="102">
        <f t="shared" ca="1" si="152"/>
        <v>-0.16885470386533705</v>
      </c>
    </row>
    <row r="9542" spans="6:7" x14ac:dyDescent="0.35">
      <c r="F9542">
        <v>9537</v>
      </c>
      <c r="G9542" s="102">
        <f t="shared" ca="1" si="152"/>
        <v>-5.7187816064271785E-2</v>
      </c>
    </row>
    <row r="9543" spans="6:7" x14ac:dyDescent="0.35">
      <c r="F9543">
        <v>9538</v>
      </c>
      <c r="G9543" s="102">
        <f t="shared" ref="G9543:G9606" ca="1" si="153">_xlfn.NORM.INV(RAND(),M$9,M$10)</f>
        <v>8.1867341803495489E-2</v>
      </c>
    </row>
    <row r="9544" spans="6:7" x14ac:dyDescent="0.35">
      <c r="F9544">
        <v>9539</v>
      </c>
      <c r="G9544" s="102">
        <f t="shared" ca="1" si="153"/>
        <v>7.5343107312435906E-3</v>
      </c>
    </row>
    <row r="9545" spans="6:7" x14ac:dyDescent="0.35">
      <c r="F9545">
        <v>9540</v>
      </c>
      <c r="G9545" s="102">
        <f t="shared" ca="1" si="153"/>
        <v>-7.6328973458280783E-2</v>
      </c>
    </row>
    <row r="9546" spans="6:7" x14ac:dyDescent="0.35">
      <c r="F9546">
        <v>9541</v>
      </c>
      <c r="G9546" s="102">
        <f t="shared" ca="1" si="153"/>
        <v>-1.9347369516692685E-2</v>
      </c>
    </row>
    <row r="9547" spans="6:7" x14ac:dyDescent="0.35">
      <c r="F9547">
        <v>9542</v>
      </c>
      <c r="G9547" s="102">
        <f t="shared" ca="1" si="153"/>
        <v>-1.4868525503271078E-2</v>
      </c>
    </row>
    <row r="9548" spans="6:7" x14ac:dyDescent="0.35">
      <c r="F9548">
        <v>9543</v>
      </c>
      <c r="G9548" s="102">
        <f t="shared" ca="1" si="153"/>
        <v>7.4285141971576416E-2</v>
      </c>
    </row>
    <row r="9549" spans="6:7" x14ac:dyDescent="0.35">
      <c r="F9549">
        <v>9544</v>
      </c>
      <c r="G9549" s="102">
        <f t="shared" ca="1" si="153"/>
        <v>-7.60005119186134E-2</v>
      </c>
    </row>
    <row r="9550" spans="6:7" x14ac:dyDescent="0.35">
      <c r="F9550">
        <v>9545</v>
      </c>
      <c r="G9550" s="102">
        <f t="shared" ca="1" si="153"/>
        <v>-1.2374881443920641E-2</v>
      </c>
    </row>
    <row r="9551" spans="6:7" x14ac:dyDescent="0.35">
      <c r="F9551">
        <v>9546</v>
      </c>
      <c r="G9551" s="102">
        <f t="shared" ca="1" si="153"/>
        <v>-1.301833716976393E-2</v>
      </c>
    </row>
    <row r="9552" spans="6:7" x14ac:dyDescent="0.35">
      <c r="F9552">
        <v>9547</v>
      </c>
      <c r="G9552" s="102">
        <f t="shared" ca="1" si="153"/>
        <v>-5.9029202784883175E-2</v>
      </c>
    </row>
    <row r="9553" spans="6:7" x14ac:dyDescent="0.35">
      <c r="F9553">
        <v>9548</v>
      </c>
      <c r="G9553" s="102">
        <f t="shared" ca="1" si="153"/>
        <v>4.4941283854254069E-5</v>
      </c>
    </row>
    <row r="9554" spans="6:7" x14ac:dyDescent="0.35">
      <c r="F9554">
        <v>9549</v>
      </c>
      <c r="G9554" s="102">
        <f t="shared" ca="1" si="153"/>
        <v>-8.703463645573048E-3</v>
      </c>
    </row>
    <row r="9555" spans="6:7" x14ac:dyDescent="0.35">
      <c r="F9555">
        <v>9550</v>
      </c>
      <c r="G9555" s="102">
        <f t="shared" ca="1" si="153"/>
        <v>-4.0803867014649498E-2</v>
      </c>
    </row>
    <row r="9556" spans="6:7" x14ac:dyDescent="0.35">
      <c r="F9556">
        <v>9551</v>
      </c>
      <c r="G9556" s="102">
        <f t="shared" ca="1" si="153"/>
        <v>-1.7632143312837599E-2</v>
      </c>
    </row>
    <row r="9557" spans="6:7" x14ac:dyDescent="0.35">
      <c r="F9557">
        <v>9552</v>
      </c>
      <c r="G9557" s="102">
        <f t="shared" ca="1" si="153"/>
        <v>-2.0915102807339894E-4</v>
      </c>
    </row>
    <row r="9558" spans="6:7" x14ac:dyDescent="0.35">
      <c r="F9558">
        <v>9553</v>
      </c>
      <c r="G9558" s="102">
        <f t="shared" ca="1" si="153"/>
        <v>-8.6974864650439729E-2</v>
      </c>
    </row>
    <row r="9559" spans="6:7" x14ac:dyDescent="0.35">
      <c r="F9559">
        <v>9554</v>
      </c>
      <c r="G9559" s="102">
        <f t="shared" ca="1" si="153"/>
        <v>3.6635407940055778E-2</v>
      </c>
    </row>
    <row r="9560" spans="6:7" x14ac:dyDescent="0.35">
      <c r="F9560">
        <v>9555</v>
      </c>
      <c r="G9560" s="102">
        <f t="shared" ca="1" si="153"/>
        <v>-8.1968434529282888E-2</v>
      </c>
    </row>
    <row r="9561" spans="6:7" x14ac:dyDescent="0.35">
      <c r="F9561">
        <v>9556</v>
      </c>
      <c r="G9561" s="102">
        <f t="shared" ca="1" si="153"/>
        <v>2.7934018153188689E-3</v>
      </c>
    </row>
    <row r="9562" spans="6:7" x14ac:dyDescent="0.35">
      <c r="F9562">
        <v>9557</v>
      </c>
      <c r="G9562" s="102">
        <f t="shared" ca="1" si="153"/>
        <v>-1.0730212978223613E-2</v>
      </c>
    </row>
    <row r="9563" spans="6:7" x14ac:dyDescent="0.35">
      <c r="F9563">
        <v>9558</v>
      </c>
      <c r="G9563" s="102">
        <f t="shared" ca="1" si="153"/>
        <v>-8.1642740027603591E-2</v>
      </c>
    </row>
    <row r="9564" spans="6:7" x14ac:dyDescent="0.35">
      <c r="F9564">
        <v>9559</v>
      </c>
      <c r="G9564" s="102">
        <f t="shared" ca="1" si="153"/>
        <v>-2.7105536509480995E-2</v>
      </c>
    </row>
    <row r="9565" spans="6:7" x14ac:dyDescent="0.35">
      <c r="F9565">
        <v>9560</v>
      </c>
      <c r="G9565" s="102">
        <f t="shared" ca="1" si="153"/>
        <v>1.096755285269059E-2</v>
      </c>
    </row>
    <row r="9566" spans="6:7" x14ac:dyDescent="0.35">
      <c r="F9566">
        <v>9561</v>
      </c>
      <c r="G9566" s="102">
        <f t="shared" ca="1" si="153"/>
        <v>-8.007965343542485E-3</v>
      </c>
    </row>
    <row r="9567" spans="6:7" x14ac:dyDescent="0.35">
      <c r="F9567">
        <v>9562</v>
      </c>
      <c r="G9567" s="102">
        <f t="shared" ca="1" si="153"/>
        <v>-2.4309436517241961E-2</v>
      </c>
    </row>
    <row r="9568" spans="6:7" x14ac:dyDescent="0.35">
      <c r="F9568">
        <v>9563</v>
      </c>
      <c r="G9568" s="102">
        <f t="shared" ca="1" si="153"/>
        <v>-1.535315210916641E-2</v>
      </c>
    </row>
    <row r="9569" spans="6:7" x14ac:dyDescent="0.35">
      <c r="F9569">
        <v>9564</v>
      </c>
      <c r="G9569" s="102">
        <f t="shared" ca="1" si="153"/>
        <v>-5.6266147610104011E-2</v>
      </c>
    </row>
    <row r="9570" spans="6:7" x14ac:dyDescent="0.35">
      <c r="F9570">
        <v>9565</v>
      </c>
      <c r="G9570" s="102">
        <f t="shared" ca="1" si="153"/>
        <v>-5.4036409241088379E-2</v>
      </c>
    </row>
    <row r="9571" spans="6:7" x14ac:dyDescent="0.35">
      <c r="F9571">
        <v>9566</v>
      </c>
      <c r="G9571" s="102">
        <f t="shared" ca="1" si="153"/>
        <v>-2.7298132956595049E-2</v>
      </c>
    </row>
    <row r="9572" spans="6:7" x14ac:dyDescent="0.35">
      <c r="F9572">
        <v>9567</v>
      </c>
      <c r="G9572" s="102">
        <f t="shared" ca="1" si="153"/>
        <v>-1.5541299710287159E-2</v>
      </c>
    </row>
    <row r="9573" spans="6:7" x14ac:dyDescent="0.35">
      <c r="F9573">
        <v>9568</v>
      </c>
      <c r="G9573" s="102">
        <f t="shared" ca="1" si="153"/>
        <v>-3.948444333223787E-2</v>
      </c>
    </row>
    <row r="9574" spans="6:7" x14ac:dyDescent="0.35">
      <c r="F9574">
        <v>9569</v>
      </c>
      <c r="G9574" s="102">
        <f t="shared" ca="1" si="153"/>
        <v>2.860125721380118E-2</v>
      </c>
    </row>
    <row r="9575" spans="6:7" x14ac:dyDescent="0.35">
      <c r="F9575">
        <v>9570</v>
      </c>
      <c r="G9575" s="102">
        <f t="shared" ca="1" si="153"/>
        <v>-5.3419938163590211E-2</v>
      </c>
    </row>
    <row r="9576" spans="6:7" x14ac:dyDescent="0.35">
      <c r="F9576">
        <v>9571</v>
      </c>
      <c r="G9576" s="102">
        <f t="shared" ca="1" si="153"/>
        <v>-3.8524458936854827E-2</v>
      </c>
    </row>
    <row r="9577" spans="6:7" x14ac:dyDescent="0.35">
      <c r="F9577">
        <v>9572</v>
      </c>
      <c r="G9577" s="102">
        <f t="shared" ca="1" si="153"/>
        <v>-1.0339996451722136E-2</v>
      </c>
    </row>
    <row r="9578" spans="6:7" x14ac:dyDescent="0.35">
      <c r="F9578">
        <v>9573</v>
      </c>
      <c r="G9578" s="102">
        <f t="shared" ca="1" si="153"/>
        <v>-0.1306884512015839</v>
      </c>
    </row>
    <row r="9579" spans="6:7" x14ac:dyDescent="0.35">
      <c r="F9579">
        <v>9574</v>
      </c>
      <c r="G9579" s="102">
        <f t="shared" ca="1" si="153"/>
        <v>-1.8873247710502541E-2</v>
      </c>
    </row>
    <row r="9580" spans="6:7" x14ac:dyDescent="0.35">
      <c r="F9580">
        <v>9575</v>
      </c>
      <c r="G9580" s="102">
        <f t="shared" ca="1" si="153"/>
        <v>-5.8270549094011609E-2</v>
      </c>
    </row>
    <row r="9581" spans="6:7" x14ac:dyDescent="0.35">
      <c r="F9581">
        <v>9576</v>
      </c>
      <c r="G9581" s="102">
        <f t="shared" ca="1" si="153"/>
        <v>3.6894358016296133E-2</v>
      </c>
    </row>
    <row r="9582" spans="6:7" x14ac:dyDescent="0.35">
      <c r="F9582">
        <v>9577</v>
      </c>
      <c r="G9582" s="102">
        <f t="shared" ca="1" si="153"/>
        <v>-2.9657395451518465E-2</v>
      </c>
    </row>
    <row r="9583" spans="6:7" x14ac:dyDescent="0.35">
      <c r="F9583">
        <v>9578</v>
      </c>
      <c r="G9583" s="102">
        <f t="shared" ca="1" si="153"/>
        <v>6.0131872515013521E-2</v>
      </c>
    </row>
    <row r="9584" spans="6:7" x14ac:dyDescent="0.35">
      <c r="F9584">
        <v>9579</v>
      </c>
      <c r="G9584" s="102">
        <f t="shared" ca="1" si="153"/>
        <v>0.14159493574199528</v>
      </c>
    </row>
    <row r="9585" spans="6:7" x14ac:dyDescent="0.35">
      <c r="F9585">
        <v>9580</v>
      </c>
      <c r="G9585" s="102">
        <f t="shared" ca="1" si="153"/>
        <v>-3.8706310317019141E-2</v>
      </c>
    </row>
    <row r="9586" spans="6:7" x14ac:dyDescent="0.35">
      <c r="F9586">
        <v>9581</v>
      </c>
      <c r="G9586" s="102">
        <f t="shared" ca="1" si="153"/>
        <v>-3.3203632954958318E-2</v>
      </c>
    </row>
    <row r="9587" spans="6:7" x14ac:dyDescent="0.35">
      <c r="F9587">
        <v>9582</v>
      </c>
      <c r="G9587" s="102">
        <f t="shared" ca="1" si="153"/>
        <v>-2.7751514832139893E-2</v>
      </c>
    </row>
    <row r="9588" spans="6:7" x14ac:dyDescent="0.35">
      <c r="F9588">
        <v>9583</v>
      </c>
      <c r="G9588" s="102">
        <f t="shared" ca="1" si="153"/>
        <v>3.6515198657096334E-2</v>
      </c>
    </row>
    <row r="9589" spans="6:7" x14ac:dyDescent="0.35">
      <c r="F9589">
        <v>9584</v>
      </c>
      <c r="G9589" s="102">
        <f t="shared" ca="1" si="153"/>
        <v>-4.7403069295079051E-2</v>
      </c>
    </row>
    <row r="9590" spans="6:7" x14ac:dyDescent="0.35">
      <c r="F9590">
        <v>9585</v>
      </c>
      <c r="G9590" s="102">
        <f t="shared" ca="1" si="153"/>
        <v>1.535619889246452E-2</v>
      </c>
    </row>
    <row r="9591" spans="6:7" x14ac:dyDescent="0.35">
      <c r="F9591">
        <v>9586</v>
      </c>
      <c r="G9591" s="102">
        <f t="shared" ca="1" si="153"/>
        <v>2.7487754011822085E-2</v>
      </c>
    </row>
    <row r="9592" spans="6:7" x14ac:dyDescent="0.35">
      <c r="F9592">
        <v>9587</v>
      </c>
      <c r="G9592" s="102">
        <f t="shared" ca="1" si="153"/>
        <v>4.1260697928133971E-2</v>
      </c>
    </row>
    <row r="9593" spans="6:7" x14ac:dyDescent="0.35">
      <c r="F9593">
        <v>9588</v>
      </c>
      <c r="G9593" s="102">
        <f t="shared" ca="1" si="153"/>
        <v>-0.10717329798933364</v>
      </c>
    </row>
    <row r="9594" spans="6:7" x14ac:dyDescent="0.35">
      <c r="F9594">
        <v>9589</v>
      </c>
      <c r="G9594" s="102">
        <f t="shared" ca="1" si="153"/>
        <v>-4.3303360888662323E-2</v>
      </c>
    </row>
    <row r="9595" spans="6:7" x14ac:dyDescent="0.35">
      <c r="F9595">
        <v>9590</v>
      </c>
      <c r="G9595" s="102">
        <f t="shared" ca="1" si="153"/>
        <v>-1.278277368720577E-3</v>
      </c>
    </row>
    <row r="9596" spans="6:7" x14ac:dyDescent="0.35">
      <c r="F9596">
        <v>9591</v>
      </c>
      <c r="G9596" s="102">
        <f t="shared" ca="1" si="153"/>
        <v>-6.4309276176497177E-2</v>
      </c>
    </row>
    <row r="9597" spans="6:7" x14ac:dyDescent="0.35">
      <c r="F9597">
        <v>9592</v>
      </c>
      <c r="G9597" s="102">
        <f t="shared" ca="1" si="153"/>
        <v>-3.2104802439025415E-2</v>
      </c>
    </row>
    <row r="9598" spans="6:7" x14ac:dyDescent="0.35">
      <c r="F9598">
        <v>9593</v>
      </c>
      <c r="G9598" s="102">
        <f t="shared" ca="1" si="153"/>
        <v>3.621780771365983E-2</v>
      </c>
    </row>
    <row r="9599" spans="6:7" x14ac:dyDescent="0.35">
      <c r="F9599">
        <v>9594</v>
      </c>
      <c r="G9599" s="102">
        <f t="shared" ca="1" si="153"/>
        <v>1.1463379707284879E-2</v>
      </c>
    </row>
    <row r="9600" spans="6:7" x14ac:dyDescent="0.35">
      <c r="F9600">
        <v>9595</v>
      </c>
      <c r="G9600" s="102">
        <f t="shared" ca="1" si="153"/>
        <v>-5.8529028631200589E-2</v>
      </c>
    </row>
    <row r="9601" spans="6:7" x14ac:dyDescent="0.35">
      <c r="F9601">
        <v>9596</v>
      </c>
      <c r="G9601" s="102">
        <f t="shared" ca="1" si="153"/>
        <v>4.1548208881004023E-2</v>
      </c>
    </row>
    <row r="9602" spans="6:7" x14ac:dyDescent="0.35">
      <c r="F9602">
        <v>9597</v>
      </c>
      <c r="G9602" s="102">
        <f t="shared" ca="1" si="153"/>
        <v>0.1211890860193076</v>
      </c>
    </row>
    <row r="9603" spans="6:7" x14ac:dyDescent="0.35">
      <c r="F9603">
        <v>9598</v>
      </c>
      <c r="G9603" s="102">
        <f t="shared" ca="1" si="153"/>
        <v>6.6842237482839781E-2</v>
      </c>
    </row>
    <row r="9604" spans="6:7" x14ac:dyDescent="0.35">
      <c r="F9604">
        <v>9599</v>
      </c>
      <c r="G9604" s="102">
        <f t="shared" ca="1" si="153"/>
        <v>-1.6923548532733111E-2</v>
      </c>
    </row>
    <row r="9605" spans="6:7" x14ac:dyDescent="0.35">
      <c r="F9605">
        <v>9600</v>
      </c>
      <c r="G9605" s="102">
        <f t="shared" ca="1" si="153"/>
        <v>-2.1666760972162191E-2</v>
      </c>
    </row>
    <row r="9606" spans="6:7" x14ac:dyDescent="0.35">
      <c r="F9606">
        <v>9601</v>
      </c>
      <c r="G9606" s="102">
        <f t="shared" ca="1" si="153"/>
        <v>2.1656545987739927E-2</v>
      </c>
    </row>
    <row r="9607" spans="6:7" x14ac:dyDescent="0.35">
      <c r="F9607">
        <v>9602</v>
      </c>
      <c r="G9607" s="102">
        <f t="shared" ref="G9607:G9670" ca="1" si="154">_xlfn.NORM.INV(RAND(),M$9,M$10)</f>
        <v>4.5100989575088707E-2</v>
      </c>
    </row>
    <row r="9608" spans="6:7" x14ac:dyDescent="0.35">
      <c r="F9608">
        <v>9603</v>
      </c>
      <c r="G9608" s="102">
        <f t="shared" ca="1" si="154"/>
        <v>-1.9935984272409786E-2</v>
      </c>
    </row>
    <row r="9609" spans="6:7" x14ac:dyDescent="0.35">
      <c r="F9609">
        <v>9604</v>
      </c>
      <c r="G9609" s="102">
        <f t="shared" ca="1" si="154"/>
        <v>-2.0953268793597386E-2</v>
      </c>
    </row>
    <row r="9610" spans="6:7" x14ac:dyDescent="0.35">
      <c r="F9610">
        <v>9605</v>
      </c>
      <c r="G9610" s="102">
        <f t="shared" ca="1" si="154"/>
        <v>-8.8741397344908657E-2</v>
      </c>
    </row>
    <row r="9611" spans="6:7" x14ac:dyDescent="0.35">
      <c r="F9611">
        <v>9606</v>
      </c>
      <c r="G9611" s="102">
        <f t="shared" ca="1" si="154"/>
        <v>-1.5130495910252281E-3</v>
      </c>
    </row>
    <row r="9612" spans="6:7" x14ac:dyDescent="0.35">
      <c r="F9612">
        <v>9607</v>
      </c>
      <c r="G9612" s="102">
        <f t="shared" ca="1" si="154"/>
        <v>0.11426321546153353</v>
      </c>
    </row>
    <row r="9613" spans="6:7" x14ac:dyDescent="0.35">
      <c r="F9613">
        <v>9608</v>
      </c>
      <c r="G9613" s="102">
        <f t="shared" ca="1" si="154"/>
        <v>4.4064627680012028E-2</v>
      </c>
    </row>
    <row r="9614" spans="6:7" x14ac:dyDescent="0.35">
      <c r="F9614">
        <v>9609</v>
      </c>
      <c r="G9614" s="102">
        <f t="shared" ca="1" si="154"/>
        <v>7.2541382621974779E-2</v>
      </c>
    </row>
    <row r="9615" spans="6:7" x14ac:dyDescent="0.35">
      <c r="F9615">
        <v>9610</v>
      </c>
      <c r="G9615" s="102">
        <f t="shared" ca="1" si="154"/>
        <v>-0.13129841924728311</v>
      </c>
    </row>
    <row r="9616" spans="6:7" x14ac:dyDescent="0.35">
      <c r="F9616">
        <v>9611</v>
      </c>
      <c r="G9616" s="102">
        <f t="shared" ca="1" si="154"/>
        <v>4.8931722057065016E-2</v>
      </c>
    </row>
    <row r="9617" spans="6:7" x14ac:dyDescent="0.35">
      <c r="F9617">
        <v>9612</v>
      </c>
      <c r="G9617" s="102">
        <f t="shared" ca="1" si="154"/>
        <v>-6.6122876149524223E-2</v>
      </c>
    </row>
    <row r="9618" spans="6:7" x14ac:dyDescent="0.35">
      <c r="F9618">
        <v>9613</v>
      </c>
      <c r="G9618" s="102">
        <f t="shared" ca="1" si="154"/>
        <v>9.3658818285095591E-2</v>
      </c>
    </row>
    <row r="9619" spans="6:7" x14ac:dyDescent="0.35">
      <c r="F9619">
        <v>9614</v>
      </c>
      <c r="G9619" s="102">
        <f t="shared" ca="1" si="154"/>
        <v>-8.0691854663827944E-2</v>
      </c>
    </row>
    <row r="9620" spans="6:7" x14ac:dyDescent="0.35">
      <c r="F9620">
        <v>9615</v>
      </c>
      <c r="G9620" s="102">
        <f t="shared" ca="1" si="154"/>
        <v>1.1300379331637333E-3</v>
      </c>
    </row>
    <row r="9621" spans="6:7" x14ac:dyDescent="0.35">
      <c r="F9621">
        <v>9616</v>
      </c>
      <c r="G9621" s="102">
        <f t="shared" ca="1" si="154"/>
        <v>5.4581629056408024E-2</v>
      </c>
    </row>
    <row r="9622" spans="6:7" x14ac:dyDescent="0.35">
      <c r="F9622">
        <v>9617</v>
      </c>
      <c r="G9622" s="102">
        <f t="shared" ca="1" si="154"/>
        <v>7.6318478697416675E-2</v>
      </c>
    </row>
    <row r="9623" spans="6:7" x14ac:dyDescent="0.35">
      <c r="F9623">
        <v>9618</v>
      </c>
      <c r="G9623" s="102">
        <f t="shared" ca="1" si="154"/>
        <v>-1.2161378475944245E-2</v>
      </c>
    </row>
    <row r="9624" spans="6:7" x14ac:dyDescent="0.35">
      <c r="F9624">
        <v>9619</v>
      </c>
      <c r="G9624" s="102">
        <f t="shared" ca="1" si="154"/>
        <v>6.4454974775518134E-2</v>
      </c>
    </row>
    <row r="9625" spans="6:7" x14ac:dyDescent="0.35">
      <c r="F9625">
        <v>9620</v>
      </c>
      <c r="G9625" s="102">
        <f t="shared" ca="1" si="154"/>
        <v>-3.3168032736183045E-2</v>
      </c>
    </row>
    <row r="9626" spans="6:7" x14ac:dyDescent="0.35">
      <c r="F9626">
        <v>9621</v>
      </c>
      <c r="G9626" s="102">
        <f t="shared" ca="1" si="154"/>
        <v>1.6916001586115781E-2</v>
      </c>
    </row>
    <row r="9627" spans="6:7" x14ac:dyDescent="0.35">
      <c r="F9627">
        <v>9622</v>
      </c>
      <c r="G9627" s="102">
        <f t="shared" ca="1" si="154"/>
        <v>5.9624338048098732E-2</v>
      </c>
    </row>
    <row r="9628" spans="6:7" x14ac:dyDescent="0.35">
      <c r="F9628">
        <v>9623</v>
      </c>
      <c r="G9628" s="102">
        <f t="shared" ca="1" si="154"/>
        <v>-3.3026167596592174E-2</v>
      </c>
    </row>
    <row r="9629" spans="6:7" x14ac:dyDescent="0.35">
      <c r="F9629">
        <v>9624</v>
      </c>
      <c r="G9629" s="102">
        <f t="shared" ca="1" si="154"/>
        <v>-3.3090213649688144E-2</v>
      </c>
    </row>
    <row r="9630" spans="6:7" x14ac:dyDescent="0.35">
      <c r="F9630">
        <v>9625</v>
      </c>
      <c r="G9630" s="102">
        <f t="shared" ca="1" si="154"/>
        <v>-3.3407693597440253E-3</v>
      </c>
    </row>
    <row r="9631" spans="6:7" x14ac:dyDescent="0.35">
      <c r="F9631">
        <v>9626</v>
      </c>
      <c r="G9631" s="102">
        <f t="shared" ca="1" si="154"/>
        <v>-6.9458313332577917E-2</v>
      </c>
    </row>
    <row r="9632" spans="6:7" x14ac:dyDescent="0.35">
      <c r="F9632">
        <v>9627</v>
      </c>
      <c r="G9632" s="102">
        <f t="shared" ca="1" si="154"/>
        <v>-5.0065512468514428E-2</v>
      </c>
    </row>
    <row r="9633" spans="6:7" x14ac:dyDescent="0.35">
      <c r="F9633">
        <v>9628</v>
      </c>
      <c r="G9633" s="102">
        <f t="shared" ca="1" si="154"/>
        <v>6.0362148831813511E-2</v>
      </c>
    </row>
    <row r="9634" spans="6:7" x14ac:dyDescent="0.35">
      <c r="F9634">
        <v>9629</v>
      </c>
      <c r="G9634" s="102">
        <f t="shared" ca="1" si="154"/>
        <v>-2.8085383349411734E-2</v>
      </c>
    </row>
    <row r="9635" spans="6:7" x14ac:dyDescent="0.35">
      <c r="F9635">
        <v>9630</v>
      </c>
      <c r="G9635" s="102">
        <f t="shared" ca="1" si="154"/>
        <v>-2.2800949847428649E-2</v>
      </c>
    </row>
    <row r="9636" spans="6:7" x14ac:dyDescent="0.35">
      <c r="F9636">
        <v>9631</v>
      </c>
      <c r="G9636" s="102">
        <f t="shared" ca="1" si="154"/>
        <v>5.9636288666471471E-2</v>
      </c>
    </row>
    <row r="9637" spans="6:7" x14ac:dyDescent="0.35">
      <c r="F9637">
        <v>9632</v>
      </c>
      <c r="G9637" s="102">
        <f t="shared" ca="1" si="154"/>
        <v>4.0321879273253879E-3</v>
      </c>
    </row>
    <row r="9638" spans="6:7" x14ac:dyDescent="0.35">
      <c r="F9638">
        <v>9633</v>
      </c>
      <c r="G9638" s="102">
        <f t="shared" ca="1" si="154"/>
        <v>-3.8993343624173005E-2</v>
      </c>
    </row>
    <row r="9639" spans="6:7" x14ac:dyDescent="0.35">
      <c r="F9639">
        <v>9634</v>
      </c>
      <c r="G9639" s="102">
        <f t="shared" ca="1" si="154"/>
        <v>-8.2655239924102869E-2</v>
      </c>
    </row>
    <row r="9640" spans="6:7" x14ac:dyDescent="0.35">
      <c r="F9640">
        <v>9635</v>
      </c>
      <c r="G9640" s="102">
        <f t="shared" ca="1" si="154"/>
        <v>-1.5502063366599284E-2</v>
      </c>
    </row>
    <row r="9641" spans="6:7" x14ac:dyDescent="0.35">
      <c r="F9641">
        <v>9636</v>
      </c>
      <c r="G9641" s="102">
        <f t="shared" ca="1" si="154"/>
        <v>-5.5062033524538746E-3</v>
      </c>
    </row>
    <row r="9642" spans="6:7" x14ac:dyDescent="0.35">
      <c r="F9642">
        <v>9637</v>
      </c>
      <c r="G9642" s="102">
        <f t="shared" ca="1" si="154"/>
        <v>-1.5840351030548053E-3</v>
      </c>
    </row>
    <row r="9643" spans="6:7" x14ac:dyDescent="0.35">
      <c r="F9643">
        <v>9638</v>
      </c>
      <c r="G9643" s="102">
        <f t="shared" ca="1" si="154"/>
        <v>-0.13109697979919049</v>
      </c>
    </row>
    <row r="9644" spans="6:7" x14ac:dyDescent="0.35">
      <c r="F9644">
        <v>9639</v>
      </c>
      <c r="G9644" s="102">
        <f t="shared" ca="1" si="154"/>
        <v>-8.4369265816253217E-2</v>
      </c>
    </row>
    <row r="9645" spans="6:7" x14ac:dyDescent="0.35">
      <c r="F9645">
        <v>9640</v>
      </c>
      <c r="G9645" s="102">
        <f t="shared" ca="1" si="154"/>
        <v>-7.5502086331884752E-2</v>
      </c>
    </row>
    <row r="9646" spans="6:7" x14ac:dyDescent="0.35">
      <c r="F9646">
        <v>9641</v>
      </c>
      <c r="G9646" s="102">
        <f t="shared" ca="1" si="154"/>
        <v>2.227576105113353E-2</v>
      </c>
    </row>
    <row r="9647" spans="6:7" x14ac:dyDescent="0.35">
      <c r="F9647">
        <v>9642</v>
      </c>
      <c r="G9647" s="102">
        <f t="shared" ca="1" si="154"/>
        <v>-4.4328767083497533E-2</v>
      </c>
    </row>
    <row r="9648" spans="6:7" x14ac:dyDescent="0.35">
      <c r="F9648">
        <v>9643</v>
      </c>
      <c r="G9648" s="102">
        <f t="shared" ca="1" si="154"/>
        <v>0.11765193756602543</v>
      </c>
    </row>
    <row r="9649" spans="6:7" x14ac:dyDescent="0.35">
      <c r="F9649">
        <v>9644</v>
      </c>
      <c r="G9649" s="102">
        <f t="shared" ca="1" si="154"/>
        <v>-0.12092195829453468</v>
      </c>
    </row>
    <row r="9650" spans="6:7" x14ac:dyDescent="0.35">
      <c r="F9650">
        <v>9645</v>
      </c>
      <c r="G9650" s="102">
        <f t="shared" ca="1" si="154"/>
        <v>-6.1656550413411573E-2</v>
      </c>
    </row>
    <row r="9651" spans="6:7" x14ac:dyDescent="0.35">
      <c r="F9651">
        <v>9646</v>
      </c>
      <c r="G9651" s="102">
        <f t="shared" ca="1" si="154"/>
        <v>-5.0031037231027739E-2</v>
      </c>
    </row>
    <row r="9652" spans="6:7" x14ac:dyDescent="0.35">
      <c r="F9652">
        <v>9647</v>
      </c>
      <c r="G9652" s="102">
        <f t="shared" ca="1" si="154"/>
        <v>8.9724552725997858E-2</v>
      </c>
    </row>
    <row r="9653" spans="6:7" x14ac:dyDescent="0.35">
      <c r="F9653">
        <v>9648</v>
      </c>
      <c r="G9653" s="102">
        <f t="shared" ca="1" si="154"/>
        <v>1.9823468553965481E-2</v>
      </c>
    </row>
    <row r="9654" spans="6:7" x14ac:dyDescent="0.35">
      <c r="F9654">
        <v>9649</v>
      </c>
      <c r="G9654" s="102">
        <f t="shared" ca="1" si="154"/>
        <v>-1.2539002294730687E-2</v>
      </c>
    </row>
    <row r="9655" spans="6:7" x14ac:dyDescent="0.35">
      <c r="F9655">
        <v>9650</v>
      </c>
      <c r="G9655" s="102">
        <f t="shared" ca="1" si="154"/>
        <v>-1.9614535925400828E-2</v>
      </c>
    </row>
    <row r="9656" spans="6:7" x14ac:dyDescent="0.35">
      <c r="F9656">
        <v>9651</v>
      </c>
      <c r="G9656" s="102">
        <f t="shared" ca="1" si="154"/>
        <v>0.13429819894329939</v>
      </c>
    </row>
    <row r="9657" spans="6:7" x14ac:dyDescent="0.35">
      <c r="F9657">
        <v>9652</v>
      </c>
      <c r="G9657" s="102">
        <f t="shared" ca="1" si="154"/>
        <v>-7.6888102826144819E-2</v>
      </c>
    </row>
    <row r="9658" spans="6:7" x14ac:dyDescent="0.35">
      <c r="F9658">
        <v>9653</v>
      </c>
      <c r="G9658" s="102">
        <f t="shared" ca="1" si="154"/>
        <v>-0.14051521355274268</v>
      </c>
    </row>
    <row r="9659" spans="6:7" x14ac:dyDescent="0.35">
      <c r="F9659">
        <v>9654</v>
      </c>
      <c r="G9659" s="102">
        <f t="shared" ca="1" si="154"/>
        <v>4.9195630686900943E-2</v>
      </c>
    </row>
    <row r="9660" spans="6:7" x14ac:dyDescent="0.35">
      <c r="F9660">
        <v>9655</v>
      </c>
      <c r="G9660" s="102">
        <f t="shared" ca="1" si="154"/>
        <v>-5.5813463243751416E-2</v>
      </c>
    </row>
    <row r="9661" spans="6:7" x14ac:dyDescent="0.35">
      <c r="F9661">
        <v>9656</v>
      </c>
      <c r="G9661" s="102">
        <f t="shared" ca="1" si="154"/>
        <v>4.1905076209238043E-2</v>
      </c>
    </row>
    <row r="9662" spans="6:7" x14ac:dyDescent="0.35">
      <c r="F9662">
        <v>9657</v>
      </c>
      <c r="G9662" s="102">
        <f t="shared" ca="1" si="154"/>
        <v>-8.7747489590989589E-2</v>
      </c>
    </row>
    <row r="9663" spans="6:7" x14ac:dyDescent="0.35">
      <c r="F9663">
        <v>9658</v>
      </c>
      <c r="G9663" s="102">
        <f t="shared" ca="1" si="154"/>
        <v>-1.1858241304929396E-2</v>
      </c>
    </row>
    <row r="9664" spans="6:7" x14ac:dyDescent="0.35">
      <c r="F9664">
        <v>9659</v>
      </c>
      <c r="G9664" s="102">
        <f t="shared" ca="1" si="154"/>
        <v>-5.1526330649453056E-2</v>
      </c>
    </row>
    <row r="9665" spans="6:7" x14ac:dyDescent="0.35">
      <c r="F9665">
        <v>9660</v>
      </c>
      <c r="G9665" s="102">
        <f t="shared" ca="1" si="154"/>
        <v>-1.4286094199909321E-2</v>
      </c>
    </row>
    <row r="9666" spans="6:7" x14ac:dyDescent="0.35">
      <c r="F9666">
        <v>9661</v>
      </c>
      <c r="G9666" s="102">
        <f t="shared" ca="1" si="154"/>
        <v>1.298933428987728E-2</v>
      </c>
    </row>
    <row r="9667" spans="6:7" x14ac:dyDescent="0.35">
      <c r="F9667">
        <v>9662</v>
      </c>
      <c r="G9667" s="102">
        <f t="shared" ca="1" si="154"/>
        <v>1.2821289155799638E-3</v>
      </c>
    </row>
    <row r="9668" spans="6:7" x14ac:dyDescent="0.35">
      <c r="F9668">
        <v>9663</v>
      </c>
      <c r="G9668" s="102">
        <f t="shared" ca="1" si="154"/>
        <v>-7.9100124270530453E-2</v>
      </c>
    </row>
    <row r="9669" spans="6:7" x14ac:dyDescent="0.35">
      <c r="F9669">
        <v>9664</v>
      </c>
      <c r="G9669" s="102">
        <f t="shared" ca="1" si="154"/>
        <v>-2.3715008915011129E-2</v>
      </c>
    </row>
    <row r="9670" spans="6:7" x14ac:dyDescent="0.35">
      <c r="F9670">
        <v>9665</v>
      </c>
      <c r="G9670" s="102">
        <f t="shared" ca="1" si="154"/>
        <v>-0.11084546298123948</v>
      </c>
    </row>
    <row r="9671" spans="6:7" x14ac:dyDescent="0.35">
      <c r="F9671">
        <v>9666</v>
      </c>
      <c r="G9671" s="102">
        <f t="shared" ref="G9671:G9734" ca="1" si="155">_xlfn.NORM.INV(RAND(),M$9,M$10)</f>
        <v>-9.895204782930881E-3</v>
      </c>
    </row>
    <row r="9672" spans="6:7" x14ac:dyDescent="0.35">
      <c r="F9672">
        <v>9667</v>
      </c>
      <c r="G9672" s="102">
        <f t="shared" ca="1" si="155"/>
        <v>4.7897295328074782E-3</v>
      </c>
    </row>
    <row r="9673" spans="6:7" x14ac:dyDescent="0.35">
      <c r="F9673">
        <v>9668</v>
      </c>
      <c r="G9673" s="102">
        <f t="shared" ca="1" si="155"/>
        <v>-0.11336715572235281</v>
      </c>
    </row>
    <row r="9674" spans="6:7" x14ac:dyDescent="0.35">
      <c r="F9674">
        <v>9669</v>
      </c>
      <c r="G9674" s="102">
        <f t="shared" ca="1" si="155"/>
        <v>9.3493372353067303E-2</v>
      </c>
    </row>
    <row r="9675" spans="6:7" x14ac:dyDescent="0.35">
      <c r="F9675">
        <v>9670</v>
      </c>
      <c r="G9675" s="102">
        <f t="shared" ca="1" si="155"/>
        <v>-1.4669955766575545E-2</v>
      </c>
    </row>
    <row r="9676" spans="6:7" x14ac:dyDescent="0.35">
      <c r="F9676">
        <v>9671</v>
      </c>
      <c r="G9676" s="102">
        <f t="shared" ca="1" si="155"/>
        <v>-1.2911784915856123E-2</v>
      </c>
    </row>
    <row r="9677" spans="6:7" x14ac:dyDescent="0.35">
      <c r="F9677">
        <v>9672</v>
      </c>
      <c r="G9677" s="102">
        <f t="shared" ca="1" si="155"/>
        <v>-7.4899148631017515E-2</v>
      </c>
    </row>
    <row r="9678" spans="6:7" x14ac:dyDescent="0.35">
      <c r="F9678">
        <v>9673</v>
      </c>
      <c r="G9678" s="102">
        <f t="shared" ca="1" si="155"/>
        <v>9.0753572830932022E-2</v>
      </c>
    </row>
    <row r="9679" spans="6:7" x14ac:dyDescent="0.35">
      <c r="F9679">
        <v>9674</v>
      </c>
      <c r="G9679" s="102">
        <f t="shared" ca="1" si="155"/>
        <v>9.6009531045631272E-2</v>
      </c>
    </row>
    <row r="9680" spans="6:7" x14ac:dyDescent="0.35">
      <c r="F9680">
        <v>9675</v>
      </c>
      <c r="G9680" s="102">
        <f t="shared" ca="1" si="155"/>
        <v>-3.8785471835633648E-2</v>
      </c>
    </row>
    <row r="9681" spans="6:7" x14ac:dyDescent="0.35">
      <c r="F9681">
        <v>9676</v>
      </c>
      <c r="G9681" s="102">
        <f t="shared" ca="1" si="155"/>
        <v>-8.9493137831309286E-2</v>
      </c>
    </row>
    <row r="9682" spans="6:7" x14ac:dyDescent="0.35">
      <c r="F9682">
        <v>9677</v>
      </c>
      <c r="G9682" s="102">
        <f t="shared" ca="1" si="155"/>
        <v>8.4915484793654808E-2</v>
      </c>
    </row>
    <row r="9683" spans="6:7" x14ac:dyDescent="0.35">
      <c r="F9683">
        <v>9678</v>
      </c>
      <c r="G9683" s="102">
        <f t="shared" ca="1" si="155"/>
        <v>1.6336447770917924E-2</v>
      </c>
    </row>
    <row r="9684" spans="6:7" x14ac:dyDescent="0.35">
      <c r="F9684">
        <v>9679</v>
      </c>
      <c r="G9684" s="102">
        <f t="shared" ca="1" si="155"/>
        <v>-4.1453680381782237E-2</v>
      </c>
    </row>
    <row r="9685" spans="6:7" x14ac:dyDescent="0.35">
      <c r="F9685">
        <v>9680</v>
      </c>
      <c r="G9685" s="102">
        <f t="shared" ca="1" si="155"/>
        <v>2.0359117352990765E-2</v>
      </c>
    </row>
    <row r="9686" spans="6:7" x14ac:dyDescent="0.35">
      <c r="F9686">
        <v>9681</v>
      </c>
      <c r="G9686" s="102">
        <f t="shared" ca="1" si="155"/>
        <v>-8.4768501955097136E-3</v>
      </c>
    </row>
    <row r="9687" spans="6:7" x14ac:dyDescent="0.35">
      <c r="F9687">
        <v>9682</v>
      </c>
      <c r="G9687" s="102">
        <f t="shared" ca="1" si="155"/>
        <v>2.0285184872204997E-2</v>
      </c>
    </row>
    <row r="9688" spans="6:7" x14ac:dyDescent="0.35">
      <c r="F9688">
        <v>9683</v>
      </c>
      <c r="G9688" s="102">
        <f t="shared" ca="1" si="155"/>
        <v>-7.5592151921900688E-3</v>
      </c>
    </row>
    <row r="9689" spans="6:7" x14ac:dyDescent="0.35">
      <c r="F9689">
        <v>9684</v>
      </c>
      <c r="G9689" s="102">
        <f t="shared" ca="1" si="155"/>
        <v>-1.1821043265243617E-2</v>
      </c>
    </row>
    <row r="9690" spans="6:7" x14ac:dyDescent="0.35">
      <c r="F9690">
        <v>9685</v>
      </c>
      <c r="G9690" s="102">
        <f t="shared" ca="1" si="155"/>
        <v>-1.2913217108088491E-2</v>
      </c>
    </row>
    <row r="9691" spans="6:7" x14ac:dyDescent="0.35">
      <c r="F9691">
        <v>9686</v>
      </c>
      <c r="G9691" s="102">
        <f t="shared" ca="1" si="155"/>
        <v>-2.1776421799186034E-2</v>
      </c>
    </row>
    <row r="9692" spans="6:7" x14ac:dyDescent="0.35">
      <c r="F9692">
        <v>9687</v>
      </c>
      <c r="G9692" s="102">
        <f t="shared" ca="1" si="155"/>
        <v>-5.1554110980689793E-2</v>
      </c>
    </row>
    <row r="9693" spans="6:7" x14ac:dyDescent="0.35">
      <c r="F9693">
        <v>9688</v>
      </c>
      <c r="G9693" s="102">
        <f t="shared" ca="1" si="155"/>
        <v>-3.093198133655976E-2</v>
      </c>
    </row>
    <row r="9694" spans="6:7" x14ac:dyDescent="0.35">
      <c r="F9694">
        <v>9689</v>
      </c>
      <c r="G9694" s="102">
        <f t="shared" ca="1" si="155"/>
        <v>-5.2236021858861753E-2</v>
      </c>
    </row>
    <row r="9695" spans="6:7" x14ac:dyDescent="0.35">
      <c r="F9695">
        <v>9690</v>
      </c>
      <c r="G9695" s="102">
        <f t="shared" ca="1" si="155"/>
        <v>-7.4582891488461714E-2</v>
      </c>
    </row>
    <row r="9696" spans="6:7" x14ac:dyDescent="0.35">
      <c r="F9696">
        <v>9691</v>
      </c>
      <c r="G9696" s="102">
        <f t="shared" ca="1" si="155"/>
        <v>-7.6007045772384513E-2</v>
      </c>
    </row>
    <row r="9697" spans="6:7" x14ac:dyDescent="0.35">
      <c r="F9697">
        <v>9692</v>
      </c>
      <c r="G9697" s="102">
        <f t="shared" ca="1" si="155"/>
        <v>-3.1090924722166083E-2</v>
      </c>
    </row>
    <row r="9698" spans="6:7" x14ac:dyDescent="0.35">
      <c r="F9698">
        <v>9693</v>
      </c>
      <c r="G9698" s="102">
        <f t="shared" ca="1" si="155"/>
        <v>0.18518971816512475</v>
      </c>
    </row>
    <row r="9699" spans="6:7" x14ac:dyDescent="0.35">
      <c r="F9699">
        <v>9694</v>
      </c>
      <c r="G9699" s="102">
        <f t="shared" ca="1" si="155"/>
        <v>9.5231353245651598E-3</v>
      </c>
    </row>
    <row r="9700" spans="6:7" x14ac:dyDescent="0.35">
      <c r="F9700">
        <v>9695</v>
      </c>
      <c r="G9700" s="102">
        <f t="shared" ca="1" si="155"/>
        <v>-1.4948442408392739E-2</v>
      </c>
    </row>
    <row r="9701" spans="6:7" x14ac:dyDescent="0.35">
      <c r="F9701">
        <v>9696</v>
      </c>
      <c r="G9701" s="102">
        <f t="shared" ca="1" si="155"/>
        <v>-6.9623505101817735E-3</v>
      </c>
    </row>
    <row r="9702" spans="6:7" x14ac:dyDescent="0.35">
      <c r="F9702">
        <v>9697</v>
      </c>
      <c r="G9702" s="102">
        <f t="shared" ca="1" si="155"/>
        <v>-5.7596214169530254E-3</v>
      </c>
    </row>
    <row r="9703" spans="6:7" x14ac:dyDescent="0.35">
      <c r="F9703">
        <v>9698</v>
      </c>
      <c r="G9703" s="102">
        <f t="shared" ca="1" si="155"/>
        <v>1.1896423935086374E-3</v>
      </c>
    </row>
    <row r="9704" spans="6:7" x14ac:dyDescent="0.35">
      <c r="F9704">
        <v>9699</v>
      </c>
      <c r="G9704" s="102">
        <f t="shared" ca="1" si="155"/>
        <v>-4.4923202209005961E-2</v>
      </c>
    </row>
    <row r="9705" spans="6:7" x14ac:dyDescent="0.35">
      <c r="F9705">
        <v>9700</v>
      </c>
      <c r="G9705" s="102">
        <f t="shared" ca="1" si="155"/>
        <v>2.6363370955909859E-2</v>
      </c>
    </row>
    <row r="9706" spans="6:7" x14ac:dyDescent="0.35">
      <c r="F9706">
        <v>9701</v>
      </c>
      <c r="G9706" s="102">
        <f t="shared" ca="1" si="155"/>
        <v>7.9982312933763317E-3</v>
      </c>
    </row>
    <row r="9707" spans="6:7" x14ac:dyDescent="0.35">
      <c r="F9707">
        <v>9702</v>
      </c>
      <c r="G9707" s="102">
        <f t="shared" ca="1" si="155"/>
        <v>4.1843272382347405E-2</v>
      </c>
    </row>
    <row r="9708" spans="6:7" x14ac:dyDescent="0.35">
      <c r="F9708">
        <v>9703</v>
      </c>
      <c r="G9708" s="102">
        <f t="shared" ca="1" si="155"/>
        <v>-8.0355968107819996E-3</v>
      </c>
    </row>
    <row r="9709" spans="6:7" x14ac:dyDescent="0.35">
      <c r="F9709">
        <v>9704</v>
      </c>
      <c r="G9709" s="102">
        <f t="shared" ca="1" si="155"/>
        <v>-0.10177520691043891</v>
      </c>
    </row>
    <row r="9710" spans="6:7" x14ac:dyDescent="0.35">
      <c r="F9710">
        <v>9705</v>
      </c>
      <c r="G9710" s="102">
        <f t="shared" ca="1" si="155"/>
        <v>-6.3931834132993443E-2</v>
      </c>
    </row>
    <row r="9711" spans="6:7" x14ac:dyDescent="0.35">
      <c r="F9711">
        <v>9706</v>
      </c>
      <c r="G9711" s="102">
        <f t="shared" ca="1" si="155"/>
        <v>-7.3252201902330883E-3</v>
      </c>
    </row>
    <row r="9712" spans="6:7" x14ac:dyDescent="0.35">
      <c r="F9712">
        <v>9707</v>
      </c>
      <c r="G9712" s="102">
        <f t="shared" ca="1" si="155"/>
        <v>5.7215460059599862E-2</v>
      </c>
    </row>
    <row r="9713" spans="6:7" x14ac:dyDescent="0.35">
      <c r="F9713">
        <v>9708</v>
      </c>
      <c r="G9713" s="102">
        <f t="shared" ca="1" si="155"/>
        <v>-9.0501436447896391E-2</v>
      </c>
    </row>
    <row r="9714" spans="6:7" x14ac:dyDescent="0.35">
      <c r="F9714">
        <v>9709</v>
      </c>
      <c r="G9714" s="102">
        <f t="shared" ca="1" si="155"/>
        <v>3.816815732540163E-2</v>
      </c>
    </row>
    <row r="9715" spans="6:7" x14ac:dyDescent="0.35">
      <c r="F9715">
        <v>9710</v>
      </c>
      <c r="G9715" s="102">
        <f t="shared" ca="1" si="155"/>
        <v>9.6932578241886447E-2</v>
      </c>
    </row>
    <row r="9716" spans="6:7" x14ac:dyDescent="0.35">
      <c r="F9716">
        <v>9711</v>
      </c>
      <c r="G9716" s="102">
        <f t="shared" ca="1" si="155"/>
        <v>5.398507746485133E-2</v>
      </c>
    </row>
    <row r="9717" spans="6:7" x14ac:dyDescent="0.35">
      <c r="F9717">
        <v>9712</v>
      </c>
      <c r="G9717" s="102">
        <f t="shared" ca="1" si="155"/>
        <v>-9.3951031493444442E-2</v>
      </c>
    </row>
    <row r="9718" spans="6:7" x14ac:dyDescent="0.35">
      <c r="F9718">
        <v>9713</v>
      </c>
      <c r="G9718" s="102">
        <f t="shared" ca="1" si="155"/>
        <v>9.290257022546923E-2</v>
      </c>
    </row>
    <row r="9719" spans="6:7" x14ac:dyDescent="0.35">
      <c r="F9719">
        <v>9714</v>
      </c>
      <c r="G9719" s="102">
        <f t="shared" ca="1" si="155"/>
        <v>1.5745072648748453E-2</v>
      </c>
    </row>
    <row r="9720" spans="6:7" x14ac:dyDescent="0.35">
      <c r="F9720">
        <v>9715</v>
      </c>
      <c r="G9720" s="102">
        <f t="shared" ca="1" si="155"/>
        <v>-5.7101428961220002E-2</v>
      </c>
    </row>
    <row r="9721" spans="6:7" x14ac:dyDescent="0.35">
      <c r="F9721">
        <v>9716</v>
      </c>
      <c r="G9721" s="102">
        <f t="shared" ca="1" si="155"/>
        <v>9.3895862229542802E-3</v>
      </c>
    </row>
    <row r="9722" spans="6:7" x14ac:dyDescent="0.35">
      <c r="F9722">
        <v>9717</v>
      </c>
      <c r="G9722" s="102">
        <f t="shared" ca="1" si="155"/>
        <v>7.8354667860004057E-2</v>
      </c>
    </row>
    <row r="9723" spans="6:7" x14ac:dyDescent="0.35">
      <c r="F9723">
        <v>9718</v>
      </c>
      <c r="G9723" s="102">
        <f t="shared" ca="1" si="155"/>
        <v>6.8331205382738042E-2</v>
      </c>
    </row>
    <row r="9724" spans="6:7" x14ac:dyDescent="0.35">
      <c r="F9724">
        <v>9719</v>
      </c>
      <c r="G9724" s="102">
        <f t="shared" ca="1" si="155"/>
        <v>-1.1104571821536621E-2</v>
      </c>
    </row>
    <row r="9725" spans="6:7" x14ac:dyDescent="0.35">
      <c r="F9725">
        <v>9720</v>
      </c>
      <c r="G9725" s="102">
        <f t="shared" ca="1" si="155"/>
        <v>-6.4123834079341413E-2</v>
      </c>
    </row>
    <row r="9726" spans="6:7" x14ac:dyDescent="0.35">
      <c r="F9726">
        <v>9721</v>
      </c>
      <c r="G9726" s="102">
        <f t="shared" ca="1" si="155"/>
        <v>9.8099951481172513E-3</v>
      </c>
    </row>
    <row r="9727" spans="6:7" x14ac:dyDescent="0.35">
      <c r="F9727">
        <v>9722</v>
      </c>
      <c r="G9727" s="102">
        <f t="shared" ca="1" si="155"/>
        <v>-1.4609471437506476E-2</v>
      </c>
    </row>
    <row r="9728" spans="6:7" x14ac:dyDescent="0.35">
      <c r="F9728">
        <v>9723</v>
      </c>
      <c r="G9728" s="102">
        <f t="shared" ca="1" si="155"/>
        <v>-3.1525620050126234E-3</v>
      </c>
    </row>
    <row r="9729" spans="6:7" x14ac:dyDescent="0.35">
      <c r="F9729">
        <v>9724</v>
      </c>
      <c r="G9729" s="102">
        <f t="shared" ca="1" si="155"/>
        <v>5.2224248347346354E-3</v>
      </c>
    </row>
    <row r="9730" spans="6:7" x14ac:dyDescent="0.35">
      <c r="F9730">
        <v>9725</v>
      </c>
      <c r="G9730" s="102">
        <f t="shared" ca="1" si="155"/>
        <v>-0.10809855696303233</v>
      </c>
    </row>
    <row r="9731" spans="6:7" x14ac:dyDescent="0.35">
      <c r="F9731">
        <v>9726</v>
      </c>
      <c r="G9731" s="102">
        <f t="shared" ca="1" si="155"/>
        <v>-7.9343612797084226E-2</v>
      </c>
    </row>
    <row r="9732" spans="6:7" x14ac:dyDescent="0.35">
      <c r="F9732">
        <v>9727</v>
      </c>
      <c r="G9732" s="102">
        <f t="shared" ca="1" si="155"/>
        <v>2.7410282608921203E-2</v>
      </c>
    </row>
    <row r="9733" spans="6:7" x14ac:dyDescent="0.35">
      <c r="F9733">
        <v>9728</v>
      </c>
      <c r="G9733" s="102">
        <f t="shared" ca="1" si="155"/>
        <v>-8.7735145059160732E-2</v>
      </c>
    </row>
    <row r="9734" spans="6:7" x14ac:dyDescent="0.35">
      <c r="F9734">
        <v>9729</v>
      </c>
      <c r="G9734" s="102">
        <f t="shared" ca="1" si="155"/>
        <v>-7.880619802472523E-2</v>
      </c>
    </row>
    <row r="9735" spans="6:7" x14ac:dyDescent="0.35">
      <c r="F9735">
        <v>9730</v>
      </c>
      <c r="G9735" s="102">
        <f t="shared" ref="G9735:G9798" ca="1" si="156">_xlfn.NORM.INV(RAND(),M$9,M$10)</f>
        <v>-1.7926920236266793E-2</v>
      </c>
    </row>
    <row r="9736" spans="6:7" x14ac:dyDescent="0.35">
      <c r="F9736">
        <v>9731</v>
      </c>
      <c r="G9736" s="102">
        <f t="shared" ca="1" si="156"/>
        <v>6.0853927663496191E-2</v>
      </c>
    </row>
    <row r="9737" spans="6:7" x14ac:dyDescent="0.35">
      <c r="F9737">
        <v>9732</v>
      </c>
      <c r="G9737" s="102">
        <f t="shared" ca="1" si="156"/>
        <v>-6.1336026070059585E-2</v>
      </c>
    </row>
    <row r="9738" spans="6:7" x14ac:dyDescent="0.35">
      <c r="F9738">
        <v>9733</v>
      </c>
      <c r="G9738" s="102">
        <f t="shared" ca="1" si="156"/>
        <v>-3.0009125075413246E-2</v>
      </c>
    </row>
    <row r="9739" spans="6:7" x14ac:dyDescent="0.35">
      <c r="F9739">
        <v>9734</v>
      </c>
      <c r="G9739" s="102">
        <f t="shared" ca="1" si="156"/>
        <v>0.10064922490437689</v>
      </c>
    </row>
    <row r="9740" spans="6:7" x14ac:dyDescent="0.35">
      <c r="F9740">
        <v>9735</v>
      </c>
      <c r="G9740" s="102">
        <f t="shared" ca="1" si="156"/>
        <v>4.950590020486835E-2</v>
      </c>
    </row>
    <row r="9741" spans="6:7" x14ac:dyDescent="0.35">
      <c r="F9741">
        <v>9736</v>
      </c>
      <c r="G9741" s="102">
        <f t="shared" ca="1" si="156"/>
        <v>-5.081364240157539E-2</v>
      </c>
    </row>
    <row r="9742" spans="6:7" x14ac:dyDescent="0.35">
      <c r="F9742">
        <v>9737</v>
      </c>
      <c r="G9742" s="102">
        <f t="shared" ca="1" si="156"/>
        <v>2.9917028815342746E-2</v>
      </c>
    </row>
    <row r="9743" spans="6:7" x14ac:dyDescent="0.35">
      <c r="F9743">
        <v>9738</v>
      </c>
      <c r="G9743" s="102">
        <f t="shared" ca="1" si="156"/>
        <v>2.8809980154274713E-2</v>
      </c>
    </row>
    <row r="9744" spans="6:7" x14ac:dyDescent="0.35">
      <c r="F9744">
        <v>9739</v>
      </c>
      <c r="G9744" s="102">
        <f t="shared" ca="1" si="156"/>
        <v>-8.6427897730841488E-2</v>
      </c>
    </row>
    <row r="9745" spans="6:7" x14ac:dyDescent="0.35">
      <c r="F9745">
        <v>9740</v>
      </c>
      <c r="G9745" s="102">
        <f t="shared" ca="1" si="156"/>
        <v>4.9271157464960455E-2</v>
      </c>
    </row>
    <row r="9746" spans="6:7" x14ac:dyDescent="0.35">
      <c r="F9746">
        <v>9741</v>
      </c>
      <c r="G9746" s="102">
        <f t="shared" ca="1" si="156"/>
        <v>2.1377422869012355E-2</v>
      </c>
    </row>
    <row r="9747" spans="6:7" x14ac:dyDescent="0.35">
      <c r="F9747">
        <v>9742</v>
      </c>
      <c r="G9747" s="102">
        <f t="shared" ca="1" si="156"/>
        <v>8.1584032527406383E-2</v>
      </c>
    </row>
    <row r="9748" spans="6:7" x14ac:dyDescent="0.35">
      <c r="F9748">
        <v>9743</v>
      </c>
      <c r="G9748" s="102">
        <f t="shared" ca="1" si="156"/>
        <v>4.6795943772115225E-2</v>
      </c>
    </row>
    <row r="9749" spans="6:7" x14ac:dyDescent="0.35">
      <c r="F9749">
        <v>9744</v>
      </c>
      <c r="G9749" s="102">
        <f t="shared" ca="1" si="156"/>
        <v>2.6450756927198654E-2</v>
      </c>
    </row>
    <row r="9750" spans="6:7" x14ac:dyDescent="0.35">
      <c r="F9750">
        <v>9745</v>
      </c>
      <c r="G9750" s="102">
        <f t="shared" ca="1" si="156"/>
        <v>5.8053651141424505E-3</v>
      </c>
    </row>
    <row r="9751" spans="6:7" x14ac:dyDescent="0.35">
      <c r="F9751">
        <v>9746</v>
      </c>
      <c r="G9751" s="102">
        <f t="shared" ca="1" si="156"/>
        <v>1.22739079077222E-2</v>
      </c>
    </row>
    <row r="9752" spans="6:7" x14ac:dyDescent="0.35">
      <c r="F9752">
        <v>9747</v>
      </c>
      <c r="G9752" s="102">
        <f t="shared" ca="1" si="156"/>
        <v>-6.3786222876716717E-2</v>
      </c>
    </row>
    <row r="9753" spans="6:7" x14ac:dyDescent="0.35">
      <c r="F9753">
        <v>9748</v>
      </c>
      <c r="G9753" s="102">
        <f t="shared" ca="1" si="156"/>
        <v>-2.0269983518952034E-3</v>
      </c>
    </row>
    <row r="9754" spans="6:7" x14ac:dyDescent="0.35">
      <c r="F9754">
        <v>9749</v>
      </c>
      <c r="G9754" s="102">
        <f t="shared" ca="1" si="156"/>
        <v>-7.6914638466497418E-2</v>
      </c>
    </row>
    <row r="9755" spans="6:7" x14ac:dyDescent="0.35">
      <c r="F9755">
        <v>9750</v>
      </c>
      <c r="G9755" s="102">
        <f t="shared" ca="1" si="156"/>
        <v>9.4512330243387205E-2</v>
      </c>
    </row>
    <row r="9756" spans="6:7" x14ac:dyDescent="0.35">
      <c r="F9756">
        <v>9751</v>
      </c>
      <c r="G9756" s="102">
        <f t="shared" ca="1" si="156"/>
        <v>-1.373854025778105E-2</v>
      </c>
    </row>
    <row r="9757" spans="6:7" x14ac:dyDescent="0.35">
      <c r="F9757">
        <v>9752</v>
      </c>
      <c r="G9757" s="102">
        <f t="shared" ca="1" si="156"/>
        <v>-6.3612238936970003E-2</v>
      </c>
    </row>
    <row r="9758" spans="6:7" x14ac:dyDescent="0.35">
      <c r="F9758">
        <v>9753</v>
      </c>
      <c r="G9758" s="102">
        <f t="shared" ca="1" si="156"/>
        <v>-3.1093577755285946E-2</v>
      </c>
    </row>
    <row r="9759" spans="6:7" x14ac:dyDescent="0.35">
      <c r="F9759">
        <v>9754</v>
      </c>
      <c r="G9759" s="102">
        <f t="shared" ca="1" si="156"/>
        <v>-1.9836745807858259E-2</v>
      </c>
    </row>
    <row r="9760" spans="6:7" x14ac:dyDescent="0.35">
      <c r="F9760">
        <v>9755</v>
      </c>
      <c r="G9760" s="102">
        <f t="shared" ca="1" si="156"/>
        <v>2.444434674254669E-2</v>
      </c>
    </row>
    <row r="9761" spans="6:7" x14ac:dyDescent="0.35">
      <c r="F9761">
        <v>9756</v>
      </c>
      <c r="G9761" s="102">
        <f t="shared" ca="1" si="156"/>
        <v>6.4300623746197327E-2</v>
      </c>
    </row>
    <row r="9762" spans="6:7" x14ac:dyDescent="0.35">
      <c r="F9762">
        <v>9757</v>
      </c>
      <c r="G9762" s="102">
        <f t="shared" ca="1" si="156"/>
        <v>9.5166969340125196E-2</v>
      </c>
    </row>
    <row r="9763" spans="6:7" x14ac:dyDescent="0.35">
      <c r="F9763">
        <v>9758</v>
      </c>
      <c r="G9763" s="102">
        <f t="shared" ca="1" si="156"/>
        <v>-7.8640584044583017E-2</v>
      </c>
    </row>
    <row r="9764" spans="6:7" x14ac:dyDescent="0.35">
      <c r="F9764">
        <v>9759</v>
      </c>
      <c r="G9764" s="102">
        <f t="shared" ca="1" si="156"/>
        <v>4.9186823961736275E-4</v>
      </c>
    </row>
    <row r="9765" spans="6:7" x14ac:dyDescent="0.35">
      <c r="F9765">
        <v>9760</v>
      </c>
      <c r="G9765" s="102">
        <f t="shared" ca="1" si="156"/>
        <v>-8.2632256714920763E-3</v>
      </c>
    </row>
    <row r="9766" spans="6:7" x14ac:dyDescent="0.35">
      <c r="F9766">
        <v>9761</v>
      </c>
      <c r="G9766" s="102">
        <f t="shared" ca="1" si="156"/>
        <v>-1.6693191193650508E-2</v>
      </c>
    </row>
    <row r="9767" spans="6:7" x14ac:dyDescent="0.35">
      <c r="F9767">
        <v>9762</v>
      </c>
      <c r="G9767" s="102">
        <f t="shared" ca="1" si="156"/>
        <v>-4.1421022309065889E-3</v>
      </c>
    </row>
    <row r="9768" spans="6:7" x14ac:dyDescent="0.35">
      <c r="F9768">
        <v>9763</v>
      </c>
      <c r="G9768" s="102">
        <f t="shared" ca="1" si="156"/>
        <v>-1.4840588741658762E-2</v>
      </c>
    </row>
    <row r="9769" spans="6:7" x14ac:dyDescent="0.35">
      <c r="F9769">
        <v>9764</v>
      </c>
      <c r="G9769" s="102">
        <f t="shared" ca="1" si="156"/>
        <v>-3.6834990117111291E-2</v>
      </c>
    </row>
    <row r="9770" spans="6:7" x14ac:dyDescent="0.35">
      <c r="F9770">
        <v>9765</v>
      </c>
      <c r="G9770" s="102">
        <f t="shared" ca="1" si="156"/>
        <v>-0.10240465641940541</v>
      </c>
    </row>
    <row r="9771" spans="6:7" x14ac:dyDescent="0.35">
      <c r="F9771">
        <v>9766</v>
      </c>
      <c r="G9771" s="102">
        <f t="shared" ca="1" si="156"/>
        <v>-0.1315556010059854</v>
      </c>
    </row>
    <row r="9772" spans="6:7" x14ac:dyDescent="0.35">
      <c r="F9772">
        <v>9767</v>
      </c>
      <c r="G9772" s="102">
        <f t="shared" ca="1" si="156"/>
        <v>1.3543256383923782E-2</v>
      </c>
    </row>
    <row r="9773" spans="6:7" x14ac:dyDescent="0.35">
      <c r="F9773">
        <v>9768</v>
      </c>
      <c r="G9773" s="102">
        <f t="shared" ca="1" si="156"/>
        <v>-9.8632120909688689E-2</v>
      </c>
    </row>
    <row r="9774" spans="6:7" x14ac:dyDescent="0.35">
      <c r="F9774">
        <v>9769</v>
      </c>
      <c r="G9774" s="102">
        <f t="shared" ca="1" si="156"/>
        <v>-1.5604219512783939E-3</v>
      </c>
    </row>
    <row r="9775" spans="6:7" x14ac:dyDescent="0.35">
      <c r="F9775">
        <v>9770</v>
      </c>
      <c r="G9775" s="102">
        <f t="shared" ca="1" si="156"/>
        <v>-7.8666359161859059E-2</v>
      </c>
    </row>
    <row r="9776" spans="6:7" x14ac:dyDescent="0.35">
      <c r="F9776">
        <v>9771</v>
      </c>
      <c r="G9776" s="102">
        <f t="shared" ca="1" si="156"/>
        <v>-0.10788746299844872</v>
      </c>
    </row>
    <row r="9777" spans="6:7" x14ac:dyDescent="0.35">
      <c r="F9777">
        <v>9772</v>
      </c>
      <c r="G9777" s="102">
        <f t="shared" ca="1" si="156"/>
        <v>3.3587992955225882E-2</v>
      </c>
    </row>
    <row r="9778" spans="6:7" x14ac:dyDescent="0.35">
      <c r="F9778">
        <v>9773</v>
      </c>
      <c r="G9778" s="102">
        <f t="shared" ca="1" si="156"/>
        <v>1.3196448379305604E-2</v>
      </c>
    </row>
    <row r="9779" spans="6:7" x14ac:dyDescent="0.35">
      <c r="F9779">
        <v>9774</v>
      </c>
      <c r="G9779" s="102">
        <f t="shared" ca="1" si="156"/>
        <v>0.11757818651725242</v>
      </c>
    </row>
    <row r="9780" spans="6:7" x14ac:dyDescent="0.35">
      <c r="F9780">
        <v>9775</v>
      </c>
      <c r="G9780" s="102">
        <f t="shared" ca="1" si="156"/>
        <v>-3.7953643504021486E-2</v>
      </c>
    </row>
    <row r="9781" spans="6:7" x14ac:dyDescent="0.35">
      <c r="F9781">
        <v>9776</v>
      </c>
      <c r="G9781" s="102">
        <f t="shared" ca="1" si="156"/>
        <v>-2.209860647445203E-2</v>
      </c>
    </row>
    <row r="9782" spans="6:7" x14ac:dyDescent="0.35">
      <c r="F9782">
        <v>9777</v>
      </c>
      <c r="G9782" s="102">
        <f t="shared" ca="1" si="156"/>
        <v>-6.8241494755628393E-2</v>
      </c>
    </row>
    <row r="9783" spans="6:7" x14ac:dyDescent="0.35">
      <c r="F9783">
        <v>9778</v>
      </c>
      <c r="G9783" s="102">
        <f t="shared" ca="1" si="156"/>
        <v>3.5503810291754243E-2</v>
      </c>
    </row>
    <row r="9784" spans="6:7" x14ac:dyDescent="0.35">
      <c r="F9784">
        <v>9779</v>
      </c>
      <c r="G9784" s="102">
        <f t="shared" ca="1" si="156"/>
        <v>-1.7740223682611217E-2</v>
      </c>
    </row>
    <row r="9785" spans="6:7" x14ac:dyDescent="0.35">
      <c r="F9785">
        <v>9780</v>
      </c>
      <c r="G9785" s="102">
        <f t="shared" ca="1" si="156"/>
        <v>-3.9002770757973593E-2</v>
      </c>
    </row>
    <row r="9786" spans="6:7" x14ac:dyDescent="0.35">
      <c r="F9786">
        <v>9781</v>
      </c>
      <c r="G9786" s="102">
        <f t="shared" ca="1" si="156"/>
        <v>2.8524392721219888E-2</v>
      </c>
    </row>
    <row r="9787" spans="6:7" x14ac:dyDescent="0.35">
      <c r="F9787">
        <v>9782</v>
      </c>
      <c r="G9787" s="102">
        <f t="shared" ca="1" si="156"/>
        <v>-2.0833196249373669E-2</v>
      </c>
    </row>
    <row r="9788" spans="6:7" x14ac:dyDescent="0.35">
      <c r="F9788">
        <v>9783</v>
      </c>
      <c r="G9788" s="102">
        <f t="shared" ca="1" si="156"/>
        <v>4.611700485143666E-2</v>
      </c>
    </row>
    <row r="9789" spans="6:7" x14ac:dyDescent="0.35">
      <c r="F9789">
        <v>9784</v>
      </c>
      <c r="G9789" s="102">
        <f t="shared" ca="1" si="156"/>
        <v>-0.11430969370381293</v>
      </c>
    </row>
    <row r="9790" spans="6:7" x14ac:dyDescent="0.35">
      <c r="F9790">
        <v>9785</v>
      </c>
      <c r="G9790" s="102">
        <f t="shared" ca="1" si="156"/>
        <v>1.6604995935182026E-2</v>
      </c>
    </row>
    <row r="9791" spans="6:7" x14ac:dyDescent="0.35">
      <c r="F9791">
        <v>9786</v>
      </c>
      <c r="G9791" s="102">
        <f t="shared" ca="1" si="156"/>
        <v>-0.12168055303361903</v>
      </c>
    </row>
    <row r="9792" spans="6:7" x14ac:dyDescent="0.35">
      <c r="F9792">
        <v>9787</v>
      </c>
      <c r="G9792" s="102">
        <f t="shared" ca="1" si="156"/>
        <v>-0.12806113367916472</v>
      </c>
    </row>
    <row r="9793" spans="6:7" x14ac:dyDescent="0.35">
      <c r="F9793">
        <v>9788</v>
      </c>
      <c r="G9793" s="102">
        <f t="shared" ca="1" si="156"/>
        <v>-4.6987794697787452E-2</v>
      </c>
    </row>
    <row r="9794" spans="6:7" x14ac:dyDescent="0.35">
      <c r="F9794">
        <v>9789</v>
      </c>
      <c r="G9794" s="102">
        <f t="shared" ca="1" si="156"/>
        <v>-1.2848383103768759E-2</v>
      </c>
    </row>
    <row r="9795" spans="6:7" x14ac:dyDescent="0.35">
      <c r="F9795">
        <v>9790</v>
      </c>
      <c r="G9795" s="102">
        <f t="shared" ca="1" si="156"/>
        <v>7.0340004674481604E-3</v>
      </c>
    </row>
    <row r="9796" spans="6:7" x14ac:dyDescent="0.35">
      <c r="F9796">
        <v>9791</v>
      </c>
      <c r="G9796" s="102">
        <f t="shared" ca="1" si="156"/>
        <v>5.3524102268696305E-2</v>
      </c>
    </row>
    <row r="9797" spans="6:7" x14ac:dyDescent="0.35">
      <c r="F9797">
        <v>9792</v>
      </c>
      <c r="G9797" s="102">
        <f t="shared" ca="1" si="156"/>
        <v>-2.2008541280182568E-2</v>
      </c>
    </row>
    <row r="9798" spans="6:7" x14ac:dyDescent="0.35">
      <c r="F9798">
        <v>9793</v>
      </c>
      <c r="G9798" s="102">
        <f t="shared" ca="1" si="156"/>
        <v>-7.2628046049592341E-3</v>
      </c>
    </row>
    <row r="9799" spans="6:7" x14ac:dyDescent="0.35">
      <c r="F9799">
        <v>9794</v>
      </c>
      <c r="G9799" s="102">
        <f t="shared" ref="G9799:G9862" ca="1" si="157">_xlfn.NORM.INV(RAND(),M$9,M$10)</f>
        <v>8.4988036236683717E-2</v>
      </c>
    </row>
    <row r="9800" spans="6:7" x14ac:dyDescent="0.35">
      <c r="F9800">
        <v>9795</v>
      </c>
      <c r="G9800" s="102">
        <f t="shared" ca="1" si="157"/>
        <v>1.8546717075457995E-2</v>
      </c>
    </row>
    <row r="9801" spans="6:7" x14ac:dyDescent="0.35">
      <c r="F9801">
        <v>9796</v>
      </c>
      <c r="G9801" s="102">
        <f t="shared" ca="1" si="157"/>
        <v>1.3141736756673215E-2</v>
      </c>
    </row>
    <row r="9802" spans="6:7" x14ac:dyDescent="0.35">
      <c r="F9802">
        <v>9797</v>
      </c>
      <c r="G9802" s="102">
        <f t="shared" ca="1" si="157"/>
        <v>2.6685580643013022E-2</v>
      </c>
    </row>
    <row r="9803" spans="6:7" x14ac:dyDescent="0.35">
      <c r="F9803">
        <v>9798</v>
      </c>
      <c r="G9803" s="102">
        <f t="shared" ca="1" si="157"/>
        <v>-1.667572416543199E-2</v>
      </c>
    </row>
    <row r="9804" spans="6:7" x14ac:dyDescent="0.35">
      <c r="F9804">
        <v>9799</v>
      </c>
      <c r="G9804" s="102">
        <f t="shared" ca="1" si="157"/>
        <v>9.2068207477863692E-2</v>
      </c>
    </row>
    <row r="9805" spans="6:7" x14ac:dyDescent="0.35">
      <c r="F9805">
        <v>9800</v>
      </c>
      <c r="G9805" s="102">
        <f t="shared" ca="1" si="157"/>
        <v>-2.7338136907117321E-2</v>
      </c>
    </row>
    <row r="9806" spans="6:7" x14ac:dyDescent="0.35">
      <c r="F9806">
        <v>9801</v>
      </c>
      <c r="G9806" s="102">
        <f t="shared" ca="1" si="157"/>
        <v>0.14419860780451141</v>
      </c>
    </row>
    <row r="9807" spans="6:7" x14ac:dyDescent="0.35">
      <c r="F9807">
        <v>9802</v>
      </c>
      <c r="G9807" s="102">
        <f t="shared" ca="1" si="157"/>
        <v>0.12202228903469144</v>
      </c>
    </row>
    <row r="9808" spans="6:7" x14ac:dyDescent="0.35">
      <c r="F9808">
        <v>9803</v>
      </c>
      <c r="G9808" s="102">
        <f t="shared" ca="1" si="157"/>
        <v>-6.6029388770234565E-3</v>
      </c>
    </row>
    <row r="9809" spans="6:7" x14ac:dyDescent="0.35">
      <c r="F9809">
        <v>9804</v>
      </c>
      <c r="G9809" s="102">
        <f t="shared" ca="1" si="157"/>
        <v>2.8894924934100199E-2</v>
      </c>
    </row>
    <row r="9810" spans="6:7" x14ac:dyDescent="0.35">
      <c r="F9810">
        <v>9805</v>
      </c>
      <c r="G9810" s="102">
        <f t="shared" ca="1" si="157"/>
        <v>4.7335633828287857E-3</v>
      </c>
    </row>
    <row r="9811" spans="6:7" x14ac:dyDescent="0.35">
      <c r="F9811">
        <v>9806</v>
      </c>
      <c r="G9811" s="102">
        <f t="shared" ca="1" si="157"/>
        <v>-4.6518493756048204E-2</v>
      </c>
    </row>
    <row r="9812" spans="6:7" x14ac:dyDescent="0.35">
      <c r="F9812">
        <v>9807</v>
      </c>
      <c r="G9812" s="102">
        <f t="shared" ca="1" si="157"/>
        <v>-9.9723152903207088E-2</v>
      </c>
    </row>
    <row r="9813" spans="6:7" x14ac:dyDescent="0.35">
      <c r="F9813">
        <v>9808</v>
      </c>
      <c r="G9813" s="102">
        <f t="shared" ca="1" si="157"/>
        <v>-8.2424864484306904E-3</v>
      </c>
    </row>
    <row r="9814" spans="6:7" x14ac:dyDescent="0.35">
      <c r="F9814">
        <v>9809</v>
      </c>
      <c r="G9814" s="102">
        <f t="shared" ca="1" si="157"/>
        <v>7.7177141731044036E-2</v>
      </c>
    </row>
    <row r="9815" spans="6:7" x14ac:dyDescent="0.35">
      <c r="F9815">
        <v>9810</v>
      </c>
      <c r="G9815" s="102">
        <f t="shared" ca="1" si="157"/>
        <v>-2.4116572210442371E-2</v>
      </c>
    </row>
    <row r="9816" spans="6:7" x14ac:dyDescent="0.35">
      <c r="F9816">
        <v>9811</v>
      </c>
      <c r="G9816" s="102">
        <f t="shared" ca="1" si="157"/>
        <v>3.8947467724031334E-2</v>
      </c>
    </row>
    <row r="9817" spans="6:7" x14ac:dyDescent="0.35">
      <c r="F9817">
        <v>9812</v>
      </c>
      <c r="G9817" s="102">
        <f t="shared" ca="1" si="157"/>
        <v>7.8415270782510954E-2</v>
      </c>
    </row>
    <row r="9818" spans="6:7" x14ac:dyDescent="0.35">
      <c r="F9818">
        <v>9813</v>
      </c>
      <c r="G9818" s="102">
        <f t="shared" ca="1" si="157"/>
        <v>-3.9230447565691315E-2</v>
      </c>
    </row>
    <row r="9819" spans="6:7" x14ac:dyDescent="0.35">
      <c r="F9819">
        <v>9814</v>
      </c>
      <c r="G9819" s="102">
        <f t="shared" ca="1" si="157"/>
        <v>-9.3437366166601768E-2</v>
      </c>
    </row>
    <row r="9820" spans="6:7" x14ac:dyDescent="0.35">
      <c r="F9820">
        <v>9815</v>
      </c>
      <c r="G9820" s="102">
        <f t="shared" ca="1" si="157"/>
        <v>2.6463750356314108E-2</v>
      </c>
    </row>
    <row r="9821" spans="6:7" x14ac:dyDescent="0.35">
      <c r="F9821">
        <v>9816</v>
      </c>
      <c r="G9821" s="102">
        <f t="shared" ca="1" si="157"/>
        <v>-0.22293935900628628</v>
      </c>
    </row>
    <row r="9822" spans="6:7" x14ac:dyDescent="0.35">
      <c r="F9822">
        <v>9817</v>
      </c>
      <c r="G9822" s="102">
        <f t="shared" ca="1" si="157"/>
        <v>-5.3338360480876422E-3</v>
      </c>
    </row>
    <row r="9823" spans="6:7" x14ac:dyDescent="0.35">
      <c r="F9823">
        <v>9818</v>
      </c>
      <c r="G9823" s="102">
        <f t="shared" ca="1" si="157"/>
        <v>4.3195523218148207E-2</v>
      </c>
    </row>
    <row r="9824" spans="6:7" x14ac:dyDescent="0.35">
      <c r="F9824">
        <v>9819</v>
      </c>
      <c r="G9824" s="102">
        <f t="shared" ca="1" si="157"/>
        <v>-1.3744589466229992E-2</v>
      </c>
    </row>
    <row r="9825" spans="6:7" x14ac:dyDescent="0.35">
      <c r="F9825">
        <v>9820</v>
      </c>
      <c r="G9825" s="102">
        <f t="shared" ca="1" si="157"/>
        <v>5.6436593829276346E-3</v>
      </c>
    </row>
    <row r="9826" spans="6:7" x14ac:dyDescent="0.35">
      <c r="F9826">
        <v>9821</v>
      </c>
      <c r="G9826" s="102">
        <f t="shared" ca="1" si="157"/>
        <v>5.614489687031779E-3</v>
      </c>
    </row>
    <row r="9827" spans="6:7" x14ac:dyDescent="0.35">
      <c r="F9827">
        <v>9822</v>
      </c>
      <c r="G9827" s="102">
        <f t="shared" ca="1" si="157"/>
        <v>-1.3640659549154709E-2</v>
      </c>
    </row>
    <row r="9828" spans="6:7" x14ac:dyDescent="0.35">
      <c r="F9828">
        <v>9823</v>
      </c>
      <c r="G9828" s="102">
        <f t="shared" ca="1" si="157"/>
        <v>3.6724901249508751E-2</v>
      </c>
    </row>
    <row r="9829" spans="6:7" x14ac:dyDescent="0.35">
      <c r="F9829">
        <v>9824</v>
      </c>
      <c r="G9829" s="102">
        <f t="shared" ca="1" si="157"/>
        <v>2.9707214249640592E-2</v>
      </c>
    </row>
    <row r="9830" spans="6:7" x14ac:dyDescent="0.35">
      <c r="F9830">
        <v>9825</v>
      </c>
      <c r="G9830" s="102">
        <f t="shared" ca="1" si="157"/>
        <v>-1.8588093172060869E-2</v>
      </c>
    </row>
    <row r="9831" spans="6:7" x14ac:dyDescent="0.35">
      <c r="F9831">
        <v>9826</v>
      </c>
      <c r="G9831" s="102">
        <f t="shared" ca="1" si="157"/>
        <v>-4.0301244180686356E-3</v>
      </c>
    </row>
    <row r="9832" spans="6:7" x14ac:dyDescent="0.35">
      <c r="F9832">
        <v>9827</v>
      </c>
      <c r="G9832" s="102">
        <f t="shared" ca="1" si="157"/>
        <v>9.9021260000421094E-2</v>
      </c>
    </row>
    <row r="9833" spans="6:7" x14ac:dyDescent="0.35">
      <c r="F9833">
        <v>9828</v>
      </c>
      <c r="G9833" s="102">
        <f t="shared" ca="1" si="157"/>
        <v>6.4177080247744267E-2</v>
      </c>
    </row>
    <row r="9834" spans="6:7" x14ac:dyDescent="0.35">
      <c r="F9834">
        <v>9829</v>
      </c>
      <c r="G9834" s="102">
        <f t="shared" ca="1" si="157"/>
        <v>-5.8053161741474957E-2</v>
      </c>
    </row>
    <row r="9835" spans="6:7" x14ac:dyDescent="0.35">
      <c r="F9835">
        <v>9830</v>
      </c>
      <c r="G9835" s="102">
        <f t="shared" ca="1" si="157"/>
        <v>-1.771806576095105E-2</v>
      </c>
    </row>
    <row r="9836" spans="6:7" x14ac:dyDescent="0.35">
      <c r="F9836">
        <v>9831</v>
      </c>
      <c r="G9836" s="102">
        <f t="shared" ca="1" si="157"/>
        <v>2.9693297636667063E-2</v>
      </c>
    </row>
    <row r="9837" spans="6:7" x14ac:dyDescent="0.35">
      <c r="F9837">
        <v>9832</v>
      </c>
      <c r="G9837" s="102">
        <f t="shared" ca="1" si="157"/>
        <v>-3.6908296279421719E-3</v>
      </c>
    </row>
    <row r="9838" spans="6:7" x14ac:dyDescent="0.35">
      <c r="F9838">
        <v>9833</v>
      </c>
      <c r="G9838" s="102">
        <f t="shared" ca="1" si="157"/>
        <v>-8.3815272050343045E-2</v>
      </c>
    </row>
    <row r="9839" spans="6:7" x14ac:dyDescent="0.35">
      <c r="F9839">
        <v>9834</v>
      </c>
      <c r="G9839" s="102">
        <f t="shared" ca="1" si="157"/>
        <v>7.9307597314656586E-2</v>
      </c>
    </row>
    <row r="9840" spans="6:7" x14ac:dyDescent="0.35">
      <c r="F9840">
        <v>9835</v>
      </c>
      <c r="G9840" s="102">
        <f t="shared" ca="1" si="157"/>
        <v>-4.1152107925527648E-2</v>
      </c>
    </row>
    <row r="9841" spans="6:7" x14ac:dyDescent="0.35">
      <c r="F9841">
        <v>9836</v>
      </c>
      <c r="G9841" s="102">
        <f t="shared" ca="1" si="157"/>
        <v>-1.3096062268999401E-2</v>
      </c>
    </row>
    <row r="9842" spans="6:7" x14ac:dyDescent="0.35">
      <c r="F9842">
        <v>9837</v>
      </c>
      <c r="G9842" s="102">
        <f t="shared" ca="1" si="157"/>
        <v>5.9936043273920742E-2</v>
      </c>
    </row>
    <row r="9843" spans="6:7" x14ac:dyDescent="0.35">
      <c r="F9843">
        <v>9838</v>
      </c>
      <c r="G9843" s="102">
        <f t="shared" ca="1" si="157"/>
        <v>3.9782214115625936E-4</v>
      </c>
    </row>
    <row r="9844" spans="6:7" x14ac:dyDescent="0.35">
      <c r="F9844">
        <v>9839</v>
      </c>
      <c r="G9844" s="102">
        <f t="shared" ca="1" si="157"/>
        <v>1.0851037210497544E-2</v>
      </c>
    </row>
    <row r="9845" spans="6:7" x14ac:dyDescent="0.35">
      <c r="F9845">
        <v>9840</v>
      </c>
      <c r="G9845" s="102">
        <f t="shared" ca="1" si="157"/>
        <v>4.4039905342028923E-2</v>
      </c>
    </row>
    <row r="9846" spans="6:7" x14ac:dyDescent="0.35">
      <c r="F9846">
        <v>9841</v>
      </c>
      <c r="G9846" s="102">
        <f t="shared" ca="1" si="157"/>
        <v>-3.8147209446102184E-2</v>
      </c>
    </row>
    <row r="9847" spans="6:7" x14ac:dyDescent="0.35">
      <c r="F9847">
        <v>9842</v>
      </c>
      <c r="G9847" s="102">
        <f t="shared" ca="1" si="157"/>
        <v>-5.811668544691645E-2</v>
      </c>
    </row>
    <row r="9848" spans="6:7" x14ac:dyDescent="0.35">
      <c r="F9848">
        <v>9843</v>
      </c>
      <c r="G9848" s="102">
        <f t="shared" ca="1" si="157"/>
        <v>6.5451480833483733E-2</v>
      </c>
    </row>
    <row r="9849" spans="6:7" x14ac:dyDescent="0.35">
      <c r="F9849">
        <v>9844</v>
      </c>
      <c r="G9849" s="102">
        <f t="shared" ca="1" si="157"/>
        <v>-7.814278100546701E-2</v>
      </c>
    </row>
    <row r="9850" spans="6:7" x14ac:dyDescent="0.35">
      <c r="F9850">
        <v>9845</v>
      </c>
      <c r="G9850" s="102">
        <f t="shared" ca="1" si="157"/>
        <v>-7.7025252321128237E-3</v>
      </c>
    </row>
    <row r="9851" spans="6:7" x14ac:dyDescent="0.35">
      <c r="F9851">
        <v>9846</v>
      </c>
      <c r="G9851" s="102">
        <f t="shared" ca="1" si="157"/>
        <v>-4.9765084802460474E-2</v>
      </c>
    </row>
    <row r="9852" spans="6:7" x14ac:dyDescent="0.35">
      <c r="F9852">
        <v>9847</v>
      </c>
      <c r="G9852" s="102">
        <f t="shared" ca="1" si="157"/>
        <v>-6.5887844071526577E-2</v>
      </c>
    </row>
    <row r="9853" spans="6:7" x14ac:dyDescent="0.35">
      <c r="F9853">
        <v>9848</v>
      </c>
      <c r="G9853" s="102">
        <f t="shared" ca="1" si="157"/>
        <v>1.2309636587977516E-2</v>
      </c>
    </row>
    <row r="9854" spans="6:7" x14ac:dyDescent="0.35">
      <c r="F9854">
        <v>9849</v>
      </c>
      <c r="G9854" s="102">
        <f t="shared" ca="1" si="157"/>
        <v>-1.0929466368616407E-3</v>
      </c>
    </row>
    <row r="9855" spans="6:7" x14ac:dyDescent="0.35">
      <c r="F9855">
        <v>9850</v>
      </c>
      <c r="G9855" s="102">
        <f t="shared" ca="1" si="157"/>
        <v>3.2566214662034632E-2</v>
      </c>
    </row>
    <row r="9856" spans="6:7" x14ac:dyDescent="0.35">
      <c r="F9856">
        <v>9851</v>
      </c>
      <c r="G9856" s="102">
        <f t="shared" ca="1" si="157"/>
        <v>5.3253287337340742E-3</v>
      </c>
    </row>
    <row r="9857" spans="6:7" x14ac:dyDescent="0.35">
      <c r="F9857">
        <v>9852</v>
      </c>
      <c r="G9857" s="102">
        <f t="shared" ca="1" si="157"/>
        <v>9.3196892485885988E-2</v>
      </c>
    </row>
    <row r="9858" spans="6:7" x14ac:dyDescent="0.35">
      <c r="F9858">
        <v>9853</v>
      </c>
      <c r="G9858" s="102">
        <f t="shared" ca="1" si="157"/>
        <v>-4.3394985491050517E-2</v>
      </c>
    </row>
    <row r="9859" spans="6:7" x14ac:dyDescent="0.35">
      <c r="F9859">
        <v>9854</v>
      </c>
      <c r="G9859" s="102">
        <f t="shared" ca="1" si="157"/>
        <v>-9.3434319241210498E-2</v>
      </c>
    </row>
    <row r="9860" spans="6:7" x14ac:dyDescent="0.35">
      <c r="F9860">
        <v>9855</v>
      </c>
      <c r="G9860" s="102">
        <f t="shared" ca="1" si="157"/>
        <v>7.0794453743132632E-2</v>
      </c>
    </row>
    <row r="9861" spans="6:7" x14ac:dyDescent="0.35">
      <c r="F9861">
        <v>9856</v>
      </c>
      <c r="G9861" s="102">
        <f t="shared" ca="1" si="157"/>
        <v>-3.3694666658193158E-2</v>
      </c>
    </row>
    <row r="9862" spans="6:7" x14ac:dyDescent="0.35">
      <c r="F9862">
        <v>9857</v>
      </c>
      <c r="G9862" s="102">
        <f t="shared" ca="1" si="157"/>
        <v>-1.0333969218138216E-2</v>
      </c>
    </row>
    <row r="9863" spans="6:7" x14ac:dyDescent="0.35">
      <c r="F9863">
        <v>9858</v>
      </c>
      <c r="G9863" s="102">
        <f t="shared" ref="G9863:G9926" ca="1" si="158">_xlfn.NORM.INV(RAND(),M$9,M$10)</f>
        <v>-7.6231340528908125E-3</v>
      </c>
    </row>
    <row r="9864" spans="6:7" x14ac:dyDescent="0.35">
      <c r="F9864">
        <v>9859</v>
      </c>
      <c r="G9864" s="102">
        <f t="shared" ca="1" si="158"/>
        <v>-4.2723344041822615E-4</v>
      </c>
    </row>
    <row r="9865" spans="6:7" x14ac:dyDescent="0.35">
      <c r="F9865">
        <v>9860</v>
      </c>
      <c r="G9865" s="102">
        <f t="shared" ca="1" si="158"/>
        <v>-2.657379578706583E-2</v>
      </c>
    </row>
    <row r="9866" spans="6:7" x14ac:dyDescent="0.35">
      <c r="F9866">
        <v>9861</v>
      </c>
      <c r="G9866" s="102">
        <f t="shared" ca="1" si="158"/>
        <v>-7.127213105965971E-2</v>
      </c>
    </row>
    <row r="9867" spans="6:7" x14ac:dyDescent="0.35">
      <c r="F9867">
        <v>9862</v>
      </c>
      <c r="G9867" s="102">
        <f t="shared" ca="1" si="158"/>
        <v>-1.4227170869075162E-2</v>
      </c>
    </row>
    <row r="9868" spans="6:7" x14ac:dyDescent="0.35">
      <c r="F9868">
        <v>9863</v>
      </c>
      <c r="G9868" s="102">
        <f t="shared" ca="1" si="158"/>
        <v>-1.2861470066949817E-2</v>
      </c>
    </row>
    <row r="9869" spans="6:7" x14ac:dyDescent="0.35">
      <c r="F9869">
        <v>9864</v>
      </c>
      <c r="G9869" s="102">
        <f t="shared" ca="1" si="158"/>
        <v>8.8577502720333462E-2</v>
      </c>
    </row>
    <row r="9870" spans="6:7" x14ac:dyDescent="0.35">
      <c r="F9870">
        <v>9865</v>
      </c>
      <c r="G9870" s="102">
        <f t="shared" ca="1" si="158"/>
        <v>-5.098386476890307E-2</v>
      </c>
    </row>
    <row r="9871" spans="6:7" x14ac:dyDescent="0.35">
      <c r="F9871">
        <v>9866</v>
      </c>
      <c r="G9871" s="102">
        <f t="shared" ca="1" si="158"/>
        <v>2.0148961710957248E-2</v>
      </c>
    </row>
    <row r="9872" spans="6:7" x14ac:dyDescent="0.35">
      <c r="F9872">
        <v>9867</v>
      </c>
      <c r="G9872" s="102">
        <f t="shared" ca="1" si="158"/>
        <v>7.6789862039616796E-2</v>
      </c>
    </row>
    <row r="9873" spans="6:7" x14ac:dyDescent="0.35">
      <c r="F9873">
        <v>9868</v>
      </c>
      <c r="G9873" s="102">
        <f t="shared" ca="1" si="158"/>
        <v>-4.9225203361983383E-2</v>
      </c>
    </row>
    <row r="9874" spans="6:7" x14ac:dyDescent="0.35">
      <c r="F9874">
        <v>9869</v>
      </c>
      <c r="G9874" s="102">
        <f t="shared" ca="1" si="158"/>
        <v>-8.3503800629907268E-2</v>
      </c>
    </row>
    <row r="9875" spans="6:7" x14ac:dyDescent="0.35">
      <c r="F9875">
        <v>9870</v>
      </c>
      <c r="G9875" s="102">
        <f t="shared" ca="1" si="158"/>
        <v>2.7390649215901997E-2</v>
      </c>
    </row>
    <row r="9876" spans="6:7" x14ac:dyDescent="0.35">
      <c r="F9876">
        <v>9871</v>
      </c>
      <c r="G9876" s="102">
        <f t="shared" ca="1" si="158"/>
        <v>-4.7787221692843204E-2</v>
      </c>
    </row>
    <row r="9877" spans="6:7" x14ac:dyDescent="0.35">
      <c r="F9877">
        <v>9872</v>
      </c>
      <c r="G9877" s="102">
        <f t="shared" ca="1" si="158"/>
        <v>-2.6712695279681183E-2</v>
      </c>
    </row>
    <row r="9878" spans="6:7" x14ac:dyDescent="0.35">
      <c r="F9878">
        <v>9873</v>
      </c>
      <c r="G9878" s="102">
        <f t="shared" ca="1" si="158"/>
        <v>-7.1533449195640766E-4</v>
      </c>
    </row>
    <row r="9879" spans="6:7" x14ac:dyDescent="0.35">
      <c r="F9879">
        <v>9874</v>
      </c>
      <c r="G9879" s="102">
        <f t="shared" ca="1" si="158"/>
        <v>0.15549290258602957</v>
      </c>
    </row>
    <row r="9880" spans="6:7" x14ac:dyDescent="0.35">
      <c r="F9880">
        <v>9875</v>
      </c>
      <c r="G9880" s="102">
        <f t="shared" ca="1" si="158"/>
        <v>-2.4197305493668036E-2</v>
      </c>
    </row>
    <row r="9881" spans="6:7" x14ac:dyDescent="0.35">
      <c r="F9881">
        <v>9876</v>
      </c>
      <c r="G9881" s="102">
        <f t="shared" ca="1" si="158"/>
        <v>4.4199459226460704E-3</v>
      </c>
    </row>
    <row r="9882" spans="6:7" x14ac:dyDescent="0.35">
      <c r="F9882">
        <v>9877</v>
      </c>
      <c r="G9882" s="102">
        <f t="shared" ca="1" si="158"/>
        <v>-2.1959116071458604E-2</v>
      </c>
    </row>
    <row r="9883" spans="6:7" x14ac:dyDescent="0.35">
      <c r="F9883">
        <v>9878</v>
      </c>
      <c r="G9883" s="102">
        <f t="shared" ca="1" si="158"/>
        <v>2.894732033348878E-3</v>
      </c>
    </row>
    <row r="9884" spans="6:7" x14ac:dyDescent="0.35">
      <c r="F9884">
        <v>9879</v>
      </c>
      <c r="G9884" s="102">
        <f t="shared" ca="1" si="158"/>
        <v>-4.7093336899351648E-2</v>
      </c>
    </row>
    <row r="9885" spans="6:7" x14ac:dyDescent="0.35">
      <c r="F9885">
        <v>9880</v>
      </c>
      <c r="G9885" s="102">
        <f t="shared" ca="1" si="158"/>
        <v>-1.771771847949551E-4</v>
      </c>
    </row>
    <row r="9886" spans="6:7" x14ac:dyDescent="0.35">
      <c r="F9886">
        <v>9881</v>
      </c>
      <c r="G9886" s="102">
        <f t="shared" ca="1" si="158"/>
        <v>2.7759243006923399E-2</v>
      </c>
    </row>
    <row r="9887" spans="6:7" x14ac:dyDescent="0.35">
      <c r="F9887">
        <v>9882</v>
      </c>
      <c r="G9887" s="102">
        <f t="shared" ca="1" si="158"/>
        <v>4.0680234241075044E-2</v>
      </c>
    </row>
    <row r="9888" spans="6:7" x14ac:dyDescent="0.35">
      <c r="F9888">
        <v>9883</v>
      </c>
      <c r="G9888" s="102">
        <f t="shared" ca="1" si="158"/>
        <v>4.6427155392758074E-2</v>
      </c>
    </row>
    <row r="9889" spans="6:7" x14ac:dyDescent="0.35">
      <c r="F9889">
        <v>9884</v>
      </c>
      <c r="G9889" s="102">
        <f t="shared" ca="1" si="158"/>
        <v>3.1942654273811218E-3</v>
      </c>
    </row>
    <row r="9890" spans="6:7" x14ac:dyDescent="0.35">
      <c r="F9890">
        <v>9885</v>
      </c>
      <c r="G9890" s="102">
        <f t="shared" ca="1" si="158"/>
        <v>7.8192571257722325E-3</v>
      </c>
    </row>
    <row r="9891" spans="6:7" x14ac:dyDescent="0.35">
      <c r="F9891">
        <v>9886</v>
      </c>
      <c r="G9891" s="102">
        <f t="shared" ca="1" si="158"/>
        <v>-2.2629370709808361E-2</v>
      </c>
    </row>
    <row r="9892" spans="6:7" x14ac:dyDescent="0.35">
      <c r="F9892">
        <v>9887</v>
      </c>
      <c r="G9892" s="102">
        <f t="shared" ca="1" si="158"/>
        <v>-5.0715725130363404E-2</v>
      </c>
    </row>
    <row r="9893" spans="6:7" x14ac:dyDescent="0.35">
      <c r="F9893">
        <v>9888</v>
      </c>
      <c r="G9893" s="102">
        <f t="shared" ca="1" si="158"/>
        <v>6.7783120882534575E-2</v>
      </c>
    </row>
    <row r="9894" spans="6:7" x14ac:dyDescent="0.35">
      <c r="F9894">
        <v>9889</v>
      </c>
      <c r="G9894" s="102">
        <f t="shared" ca="1" si="158"/>
        <v>-4.0050799191649319E-2</v>
      </c>
    </row>
    <row r="9895" spans="6:7" x14ac:dyDescent="0.35">
      <c r="F9895">
        <v>9890</v>
      </c>
      <c r="G9895" s="102">
        <f t="shared" ca="1" si="158"/>
        <v>-5.1547398936092684E-2</v>
      </c>
    </row>
    <row r="9896" spans="6:7" x14ac:dyDescent="0.35">
      <c r="F9896">
        <v>9891</v>
      </c>
      <c r="G9896" s="102">
        <f t="shared" ca="1" si="158"/>
        <v>-5.2541469308179239E-2</v>
      </c>
    </row>
    <row r="9897" spans="6:7" x14ac:dyDescent="0.35">
      <c r="F9897">
        <v>9892</v>
      </c>
      <c r="G9897" s="102">
        <f t="shared" ca="1" si="158"/>
        <v>2.1767567494613033E-2</v>
      </c>
    </row>
    <row r="9898" spans="6:7" x14ac:dyDescent="0.35">
      <c r="F9898">
        <v>9893</v>
      </c>
      <c r="G9898" s="102">
        <f t="shared" ca="1" si="158"/>
        <v>-3.5716699620459383E-2</v>
      </c>
    </row>
    <row r="9899" spans="6:7" x14ac:dyDescent="0.35">
      <c r="F9899">
        <v>9894</v>
      </c>
      <c r="G9899" s="102">
        <f t="shared" ca="1" si="158"/>
        <v>-3.9968151225983933E-2</v>
      </c>
    </row>
    <row r="9900" spans="6:7" x14ac:dyDescent="0.35">
      <c r="F9900">
        <v>9895</v>
      </c>
      <c r="G9900" s="102">
        <f t="shared" ca="1" si="158"/>
        <v>9.5787458652062132E-2</v>
      </c>
    </row>
    <row r="9901" spans="6:7" x14ac:dyDescent="0.35">
      <c r="F9901">
        <v>9896</v>
      </c>
      <c r="G9901" s="102">
        <f t="shared" ca="1" si="158"/>
        <v>0.13159837666968513</v>
      </c>
    </row>
    <row r="9902" spans="6:7" x14ac:dyDescent="0.35">
      <c r="F9902">
        <v>9897</v>
      </c>
      <c r="G9902" s="102">
        <f t="shared" ca="1" si="158"/>
        <v>-0.13444286688095816</v>
      </c>
    </row>
    <row r="9903" spans="6:7" x14ac:dyDescent="0.35">
      <c r="F9903">
        <v>9898</v>
      </c>
      <c r="G9903" s="102">
        <f t="shared" ca="1" si="158"/>
        <v>-0.12089720163746601</v>
      </c>
    </row>
    <row r="9904" spans="6:7" x14ac:dyDescent="0.35">
      <c r="F9904">
        <v>9899</v>
      </c>
      <c r="G9904" s="102">
        <f t="shared" ca="1" si="158"/>
        <v>-1.1697032774373834E-2</v>
      </c>
    </row>
    <row r="9905" spans="6:7" x14ac:dyDescent="0.35">
      <c r="F9905">
        <v>9900</v>
      </c>
      <c r="G9905" s="102">
        <f t="shared" ca="1" si="158"/>
        <v>4.3251118851311929E-2</v>
      </c>
    </row>
    <row r="9906" spans="6:7" x14ac:dyDescent="0.35">
      <c r="F9906">
        <v>9901</v>
      </c>
      <c r="G9906" s="102">
        <f t="shared" ca="1" si="158"/>
        <v>6.1480676772539378E-2</v>
      </c>
    </row>
    <row r="9907" spans="6:7" x14ac:dyDescent="0.35">
      <c r="F9907">
        <v>9902</v>
      </c>
      <c r="G9907" s="102">
        <f t="shared" ca="1" si="158"/>
        <v>-2.55518843298815E-3</v>
      </c>
    </row>
    <row r="9908" spans="6:7" x14ac:dyDescent="0.35">
      <c r="F9908">
        <v>9903</v>
      </c>
      <c r="G9908" s="102">
        <f t="shared" ca="1" si="158"/>
        <v>-8.3921240554654955E-2</v>
      </c>
    </row>
    <row r="9909" spans="6:7" x14ac:dyDescent="0.35">
      <c r="F9909">
        <v>9904</v>
      </c>
      <c r="G9909" s="102">
        <f t="shared" ca="1" si="158"/>
        <v>-2.2872462300709911E-2</v>
      </c>
    </row>
    <row r="9910" spans="6:7" x14ac:dyDescent="0.35">
      <c r="F9910">
        <v>9905</v>
      </c>
      <c r="G9910" s="102">
        <f t="shared" ca="1" si="158"/>
        <v>1.9943819465108956E-3</v>
      </c>
    </row>
    <row r="9911" spans="6:7" x14ac:dyDescent="0.35">
      <c r="F9911">
        <v>9906</v>
      </c>
      <c r="G9911" s="102">
        <f t="shared" ca="1" si="158"/>
        <v>2.5912331048849348E-2</v>
      </c>
    </row>
    <row r="9912" spans="6:7" x14ac:dyDescent="0.35">
      <c r="F9912">
        <v>9907</v>
      </c>
      <c r="G9912" s="102">
        <f t="shared" ca="1" si="158"/>
        <v>-2.5068434425653988E-2</v>
      </c>
    </row>
    <row r="9913" spans="6:7" x14ac:dyDescent="0.35">
      <c r="F9913">
        <v>9908</v>
      </c>
      <c r="G9913" s="102">
        <f t="shared" ca="1" si="158"/>
        <v>2.0863296986110752E-2</v>
      </c>
    </row>
    <row r="9914" spans="6:7" x14ac:dyDescent="0.35">
      <c r="F9914">
        <v>9909</v>
      </c>
      <c r="G9914" s="102">
        <f t="shared" ca="1" si="158"/>
        <v>5.1543046250992652E-2</v>
      </c>
    </row>
    <row r="9915" spans="6:7" x14ac:dyDescent="0.35">
      <c r="F9915">
        <v>9910</v>
      </c>
      <c r="G9915" s="102">
        <f t="shared" ca="1" si="158"/>
        <v>5.0115735016297389E-2</v>
      </c>
    </row>
    <row r="9916" spans="6:7" x14ac:dyDescent="0.35">
      <c r="F9916">
        <v>9911</v>
      </c>
      <c r="G9916" s="102">
        <f t="shared" ca="1" si="158"/>
        <v>7.8401494106341951E-2</v>
      </c>
    </row>
    <row r="9917" spans="6:7" x14ac:dyDescent="0.35">
      <c r="F9917">
        <v>9912</v>
      </c>
      <c r="G9917" s="102">
        <f t="shared" ca="1" si="158"/>
        <v>2.3658812134040804E-2</v>
      </c>
    </row>
    <row r="9918" spans="6:7" x14ac:dyDescent="0.35">
      <c r="F9918">
        <v>9913</v>
      </c>
      <c r="G9918" s="102">
        <f t="shared" ca="1" si="158"/>
        <v>4.4835682528140366E-2</v>
      </c>
    </row>
    <row r="9919" spans="6:7" x14ac:dyDescent="0.35">
      <c r="F9919">
        <v>9914</v>
      </c>
      <c r="G9919" s="102">
        <f t="shared" ca="1" si="158"/>
        <v>-1.5746010176432054E-2</v>
      </c>
    </row>
    <row r="9920" spans="6:7" x14ac:dyDescent="0.35">
      <c r="F9920">
        <v>9915</v>
      </c>
      <c r="G9920" s="102">
        <f t="shared" ca="1" si="158"/>
        <v>-0.1091672613640627</v>
      </c>
    </row>
    <row r="9921" spans="6:7" x14ac:dyDescent="0.35">
      <c r="F9921">
        <v>9916</v>
      </c>
      <c r="G9921" s="102">
        <f t="shared" ca="1" si="158"/>
        <v>-4.1666076602536031E-2</v>
      </c>
    </row>
    <row r="9922" spans="6:7" x14ac:dyDescent="0.35">
      <c r="F9922">
        <v>9917</v>
      </c>
      <c r="G9922" s="102">
        <f t="shared" ca="1" si="158"/>
        <v>-9.4400258738412055E-2</v>
      </c>
    </row>
    <row r="9923" spans="6:7" x14ac:dyDescent="0.35">
      <c r="F9923">
        <v>9918</v>
      </c>
      <c r="G9923" s="102">
        <f t="shared" ca="1" si="158"/>
        <v>1.3067360962901096E-2</v>
      </c>
    </row>
    <row r="9924" spans="6:7" x14ac:dyDescent="0.35">
      <c r="F9924">
        <v>9919</v>
      </c>
      <c r="G9924" s="102">
        <f t="shared" ca="1" si="158"/>
        <v>9.080309632869274E-2</v>
      </c>
    </row>
    <row r="9925" spans="6:7" x14ac:dyDescent="0.35">
      <c r="F9925">
        <v>9920</v>
      </c>
      <c r="G9925" s="102">
        <f t="shared" ca="1" si="158"/>
        <v>-3.1167541735810225E-2</v>
      </c>
    </row>
    <row r="9926" spans="6:7" x14ac:dyDescent="0.35">
      <c r="F9926">
        <v>9921</v>
      </c>
      <c r="G9926" s="102">
        <f t="shared" ca="1" si="158"/>
        <v>5.639802939749898E-2</v>
      </c>
    </row>
    <row r="9927" spans="6:7" x14ac:dyDescent="0.35">
      <c r="F9927">
        <v>9922</v>
      </c>
      <c r="G9927" s="102">
        <f t="shared" ref="G9927:G9990" ca="1" si="159">_xlfn.NORM.INV(RAND(),M$9,M$10)</f>
        <v>-4.1560318656680112E-2</v>
      </c>
    </row>
    <row r="9928" spans="6:7" x14ac:dyDescent="0.35">
      <c r="F9928">
        <v>9923</v>
      </c>
      <c r="G9928" s="102">
        <f t="shared" ca="1" si="159"/>
        <v>5.1188242997514899E-2</v>
      </c>
    </row>
    <row r="9929" spans="6:7" x14ac:dyDescent="0.35">
      <c r="F9929">
        <v>9924</v>
      </c>
      <c r="G9929" s="102">
        <f t="shared" ca="1" si="159"/>
        <v>8.0330843859531195E-2</v>
      </c>
    </row>
    <row r="9930" spans="6:7" x14ac:dyDescent="0.35">
      <c r="F9930">
        <v>9925</v>
      </c>
      <c r="G9930" s="102">
        <f t="shared" ca="1" si="159"/>
        <v>3.2969110974445229E-2</v>
      </c>
    </row>
    <row r="9931" spans="6:7" x14ac:dyDescent="0.35">
      <c r="F9931">
        <v>9926</v>
      </c>
      <c r="G9931" s="102">
        <f t="shared" ca="1" si="159"/>
        <v>-0.10178350386630396</v>
      </c>
    </row>
    <row r="9932" spans="6:7" x14ac:dyDescent="0.35">
      <c r="F9932">
        <v>9927</v>
      </c>
      <c r="G9932" s="102">
        <f t="shared" ca="1" si="159"/>
        <v>3.0876554107260323E-2</v>
      </c>
    </row>
    <row r="9933" spans="6:7" x14ac:dyDescent="0.35">
      <c r="F9933">
        <v>9928</v>
      </c>
      <c r="G9933" s="102">
        <f t="shared" ca="1" si="159"/>
        <v>1.0074064818370561E-2</v>
      </c>
    </row>
    <row r="9934" spans="6:7" x14ac:dyDescent="0.35">
      <c r="F9934">
        <v>9929</v>
      </c>
      <c r="G9934" s="102">
        <f t="shared" ca="1" si="159"/>
        <v>4.3600897497970359E-2</v>
      </c>
    </row>
    <row r="9935" spans="6:7" x14ac:dyDescent="0.35">
      <c r="F9935">
        <v>9930</v>
      </c>
      <c r="G9935" s="102">
        <f t="shared" ca="1" si="159"/>
        <v>-9.6843683011191589E-2</v>
      </c>
    </row>
    <row r="9936" spans="6:7" x14ac:dyDescent="0.35">
      <c r="F9936">
        <v>9931</v>
      </c>
      <c r="G9936" s="102">
        <f t="shared" ca="1" si="159"/>
        <v>4.3332426445290936E-2</v>
      </c>
    </row>
    <row r="9937" spans="6:7" x14ac:dyDescent="0.35">
      <c r="F9937">
        <v>9932</v>
      </c>
      <c r="G9937" s="102">
        <f t="shared" ca="1" si="159"/>
        <v>-3.6765317705483275E-2</v>
      </c>
    </row>
    <row r="9938" spans="6:7" x14ac:dyDescent="0.35">
      <c r="F9938">
        <v>9933</v>
      </c>
      <c r="G9938" s="102">
        <f t="shared" ca="1" si="159"/>
        <v>0.16408887350687934</v>
      </c>
    </row>
    <row r="9939" spans="6:7" x14ac:dyDescent="0.35">
      <c r="F9939">
        <v>9934</v>
      </c>
      <c r="G9939" s="102">
        <f t="shared" ca="1" si="159"/>
        <v>8.0817212217013198E-2</v>
      </c>
    </row>
    <row r="9940" spans="6:7" x14ac:dyDescent="0.35">
      <c r="F9940">
        <v>9935</v>
      </c>
      <c r="G9940" s="102">
        <f t="shared" ca="1" si="159"/>
        <v>-1.0284181577999678E-2</v>
      </c>
    </row>
    <row r="9941" spans="6:7" x14ac:dyDescent="0.35">
      <c r="F9941">
        <v>9936</v>
      </c>
      <c r="G9941" s="102">
        <f t="shared" ca="1" si="159"/>
        <v>-9.3766974791946497E-2</v>
      </c>
    </row>
    <row r="9942" spans="6:7" x14ac:dyDescent="0.35">
      <c r="F9942">
        <v>9937</v>
      </c>
      <c r="G9942" s="102">
        <f t="shared" ca="1" si="159"/>
        <v>6.4359510185738364E-2</v>
      </c>
    </row>
    <row r="9943" spans="6:7" x14ac:dyDescent="0.35">
      <c r="F9943">
        <v>9938</v>
      </c>
      <c r="G9943" s="102">
        <f t="shared" ca="1" si="159"/>
        <v>1.69612929203505E-3</v>
      </c>
    </row>
    <row r="9944" spans="6:7" x14ac:dyDescent="0.35">
      <c r="F9944">
        <v>9939</v>
      </c>
      <c r="G9944" s="102">
        <f t="shared" ca="1" si="159"/>
        <v>-1.4565417924699051E-2</v>
      </c>
    </row>
    <row r="9945" spans="6:7" x14ac:dyDescent="0.35">
      <c r="F9945">
        <v>9940</v>
      </c>
      <c r="G9945" s="102">
        <f t="shared" ca="1" si="159"/>
        <v>-7.3014426865636362E-2</v>
      </c>
    </row>
    <row r="9946" spans="6:7" x14ac:dyDescent="0.35">
      <c r="F9946">
        <v>9941</v>
      </c>
      <c r="G9946" s="102">
        <f t="shared" ca="1" si="159"/>
        <v>-8.0927283817185808E-3</v>
      </c>
    </row>
    <row r="9947" spans="6:7" x14ac:dyDescent="0.35">
      <c r="F9947">
        <v>9942</v>
      </c>
      <c r="G9947" s="102">
        <f t="shared" ca="1" si="159"/>
        <v>-8.3524430176384473E-2</v>
      </c>
    </row>
    <row r="9948" spans="6:7" x14ac:dyDescent="0.35">
      <c r="F9948">
        <v>9943</v>
      </c>
      <c r="G9948" s="102">
        <f t="shared" ca="1" si="159"/>
        <v>-1.2834843480150132E-2</v>
      </c>
    </row>
    <row r="9949" spans="6:7" x14ac:dyDescent="0.35">
      <c r="F9949">
        <v>9944</v>
      </c>
      <c r="G9949" s="102">
        <f t="shared" ca="1" si="159"/>
        <v>-1.5729025723559567E-2</v>
      </c>
    </row>
    <row r="9950" spans="6:7" x14ac:dyDescent="0.35">
      <c r="F9950">
        <v>9945</v>
      </c>
      <c r="G9950" s="102">
        <f t="shared" ca="1" si="159"/>
        <v>-4.4549076739434285E-2</v>
      </c>
    </row>
    <row r="9951" spans="6:7" x14ac:dyDescent="0.35">
      <c r="F9951">
        <v>9946</v>
      </c>
      <c r="G9951" s="102">
        <f t="shared" ca="1" si="159"/>
        <v>-0.11826849090044275</v>
      </c>
    </row>
    <row r="9952" spans="6:7" x14ac:dyDescent="0.35">
      <c r="F9952">
        <v>9947</v>
      </c>
      <c r="G9952" s="102">
        <f t="shared" ca="1" si="159"/>
        <v>-2.9764309371832057E-2</v>
      </c>
    </row>
    <row r="9953" spans="6:7" x14ac:dyDescent="0.35">
      <c r="F9953">
        <v>9948</v>
      </c>
      <c r="G9953" s="102">
        <f t="shared" ca="1" si="159"/>
        <v>2.5183855713996679E-2</v>
      </c>
    </row>
    <row r="9954" spans="6:7" x14ac:dyDescent="0.35">
      <c r="F9954">
        <v>9949</v>
      </c>
      <c r="G9954" s="102">
        <f t="shared" ca="1" si="159"/>
        <v>-2.4213717014692066E-2</v>
      </c>
    </row>
    <row r="9955" spans="6:7" x14ac:dyDescent="0.35">
      <c r="F9955">
        <v>9950</v>
      </c>
      <c r="G9955" s="102">
        <f t="shared" ca="1" si="159"/>
        <v>1.4985520016777578E-2</v>
      </c>
    </row>
    <row r="9956" spans="6:7" x14ac:dyDescent="0.35">
      <c r="F9956">
        <v>9951</v>
      </c>
      <c r="G9956" s="102">
        <f t="shared" ca="1" si="159"/>
        <v>0.11987962110756427</v>
      </c>
    </row>
    <row r="9957" spans="6:7" x14ac:dyDescent="0.35">
      <c r="F9957">
        <v>9952</v>
      </c>
      <c r="G9957" s="102">
        <f t="shared" ca="1" si="159"/>
        <v>-9.0283341418377294E-2</v>
      </c>
    </row>
    <row r="9958" spans="6:7" x14ac:dyDescent="0.35">
      <c r="F9958">
        <v>9953</v>
      </c>
      <c r="G9958" s="102">
        <f t="shared" ca="1" si="159"/>
        <v>5.263507059176703E-2</v>
      </c>
    </row>
    <row r="9959" spans="6:7" x14ac:dyDescent="0.35">
      <c r="F9959">
        <v>9954</v>
      </c>
      <c r="G9959" s="102">
        <f t="shared" ca="1" si="159"/>
        <v>-4.6019484311402445E-2</v>
      </c>
    </row>
    <row r="9960" spans="6:7" x14ac:dyDescent="0.35">
      <c r="F9960">
        <v>9955</v>
      </c>
      <c r="G9960" s="102">
        <f t="shared" ca="1" si="159"/>
        <v>2.8760873381589242E-2</v>
      </c>
    </row>
    <row r="9961" spans="6:7" x14ac:dyDescent="0.35">
      <c r="F9961">
        <v>9956</v>
      </c>
      <c r="G9961" s="102">
        <f t="shared" ca="1" si="159"/>
        <v>-6.3092993808772535E-2</v>
      </c>
    </row>
    <row r="9962" spans="6:7" x14ac:dyDescent="0.35">
      <c r="F9962">
        <v>9957</v>
      </c>
      <c r="G9962" s="102">
        <f t="shared" ca="1" si="159"/>
        <v>-5.2180998678875462E-2</v>
      </c>
    </row>
    <row r="9963" spans="6:7" x14ac:dyDescent="0.35">
      <c r="F9963">
        <v>9958</v>
      </c>
      <c r="G9963" s="102">
        <f t="shared" ca="1" si="159"/>
        <v>0.14622235909193984</v>
      </c>
    </row>
    <row r="9964" spans="6:7" x14ac:dyDescent="0.35">
      <c r="F9964">
        <v>9959</v>
      </c>
      <c r="G9964" s="102">
        <f t="shared" ca="1" si="159"/>
        <v>2.2361298739504036E-2</v>
      </c>
    </row>
    <row r="9965" spans="6:7" x14ac:dyDescent="0.35">
      <c r="F9965">
        <v>9960</v>
      </c>
      <c r="G9965" s="102">
        <f t="shared" ca="1" si="159"/>
        <v>-3.1784505205698893E-2</v>
      </c>
    </row>
    <row r="9966" spans="6:7" x14ac:dyDescent="0.35">
      <c r="F9966">
        <v>9961</v>
      </c>
      <c r="G9966" s="102">
        <f t="shared" ca="1" si="159"/>
        <v>9.7812261046654497E-2</v>
      </c>
    </row>
    <row r="9967" spans="6:7" x14ac:dyDescent="0.35">
      <c r="F9967">
        <v>9962</v>
      </c>
      <c r="G9967" s="102">
        <f t="shared" ca="1" si="159"/>
        <v>-5.0990260727655487E-2</v>
      </c>
    </row>
    <row r="9968" spans="6:7" x14ac:dyDescent="0.35">
      <c r="F9968">
        <v>9963</v>
      </c>
      <c r="G9968" s="102">
        <f t="shared" ca="1" si="159"/>
        <v>7.1849644369774909E-3</v>
      </c>
    </row>
    <row r="9969" spans="6:7" x14ac:dyDescent="0.35">
      <c r="F9969">
        <v>9964</v>
      </c>
      <c r="G9969" s="102">
        <f t="shared" ca="1" si="159"/>
        <v>-1.965819894480559E-2</v>
      </c>
    </row>
    <row r="9970" spans="6:7" x14ac:dyDescent="0.35">
      <c r="F9970">
        <v>9965</v>
      </c>
      <c r="G9970" s="102">
        <f t="shared" ca="1" si="159"/>
        <v>-3.5596207927100831E-2</v>
      </c>
    </row>
    <row r="9971" spans="6:7" x14ac:dyDescent="0.35">
      <c r="F9971">
        <v>9966</v>
      </c>
      <c r="G9971" s="102">
        <f t="shared" ca="1" si="159"/>
        <v>3.9372459271183061E-2</v>
      </c>
    </row>
    <row r="9972" spans="6:7" x14ac:dyDescent="0.35">
      <c r="F9972">
        <v>9967</v>
      </c>
      <c r="G9972" s="102">
        <f t="shared" ca="1" si="159"/>
        <v>-3.2135003217051775E-2</v>
      </c>
    </row>
    <row r="9973" spans="6:7" x14ac:dyDescent="0.35">
      <c r="F9973">
        <v>9968</v>
      </c>
      <c r="G9973" s="102">
        <f t="shared" ca="1" si="159"/>
        <v>-0.17548918492811794</v>
      </c>
    </row>
    <row r="9974" spans="6:7" x14ac:dyDescent="0.35">
      <c r="F9974">
        <v>9969</v>
      </c>
      <c r="G9974" s="102">
        <f t="shared" ca="1" si="159"/>
        <v>-2.961032548609353E-2</v>
      </c>
    </row>
    <row r="9975" spans="6:7" x14ac:dyDescent="0.35">
      <c r="F9975">
        <v>9970</v>
      </c>
      <c r="G9975" s="102">
        <f t="shared" ca="1" si="159"/>
        <v>-3.9551192806634994E-2</v>
      </c>
    </row>
    <row r="9976" spans="6:7" x14ac:dyDescent="0.35">
      <c r="F9976">
        <v>9971</v>
      </c>
      <c r="G9976" s="102">
        <f t="shared" ca="1" si="159"/>
        <v>4.9391848763866389E-2</v>
      </c>
    </row>
    <row r="9977" spans="6:7" x14ac:dyDescent="0.35">
      <c r="F9977">
        <v>9972</v>
      </c>
      <c r="G9977" s="102">
        <f t="shared" ca="1" si="159"/>
        <v>5.6547932303273749E-2</v>
      </c>
    </row>
    <row r="9978" spans="6:7" x14ac:dyDescent="0.35">
      <c r="F9978">
        <v>9973</v>
      </c>
      <c r="G9978" s="102">
        <f t="shared" ca="1" si="159"/>
        <v>-3.4822131717226763E-2</v>
      </c>
    </row>
    <row r="9979" spans="6:7" x14ac:dyDescent="0.35">
      <c r="F9979">
        <v>9974</v>
      </c>
      <c r="G9979" s="102">
        <f t="shared" ca="1" si="159"/>
        <v>-7.040841699868014E-2</v>
      </c>
    </row>
    <row r="9980" spans="6:7" x14ac:dyDescent="0.35">
      <c r="F9980">
        <v>9975</v>
      </c>
      <c r="G9980" s="102">
        <f t="shared" ca="1" si="159"/>
        <v>2.690109103957224E-2</v>
      </c>
    </row>
    <row r="9981" spans="6:7" x14ac:dyDescent="0.35">
      <c r="F9981">
        <v>9976</v>
      </c>
      <c r="G9981" s="102">
        <f t="shared" ca="1" si="159"/>
        <v>3.2327632724118399E-2</v>
      </c>
    </row>
    <row r="9982" spans="6:7" x14ac:dyDescent="0.35">
      <c r="F9982">
        <v>9977</v>
      </c>
      <c r="G9982" s="102">
        <f t="shared" ca="1" si="159"/>
        <v>-6.959907782445382E-2</v>
      </c>
    </row>
    <row r="9983" spans="6:7" x14ac:dyDescent="0.35">
      <c r="F9983">
        <v>9978</v>
      </c>
      <c r="G9983" s="102">
        <f t="shared" ca="1" si="159"/>
        <v>-5.4238908160601312E-2</v>
      </c>
    </row>
    <row r="9984" spans="6:7" x14ac:dyDescent="0.35">
      <c r="F9984">
        <v>9979</v>
      </c>
      <c r="G9984" s="102">
        <f t="shared" ca="1" si="159"/>
        <v>-1.028065378029102E-2</v>
      </c>
    </row>
    <row r="9985" spans="6:7" x14ac:dyDescent="0.35">
      <c r="F9985">
        <v>9980</v>
      </c>
      <c r="G9985" s="102">
        <f t="shared" ca="1" si="159"/>
        <v>6.5915441024810589E-2</v>
      </c>
    </row>
    <row r="9986" spans="6:7" x14ac:dyDescent="0.35">
      <c r="F9986">
        <v>9981</v>
      </c>
      <c r="G9986" s="102">
        <f t="shared" ca="1" si="159"/>
        <v>2.7442544482585585E-3</v>
      </c>
    </row>
    <row r="9987" spans="6:7" x14ac:dyDescent="0.35">
      <c r="F9987">
        <v>9982</v>
      </c>
      <c r="G9987" s="102">
        <f t="shared" ca="1" si="159"/>
        <v>5.5591448632266866E-2</v>
      </c>
    </row>
    <row r="9988" spans="6:7" x14ac:dyDescent="0.35">
      <c r="F9988">
        <v>9983</v>
      </c>
      <c r="G9988" s="102">
        <f t="shared" ca="1" si="159"/>
        <v>5.9356064898906769E-2</v>
      </c>
    </row>
    <row r="9989" spans="6:7" x14ac:dyDescent="0.35">
      <c r="F9989">
        <v>9984</v>
      </c>
      <c r="G9989" s="102">
        <f t="shared" ca="1" si="159"/>
        <v>9.1950365796463013E-2</v>
      </c>
    </row>
    <row r="9990" spans="6:7" x14ac:dyDescent="0.35">
      <c r="F9990">
        <v>9985</v>
      </c>
      <c r="G9990" s="102">
        <f t="shared" ca="1" si="159"/>
        <v>1.6693312935910424E-2</v>
      </c>
    </row>
    <row r="9991" spans="6:7" x14ac:dyDescent="0.35">
      <c r="F9991">
        <v>9986</v>
      </c>
      <c r="G9991" s="102">
        <f t="shared" ref="G9991:G10005" ca="1" si="160">_xlfn.NORM.INV(RAND(),M$9,M$10)</f>
        <v>-9.0822731383451483E-2</v>
      </c>
    </row>
    <row r="9992" spans="6:7" x14ac:dyDescent="0.35">
      <c r="F9992">
        <v>9987</v>
      </c>
      <c r="G9992" s="102">
        <f t="shared" ca="1" si="160"/>
        <v>8.2846906039434516E-3</v>
      </c>
    </row>
    <row r="9993" spans="6:7" x14ac:dyDescent="0.35">
      <c r="F9993">
        <v>9988</v>
      </c>
      <c r="G9993" s="102">
        <f t="shared" ca="1" si="160"/>
        <v>-0.20077106540075779</v>
      </c>
    </row>
    <row r="9994" spans="6:7" x14ac:dyDescent="0.35">
      <c r="F9994">
        <v>9989</v>
      </c>
      <c r="G9994" s="102">
        <f t="shared" ca="1" si="160"/>
        <v>-2.5821673315719048E-2</v>
      </c>
    </row>
    <row r="9995" spans="6:7" x14ac:dyDescent="0.35">
      <c r="F9995">
        <v>9990</v>
      </c>
      <c r="G9995" s="102">
        <f t="shared" ca="1" si="160"/>
        <v>-7.4926146915103797E-2</v>
      </c>
    </row>
    <row r="9996" spans="6:7" x14ac:dyDescent="0.35">
      <c r="F9996">
        <v>9991</v>
      </c>
      <c r="G9996" s="102">
        <f t="shared" ca="1" si="160"/>
        <v>9.5813144792680341E-2</v>
      </c>
    </row>
    <row r="9997" spans="6:7" x14ac:dyDescent="0.35">
      <c r="F9997">
        <v>9992</v>
      </c>
      <c r="G9997" s="102">
        <f t="shared" ca="1" si="160"/>
        <v>-3.2478212198093499E-2</v>
      </c>
    </row>
    <row r="9998" spans="6:7" x14ac:dyDescent="0.35">
      <c r="F9998">
        <v>9993</v>
      </c>
      <c r="G9998" s="102">
        <f t="shared" ca="1" si="160"/>
        <v>3.5720618502688248E-2</v>
      </c>
    </row>
    <row r="9999" spans="6:7" x14ac:dyDescent="0.35">
      <c r="F9999">
        <v>9994</v>
      </c>
      <c r="G9999" s="102">
        <f t="shared" ca="1" si="160"/>
        <v>5.4744985794662679E-2</v>
      </c>
    </row>
    <row r="10000" spans="6:7" x14ac:dyDescent="0.35">
      <c r="F10000">
        <v>9995</v>
      </c>
      <c r="G10000" s="102">
        <f t="shared" ca="1" si="160"/>
        <v>2.8789077358722433E-2</v>
      </c>
    </row>
    <row r="10001" spans="6:7" x14ac:dyDescent="0.35">
      <c r="F10001">
        <v>9996</v>
      </c>
      <c r="G10001" s="102">
        <f t="shared" ca="1" si="160"/>
        <v>-2.6804025570091976E-2</v>
      </c>
    </row>
    <row r="10002" spans="6:7" x14ac:dyDescent="0.35">
      <c r="F10002">
        <v>9997</v>
      </c>
      <c r="G10002" s="102">
        <f t="shared" ca="1" si="160"/>
        <v>-5.7627179704132545E-2</v>
      </c>
    </row>
    <row r="10003" spans="6:7" x14ac:dyDescent="0.35">
      <c r="F10003">
        <v>9998</v>
      </c>
      <c r="G10003" s="102">
        <f t="shared" ca="1" si="160"/>
        <v>5.0341331325144067E-2</v>
      </c>
    </row>
    <row r="10004" spans="6:7" x14ac:dyDescent="0.35">
      <c r="F10004">
        <v>9999</v>
      </c>
      <c r="G10004" s="102">
        <f t="shared" ca="1" si="160"/>
        <v>-6.4375610535069142E-2</v>
      </c>
    </row>
    <row r="10005" spans="6:7" x14ac:dyDescent="0.35">
      <c r="F10005">
        <v>10000</v>
      </c>
      <c r="G10005" s="102">
        <f t="shared" ca="1" si="160"/>
        <v>8.5183147727439623E-2</v>
      </c>
    </row>
  </sheetData>
  <mergeCells count="2">
    <mergeCell ref="F3:J3"/>
    <mergeCell ref="I5:M5"/>
  </mergeCells>
  <pageMargins left="0.70866141732283461" right="0.70866141732283461" top="0.74803149606299213" bottom="0.74803149606299213" header="0.31496062992125984" footer="0.31496062992125984"/>
  <pageSetup paperSize="9" scale="10" orientation="portrait" r:id="rId1"/>
  <ignoredErrors>
    <ignoredError sqref="K23:K26" formulaRange="1"/>
  </ignoredError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D18AB-2F8E-4C8C-A468-DD1908EC179A}">
  <sheetPr>
    <pageSetUpPr fitToPage="1"/>
  </sheetPr>
  <dimension ref="B3:L112"/>
  <sheetViews>
    <sheetView showGridLines="0" topLeftCell="C3" zoomScale="52" zoomScaleNormal="40" workbookViewId="0">
      <selection activeCell="N26" sqref="N26"/>
    </sheetView>
  </sheetViews>
  <sheetFormatPr defaultRowHeight="14.5" x14ac:dyDescent="0.35"/>
  <cols>
    <col min="1" max="1" width="1.81640625" customWidth="1"/>
    <col min="2" max="2" width="30.81640625" customWidth="1"/>
    <col min="4" max="11" width="10.26953125" bestFit="1" customWidth="1"/>
  </cols>
  <sheetData>
    <row r="3" spans="2:12" ht="21.5" thickBot="1" x14ac:dyDescent="0.55000000000000004">
      <c r="B3" s="288" t="str">
        <f>'Data Sheet'!B1</f>
        <v>TATA CONSULTANCY SERVICES LTD</v>
      </c>
      <c r="C3" s="288"/>
      <c r="D3" s="288"/>
      <c r="E3" s="288"/>
    </row>
    <row r="4" spans="2:12" ht="15.5" thickTop="1" thickBot="1" x14ac:dyDescent="0.4">
      <c r="B4" s="204" t="s">
        <v>377</v>
      </c>
    </row>
    <row r="5" spans="2:12" ht="15.5" thickTop="1" thickBot="1" x14ac:dyDescent="0.4">
      <c r="B5" s="205" t="str">
        <f>"INR"&amp;'Data Sheet'!B8</f>
        <v>INR2365.6</v>
      </c>
    </row>
    <row r="6" spans="2:12" ht="20.5" customHeight="1" thickTop="1" x14ac:dyDescent="0.35">
      <c r="B6" s="114" t="s">
        <v>378</v>
      </c>
    </row>
    <row r="7" spans="2:12" ht="3.5" customHeight="1" thickBot="1" x14ac:dyDescent="0.4">
      <c r="B7" s="73"/>
      <c r="C7" s="73"/>
      <c r="D7" s="73"/>
      <c r="E7" s="73"/>
      <c r="F7" s="73"/>
      <c r="G7" s="73"/>
      <c r="H7" s="73"/>
      <c r="I7" s="73"/>
      <c r="J7" s="73"/>
      <c r="K7" s="73"/>
      <c r="L7" s="73"/>
    </row>
    <row r="9" spans="2:12" x14ac:dyDescent="0.35">
      <c r="B9" s="2" t="s">
        <v>379</v>
      </c>
    </row>
    <row r="13" spans="2:12" ht="5.5" customHeight="1" x14ac:dyDescent="0.35"/>
    <row r="15" spans="2:12" x14ac:dyDescent="0.35">
      <c r="B15" s="114" t="s">
        <v>380</v>
      </c>
      <c r="C15" s="206"/>
      <c r="D15" s="206"/>
      <c r="E15" s="206"/>
      <c r="F15" s="206"/>
      <c r="G15" s="206"/>
      <c r="H15" s="206"/>
      <c r="I15" s="206"/>
      <c r="J15" s="206"/>
      <c r="K15" s="206"/>
      <c r="L15" s="206"/>
    </row>
    <row r="42" spans="2:2" x14ac:dyDescent="0.35">
      <c r="B42" s="2" t="s">
        <v>381</v>
      </c>
    </row>
    <row r="49" spans="2:12" ht="5" customHeight="1" x14ac:dyDescent="0.35"/>
    <row r="50" spans="2:12" ht="4" customHeight="1" x14ac:dyDescent="0.35"/>
    <row r="51" spans="2:12" ht="15" thickBot="1" x14ac:dyDescent="0.4">
      <c r="B51" s="289"/>
      <c r="C51" s="289"/>
      <c r="D51" s="289"/>
      <c r="E51" s="289"/>
      <c r="F51" s="289"/>
      <c r="G51" s="289"/>
      <c r="H51" s="289"/>
      <c r="I51" s="289"/>
      <c r="J51" s="289"/>
      <c r="K51" s="289"/>
      <c r="L51" s="289"/>
    </row>
    <row r="52" spans="2:12" ht="1" customHeight="1" x14ac:dyDescent="0.35"/>
    <row r="53" spans="2:12" x14ac:dyDescent="0.35">
      <c r="B53" s="290"/>
      <c r="C53" s="290"/>
      <c r="D53" s="290"/>
      <c r="E53" s="290"/>
      <c r="F53" s="290"/>
      <c r="G53" s="290"/>
      <c r="H53" s="290"/>
      <c r="I53" s="290"/>
      <c r="J53" s="290"/>
      <c r="K53" s="290"/>
      <c r="L53" s="290"/>
    </row>
    <row r="54" spans="2:12" ht="32.5" customHeight="1" x14ac:dyDescent="0.6">
      <c r="B54" s="291" t="s">
        <v>369</v>
      </c>
      <c r="C54" s="291"/>
      <c r="D54" s="291"/>
      <c r="E54" s="291"/>
      <c r="F54" s="291"/>
      <c r="G54" s="291"/>
      <c r="H54" s="291"/>
      <c r="I54" s="291"/>
      <c r="J54" s="291"/>
      <c r="K54" s="291"/>
      <c r="L54" s="291"/>
    </row>
    <row r="55" spans="2:12" x14ac:dyDescent="0.35">
      <c r="B55" s="276" t="s">
        <v>59</v>
      </c>
      <c r="C55" s="276"/>
      <c r="D55" s="276"/>
      <c r="E55" s="276"/>
      <c r="F55" s="276"/>
      <c r="G55" s="276"/>
      <c r="H55" s="276"/>
      <c r="I55" s="276"/>
      <c r="J55" s="276"/>
      <c r="K55" s="276"/>
      <c r="L55" s="276"/>
    </row>
    <row r="56" spans="2:12" x14ac:dyDescent="0.35">
      <c r="D56" s="186">
        <f>'Historicail Financial Statement'!D4</f>
        <v>43555</v>
      </c>
      <c r="E56" s="186">
        <f>'Historicail Financial Statement'!E4</f>
        <v>43921</v>
      </c>
      <c r="F56" s="186">
        <f>'Historicail Financial Statement'!F4</f>
        <v>44286</v>
      </c>
      <c r="G56" s="186">
        <f>'Historicail Financial Statement'!G4</f>
        <v>44651</v>
      </c>
      <c r="H56" s="186">
        <f>'Historicail Financial Statement'!H4</f>
        <v>45016</v>
      </c>
      <c r="I56" s="186">
        <f>'Historicail Financial Statement'!I4</f>
        <v>45382</v>
      </c>
      <c r="J56" s="186">
        <f>'Historicail Financial Statement'!J4</f>
        <v>45747</v>
      </c>
      <c r="K56" s="186">
        <f>'Historicail Financial Statement'!K4</f>
        <v>46112</v>
      </c>
      <c r="L56" s="99"/>
    </row>
    <row r="57" spans="2:12" x14ac:dyDescent="0.35">
      <c r="B57" t="s">
        <v>115</v>
      </c>
      <c r="D57" s="187">
        <f>'Historicail Financial Statement'!D38</f>
        <v>31562</v>
      </c>
      <c r="E57" s="187">
        <f>'Historicail Financial Statement'!E38</f>
        <v>32447</v>
      </c>
      <c r="F57" s="187">
        <f>'Historicail Financial Statement'!F38</f>
        <v>32562</v>
      </c>
      <c r="G57" s="187">
        <f>'Historicail Financial Statement'!G38</f>
        <v>38449</v>
      </c>
      <c r="H57" s="187">
        <f>'Historicail Financial Statement'!H38</f>
        <v>42303</v>
      </c>
      <c r="I57" s="187">
        <f>'Historicail Financial Statement'!I38</f>
        <v>46099</v>
      </c>
      <c r="J57" s="187">
        <f>'Historicail Financial Statement'!J38</f>
        <v>48797</v>
      </c>
      <c r="K57" s="187">
        <f>'Historicail Financial Statement'!K38</f>
        <v>49454</v>
      </c>
    </row>
    <row r="58" spans="2:12" x14ac:dyDescent="0.35">
      <c r="B58" t="s">
        <v>372</v>
      </c>
      <c r="D58" s="187">
        <f>('Data Sheet'!D57+'Data Sheet'!C57)+('Data Sheet'!D58+'Data Sheet'!C58)/2</f>
        <v>87570</v>
      </c>
      <c r="E58" s="187">
        <f>('Data Sheet'!E57+'Data Sheet'!D57)+('Data Sheet'!E58+'Data Sheet'!D58)/2</f>
        <v>87161</v>
      </c>
      <c r="F58" s="187">
        <f>('Data Sheet'!F57+'Data Sheet'!E57)+('Data Sheet'!F58+'Data Sheet'!E58)/2</f>
        <v>85652</v>
      </c>
      <c r="G58" s="187">
        <f>('Data Sheet'!G57+'Data Sheet'!F57)+('Data Sheet'!G58+'Data Sheet'!F58)/2</f>
        <v>88154</v>
      </c>
      <c r="H58" s="187">
        <f>('Data Sheet'!H57+'Data Sheet'!G57)+('Data Sheet'!H58+'Data Sheet'!G58)/2</f>
        <v>90147.5</v>
      </c>
      <c r="I58" s="187">
        <f>('Data Sheet'!I57+'Data Sheet'!H57)+('Data Sheet'!I58+'Data Sheet'!H58)/2</f>
        <v>90820.5</v>
      </c>
      <c r="J58" s="187">
        <f>('Data Sheet'!J57+'Data Sheet'!I57)+('Data Sheet'!J58+'Data Sheet'!I58)/2</f>
        <v>92984.5</v>
      </c>
      <c r="K58" s="187">
        <f>('Data Sheet'!K57+'Data Sheet'!J57)+('Data Sheet'!K58+'Data Sheet'!J58)/2</f>
        <v>101360</v>
      </c>
    </row>
    <row r="59" spans="2:12" x14ac:dyDescent="0.35">
      <c r="B59" s="210" t="s">
        <v>370</v>
      </c>
      <c r="C59" s="211"/>
      <c r="D59" s="212">
        <f>D57/D58</f>
        <v>0.36042023524037914</v>
      </c>
      <c r="E59" s="212">
        <f t="shared" ref="E59:K59" si="0">E57/E58</f>
        <v>0.372265118573674</v>
      </c>
      <c r="F59" s="212">
        <f t="shared" si="0"/>
        <v>0.38016625414467847</v>
      </c>
      <c r="G59" s="212">
        <f t="shared" si="0"/>
        <v>0.43615717948136218</v>
      </c>
      <c r="H59" s="212">
        <f t="shared" si="0"/>
        <v>0.46926426134945504</v>
      </c>
      <c r="I59" s="212">
        <f t="shared" si="0"/>
        <v>0.50758364025743086</v>
      </c>
      <c r="J59" s="212">
        <f t="shared" si="0"/>
        <v>0.52478638912937103</v>
      </c>
      <c r="K59" s="212">
        <f t="shared" si="0"/>
        <v>0.48790449881610104</v>
      </c>
      <c r="L59" s="211"/>
    </row>
    <row r="61" spans="2:12" x14ac:dyDescent="0.35">
      <c r="B61" s="276" t="s">
        <v>371</v>
      </c>
      <c r="C61" s="276"/>
      <c r="D61" s="276"/>
      <c r="E61" s="276"/>
      <c r="F61" s="276"/>
      <c r="G61" s="276"/>
      <c r="H61" s="276"/>
      <c r="I61" s="276"/>
      <c r="J61" s="276"/>
      <c r="K61" s="276"/>
      <c r="L61" s="203"/>
    </row>
    <row r="62" spans="2:12" x14ac:dyDescent="0.35">
      <c r="D62" s="186">
        <f>D56</f>
        <v>43555</v>
      </c>
      <c r="E62" s="186">
        <f t="shared" ref="E62:K62" si="1">E56</f>
        <v>43921</v>
      </c>
      <c r="F62" s="186">
        <f t="shared" si="1"/>
        <v>44286</v>
      </c>
      <c r="G62" s="186">
        <f t="shared" si="1"/>
        <v>44651</v>
      </c>
      <c r="H62" s="186">
        <f t="shared" si="1"/>
        <v>45016</v>
      </c>
      <c r="I62" s="186">
        <f t="shared" si="1"/>
        <v>45382</v>
      </c>
      <c r="J62" s="186">
        <f t="shared" si="1"/>
        <v>45747</v>
      </c>
      <c r="K62" s="186">
        <f t="shared" si="1"/>
        <v>46112</v>
      </c>
    </row>
    <row r="63" spans="2:12" x14ac:dyDescent="0.35">
      <c r="B63" t="s">
        <v>115</v>
      </c>
      <c r="D63" s="187">
        <f>D57</f>
        <v>31562</v>
      </c>
      <c r="E63" s="187">
        <f t="shared" ref="E63:K63" si="2">E57</f>
        <v>32447</v>
      </c>
      <c r="F63" s="187">
        <f t="shared" si="2"/>
        <v>32562</v>
      </c>
      <c r="G63" s="187">
        <f t="shared" si="2"/>
        <v>38449</v>
      </c>
      <c r="H63" s="187">
        <f t="shared" si="2"/>
        <v>42303</v>
      </c>
      <c r="I63" s="187">
        <f t="shared" si="2"/>
        <v>46099</v>
      </c>
      <c r="J63" s="187">
        <f t="shared" si="2"/>
        <v>48797</v>
      </c>
      <c r="K63" s="187">
        <f t="shared" si="2"/>
        <v>49454</v>
      </c>
    </row>
    <row r="64" spans="2:12" x14ac:dyDescent="0.35">
      <c r="B64" t="s">
        <v>320</v>
      </c>
      <c r="D64" s="187">
        <f>'Historicail Financial Statement'!D7</f>
        <v>146463</v>
      </c>
      <c r="E64" s="187">
        <f>'Historicail Financial Statement'!E7</f>
        <v>156949</v>
      </c>
      <c r="F64" s="187">
        <f>'Historicail Financial Statement'!F7</f>
        <v>164177</v>
      </c>
      <c r="G64" s="187">
        <f>'Historicail Financial Statement'!G7</f>
        <v>191754</v>
      </c>
      <c r="H64" s="187">
        <f>'Historicail Financial Statement'!H7</f>
        <v>225458</v>
      </c>
      <c r="I64" s="187">
        <f>'Historicail Financial Statement'!I7</f>
        <v>240893</v>
      </c>
      <c r="J64" s="187">
        <f>'Historicail Financial Statement'!J7</f>
        <v>255324</v>
      </c>
      <c r="K64" s="187">
        <f>'Historicail Financial Statement'!K7</f>
        <v>267021</v>
      </c>
    </row>
    <row r="65" spans="2:12" x14ac:dyDescent="0.35">
      <c r="B65" s="210" t="s">
        <v>373</v>
      </c>
      <c r="C65" s="210"/>
      <c r="D65" s="212">
        <f>D63/D64</f>
        <v>0.21549469831971216</v>
      </c>
      <c r="E65" s="212">
        <f t="shared" ref="E65:K65" si="3">E63/E64</f>
        <v>0.20673594607165385</v>
      </c>
      <c r="F65" s="212">
        <f t="shared" si="3"/>
        <v>0.19833472410873632</v>
      </c>
      <c r="G65" s="212">
        <f t="shared" si="3"/>
        <v>0.20051211448001086</v>
      </c>
      <c r="H65" s="212">
        <f t="shared" si="3"/>
        <v>0.18763139919630265</v>
      </c>
      <c r="I65" s="212">
        <f t="shared" si="3"/>
        <v>0.19136712150207769</v>
      </c>
      <c r="J65" s="212">
        <f t="shared" si="3"/>
        <v>0.19111795209224358</v>
      </c>
      <c r="K65" s="212">
        <f t="shared" si="3"/>
        <v>0.18520640698671639</v>
      </c>
      <c r="L65" s="211"/>
    </row>
    <row r="67" spans="2:12" x14ac:dyDescent="0.35">
      <c r="B67" t="str">
        <f>B64</f>
        <v>Revenu</v>
      </c>
      <c r="D67" s="187">
        <f>D64</f>
        <v>146463</v>
      </c>
      <c r="E67" s="187">
        <f t="shared" ref="E67:K67" si="4">E64</f>
        <v>156949</v>
      </c>
      <c r="F67" s="187">
        <f t="shared" si="4"/>
        <v>164177</v>
      </c>
      <c r="G67" s="187">
        <f t="shared" si="4"/>
        <v>191754</v>
      </c>
      <c r="H67" s="187">
        <f t="shared" si="4"/>
        <v>225458</v>
      </c>
      <c r="I67" s="187">
        <f t="shared" si="4"/>
        <v>240893</v>
      </c>
      <c r="J67" s="187">
        <f t="shared" si="4"/>
        <v>255324</v>
      </c>
      <c r="K67" s="187">
        <f t="shared" si="4"/>
        <v>267021</v>
      </c>
    </row>
    <row r="68" spans="2:12" x14ac:dyDescent="0.35">
      <c r="B68" t="s">
        <v>365</v>
      </c>
      <c r="D68" s="187">
        <f>('Data Sheet'!D66+'Data Sheet'!C66)/2</f>
        <v>109513.5</v>
      </c>
      <c r="E68" s="187">
        <f>('Data Sheet'!E66+'Data Sheet'!D66)/2</f>
        <v>117014</v>
      </c>
      <c r="F68" s="187">
        <f>('Data Sheet'!F66+'Data Sheet'!E66)/2</f>
        <v>125059.5</v>
      </c>
      <c r="G68" s="187">
        <f>('Data Sheet'!G66+'Data Sheet'!F66)/2</f>
        <v>135458</v>
      </c>
      <c r="H68" s="187">
        <f>('Data Sheet'!H66+'Data Sheet'!G66)/2</f>
        <v>141891.5</v>
      </c>
      <c r="I68" s="187">
        <f>('Data Sheet'!I66+'Data Sheet'!H66)/2</f>
        <v>144165.5</v>
      </c>
      <c r="J68" s="187">
        <f>('Data Sheet'!J66+'Data Sheet'!I66)/2</f>
        <v>152060.5</v>
      </c>
      <c r="K68" s="187">
        <f>('Data Sheet'!K66+'Data Sheet'!J66)/2</f>
        <v>169908</v>
      </c>
    </row>
    <row r="69" spans="2:12" x14ac:dyDescent="0.35">
      <c r="B69" s="210" t="s">
        <v>374</v>
      </c>
      <c r="C69" s="210"/>
      <c r="D69" s="213">
        <f>D67/D68</f>
        <v>1.3373967593036475</v>
      </c>
      <c r="E69" s="213">
        <f t="shared" ref="E69:K69" si="5">E67/E68</f>
        <v>1.3412839489291879</v>
      </c>
      <c r="F69" s="213">
        <f t="shared" si="5"/>
        <v>1.3127911114309589</v>
      </c>
      <c r="G69" s="213">
        <f t="shared" si="5"/>
        <v>1.4155974545615615</v>
      </c>
      <c r="H69" s="213">
        <f t="shared" si="5"/>
        <v>1.5889464837569551</v>
      </c>
      <c r="I69" s="213">
        <f t="shared" si="5"/>
        <v>1.670947626165761</v>
      </c>
      <c r="J69" s="213">
        <f t="shared" si="5"/>
        <v>1.679094833964113</v>
      </c>
      <c r="K69" s="213">
        <f t="shared" si="5"/>
        <v>1.5715622572215553</v>
      </c>
      <c r="L69" s="211"/>
    </row>
    <row r="71" spans="2:12" x14ac:dyDescent="0.35">
      <c r="B71" t="str">
        <f>B68</f>
        <v>Average Total Assets</v>
      </c>
      <c r="D71" s="187">
        <f>D68</f>
        <v>109513.5</v>
      </c>
      <c r="E71" s="187">
        <f t="shared" ref="E71:K71" si="6">E68</f>
        <v>117014</v>
      </c>
      <c r="F71" s="187">
        <f t="shared" si="6"/>
        <v>125059.5</v>
      </c>
      <c r="G71" s="187">
        <f t="shared" si="6"/>
        <v>135458</v>
      </c>
      <c r="H71" s="187">
        <f t="shared" si="6"/>
        <v>141891.5</v>
      </c>
      <c r="I71" s="187">
        <f t="shared" si="6"/>
        <v>144165.5</v>
      </c>
      <c r="J71" s="187">
        <f t="shared" si="6"/>
        <v>152060.5</v>
      </c>
      <c r="K71" s="187">
        <f t="shared" si="6"/>
        <v>169908</v>
      </c>
    </row>
    <row r="72" spans="2:12" x14ac:dyDescent="0.35">
      <c r="B72" t="str">
        <f>B58</f>
        <v>Average Equity Shareholer Capital</v>
      </c>
      <c r="D72" s="187">
        <f>D58</f>
        <v>87570</v>
      </c>
      <c r="E72" s="187">
        <f t="shared" ref="E72:K72" si="7">E58</f>
        <v>87161</v>
      </c>
      <c r="F72" s="187">
        <f t="shared" si="7"/>
        <v>85652</v>
      </c>
      <c r="G72" s="187">
        <f t="shared" si="7"/>
        <v>88154</v>
      </c>
      <c r="H72" s="187">
        <f t="shared" si="7"/>
        <v>90147.5</v>
      </c>
      <c r="I72" s="187">
        <f t="shared" si="7"/>
        <v>90820.5</v>
      </c>
      <c r="J72" s="187">
        <f t="shared" si="7"/>
        <v>92984.5</v>
      </c>
      <c r="K72" s="187">
        <f t="shared" si="7"/>
        <v>101360</v>
      </c>
    </row>
    <row r="73" spans="2:12" x14ac:dyDescent="0.35">
      <c r="B73" s="210" t="s">
        <v>366</v>
      </c>
      <c r="C73" s="211"/>
      <c r="D73" s="213">
        <f t="shared" ref="D73:K73" si="8">D71/D72</f>
        <v>1.2505823912298732</v>
      </c>
      <c r="E73" s="213">
        <f t="shared" si="8"/>
        <v>1.3425041016050756</v>
      </c>
      <c r="F73" s="213">
        <f t="shared" si="8"/>
        <v>1.4600884976416195</v>
      </c>
      <c r="G73" s="213">
        <f t="shared" si="8"/>
        <v>1.5366063933570797</v>
      </c>
      <c r="H73" s="213">
        <f t="shared" si="8"/>
        <v>1.5739926232008652</v>
      </c>
      <c r="I73" s="213">
        <f t="shared" si="8"/>
        <v>1.5873673895210882</v>
      </c>
      <c r="J73" s="213">
        <f t="shared" si="8"/>
        <v>1.6353316950674575</v>
      </c>
      <c r="K73" s="213">
        <f t="shared" si="8"/>
        <v>1.6762825572217837</v>
      </c>
      <c r="L73" s="211"/>
    </row>
    <row r="75" spans="2:12" x14ac:dyDescent="0.35">
      <c r="B75" s="210" t="s">
        <v>367</v>
      </c>
      <c r="C75" s="210"/>
      <c r="D75" s="212">
        <f>D65*D69*D73</f>
        <v>0.36042023524037919</v>
      </c>
      <c r="E75" s="212">
        <f t="shared" ref="E75:K75" si="9">E65*E69*E73</f>
        <v>0.372265118573674</v>
      </c>
      <c r="F75" s="212">
        <f t="shared" si="9"/>
        <v>0.38016625414467847</v>
      </c>
      <c r="G75" s="212">
        <f t="shared" si="9"/>
        <v>0.43615717948136218</v>
      </c>
      <c r="H75" s="212">
        <f t="shared" si="9"/>
        <v>0.46926426134945504</v>
      </c>
      <c r="I75" s="212">
        <f t="shared" si="9"/>
        <v>0.50758364025743097</v>
      </c>
      <c r="J75" s="212">
        <f t="shared" si="9"/>
        <v>0.52478638912937103</v>
      </c>
      <c r="K75" s="212">
        <f t="shared" si="9"/>
        <v>0.48790449881610098</v>
      </c>
      <c r="L75" s="211"/>
    </row>
    <row r="77" spans="2:12" x14ac:dyDescent="0.35">
      <c r="B77" s="276" t="s">
        <v>368</v>
      </c>
      <c r="C77" s="276"/>
      <c r="D77" s="276"/>
      <c r="E77" s="276"/>
      <c r="F77" s="276"/>
      <c r="G77" s="276"/>
      <c r="H77" s="276"/>
      <c r="I77" s="276"/>
      <c r="J77" s="276"/>
      <c r="K77" s="276"/>
      <c r="L77" s="203"/>
    </row>
    <row r="78" spans="2:12" x14ac:dyDescent="0.35">
      <c r="D78" s="186">
        <f>D62</f>
        <v>43555</v>
      </c>
      <c r="E78" s="186">
        <f t="shared" ref="E78:K78" si="10">E62</f>
        <v>43921</v>
      </c>
      <c r="F78" s="186">
        <f t="shared" si="10"/>
        <v>44286</v>
      </c>
      <c r="G78" s="186">
        <f t="shared" si="10"/>
        <v>44651</v>
      </c>
      <c r="H78" s="186">
        <f t="shared" si="10"/>
        <v>45016</v>
      </c>
      <c r="I78" s="186">
        <f t="shared" si="10"/>
        <v>45382</v>
      </c>
      <c r="J78" s="186">
        <f t="shared" si="10"/>
        <v>45747</v>
      </c>
      <c r="K78" s="186">
        <f t="shared" si="10"/>
        <v>46112</v>
      </c>
    </row>
    <row r="79" spans="2:12" x14ac:dyDescent="0.35">
      <c r="B79" t="str">
        <f>B57</f>
        <v>Net Profit</v>
      </c>
      <c r="D79" s="187">
        <f>D63</f>
        <v>31562</v>
      </c>
      <c r="E79" s="187">
        <f t="shared" ref="E79:K79" si="11">E63</f>
        <v>32447</v>
      </c>
      <c r="F79" s="187">
        <f t="shared" si="11"/>
        <v>32562</v>
      </c>
      <c r="G79" s="187">
        <f t="shared" si="11"/>
        <v>38449</v>
      </c>
      <c r="H79" s="187">
        <f t="shared" si="11"/>
        <v>42303</v>
      </c>
      <c r="I79" s="187">
        <f t="shared" si="11"/>
        <v>46099</v>
      </c>
      <c r="J79" s="187">
        <f t="shared" si="11"/>
        <v>48797</v>
      </c>
      <c r="K79" s="187">
        <f t="shared" si="11"/>
        <v>49454</v>
      </c>
    </row>
    <row r="80" spans="2:12" x14ac:dyDescent="0.35">
      <c r="B80" t="str">
        <f>B68</f>
        <v>Average Total Assets</v>
      </c>
      <c r="D80" s="187">
        <f>D68</f>
        <v>109513.5</v>
      </c>
      <c r="E80" s="187">
        <f t="shared" ref="E80:K80" si="12">E68</f>
        <v>117014</v>
      </c>
      <c r="F80" s="187">
        <f t="shared" si="12"/>
        <v>125059.5</v>
      </c>
      <c r="G80" s="187">
        <f t="shared" si="12"/>
        <v>135458</v>
      </c>
      <c r="H80" s="187">
        <f t="shared" si="12"/>
        <v>141891.5</v>
      </c>
      <c r="I80" s="187">
        <f t="shared" si="12"/>
        <v>144165.5</v>
      </c>
      <c r="J80" s="187">
        <f t="shared" si="12"/>
        <v>152060.5</v>
      </c>
      <c r="K80" s="187">
        <f t="shared" si="12"/>
        <v>169908</v>
      </c>
    </row>
    <row r="81" spans="2:12" x14ac:dyDescent="0.35">
      <c r="B81" s="210" t="s">
        <v>375</v>
      </c>
      <c r="C81" s="211"/>
      <c r="D81" s="212">
        <f>D79/D80</f>
        <v>0.28820191117990018</v>
      </c>
      <c r="E81" s="212">
        <f t="shared" ref="E81:K81" si="13">E79/E80</f>
        <v>0.27729160613259951</v>
      </c>
      <c r="F81" s="212">
        <f t="shared" si="13"/>
        <v>0.26037206289806053</v>
      </c>
      <c r="G81" s="212">
        <f t="shared" si="13"/>
        <v>0.28384443886665978</v>
      </c>
      <c r="H81" s="212">
        <f t="shared" si="13"/>
        <v>0.29813625199536264</v>
      </c>
      <c r="I81" s="212">
        <f t="shared" si="13"/>
        <v>0.31976443740007143</v>
      </c>
      <c r="J81" s="212">
        <f t="shared" si="13"/>
        <v>0.32090516603588704</v>
      </c>
      <c r="K81" s="212">
        <f t="shared" si="13"/>
        <v>0.29106339901593803</v>
      </c>
      <c r="L81" s="211"/>
    </row>
    <row r="83" spans="2:12" x14ac:dyDescent="0.35">
      <c r="B83" s="276" t="s">
        <v>376</v>
      </c>
      <c r="C83" s="276"/>
      <c r="D83" s="276"/>
      <c r="E83" s="276"/>
      <c r="F83" s="276"/>
      <c r="G83" s="276"/>
      <c r="H83" s="276"/>
      <c r="I83" s="276"/>
      <c r="J83" s="276"/>
      <c r="K83" s="276"/>
      <c r="L83" s="203"/>
    </row>
    <row r="84" spans="2:12" x14ac:dyDescent="0.35">
      <c r="D84" s="99">
        <f>D78</f>
        <v>43555</v>
      </c>
      <c r="E84" s="99">
        <f t="shared" ref="E84:K84" si="14">E78</f>
        <v>43921</v>
      </c>
      <c r="F84" s="99">
        <f t="shared" si="14"/>
        <v>44286</v>
      </c>
      <c r="G84" s="99">
        <f t="shared" si="14"/>
        <v>44651</v>
      </c>
      <c r="H84" s="99">
        <f t="shared" si="14"/>
        <v>45016</v>
      </c>
      <c r="I84" s="99">
        <f t="shared" si="14"/>
        <v>45382</v>
      </c>
      <c r="J84" s="99">
        <f t="shared" si="14"/>
        <v>45747</v>
      </c>
      <c r="K84" s="99">
        <f t="shared" si="14"/>
        <v>46112</v>
      </c>
    </row>
    <row r="85" spans="2:12" x14ac:dyDescent="0.35">
      <c r="B85" t="str">
        <f>B79</f>
        <v>Net Profit</v>
      </c>
      <c r="D85" s="187">
        <f>D79</f>
        <v>31562</v>
      </c>
      <c r="E85" s="187">
        <f t="shared" ref="E85:K85" si="15">E79</f>
        <v>32447</v>
      </c>
      <c r="F85" s="187">
        <f t="shared" si="15"/>
        <v>32562</v>
      </c>
      <c r="G85" s="187">
        <f t="shared" si="15"/>
        <v>38449</v>
      </c>
      <c r="H85" s="187">
        <f t="shared" si="15"/>
        <v>42303</v>
      </c>
      <c r="I85" s="187">
        <f t="shared" si="15"/>
        <v>46099</v>
      </c>
      <c r="J85" s="187">
        <f t="shared" si="15"/>
        <v>48797</v>
      </c>
      <c r="K85" s="187">
        <f t="shared" si="15"/>
        <v>49454</v>
      </c>
    </row>
    <row r="86" spans="2:12" x14ac:dyDescent="0.35">
      <c r="B86" t="str">
        <f>B64</f>
        <v>Revenu</v>
      </c>
      <c r="D86" s="187">
        <f>D67</f>
        <v>146463</v>
      </c>
      <c r="E86" s="187">
        <f t="shared" ref="E86:K86" si="16">E67</f>
        <v>156949</v>
      </c>
      <c r="F86" s="187">
        <f t="shared" si="16"/>
        <v>164177</v>
      </c>
      <c r="G86" s="187">
        <f t="shared" si="16"/>
        <v>191754</v>
      </c>
      <c r="H86" s="187">
        <f t="shared" si="16"/>
        <v>225458</v>
      </c>
      <c r="I86" s="187">
        <f t="shared" si="16"/>
        <v>240893</v>
      </c>
      <c r="J86" s="187">
        <f t="shared" si="16"/>
        <v>255324</v>
      </c>
      <c r="K86" s="187">
        <f t="shared" si="16"/>
        <v>267021</v>
      </c>
    </row>
    <row r="87" spans="2:12" x14ac:dyDescent="0.35">
      <c r="B87" s="210" t="str">
        <f>B65</f>
        <v>Net Profit Margin(A)</v>
      </c>
      <c r="C87" s="210"/>
      <c r="D87" s="212">
        <f>D85/D86</f>
        <v>0.21549469831971216</v>
      </c>
      <c r="E87" s="212">
        <f t="shared" ref="E87:K87" si="17">E85/E86</f>
        <v>0.20673594607165385</v>
      </c>
      <c r="F87" s="212">
        <f t="shared" si="17"/>
        <v>0.19833472410873632</v>
      </c>
      <c r="G87" s="212">
        <f t="shared" si="17"/>
        <v>0.20051211448001086</v>
      </c>
      <c r="H87" s="212">
        <f t="shared" si="17"/>
        <v>0.18763139919630265</v>
      </c>
      <c r="I87" s="212">
        <f t="shared" si="17"/>
        <v>0.19136712150207769</v>
      </c>
      <c r="J87" s="212">
        <f t="shared" si="17"/>
        <v>0.19111795209224358</v>
      </c>
      <c r="K87" s="212">
        <f t="shared" si="17"/>
        <v>0.18520640698671639</v>
      </c>
      <c r="L87" s="211"/>
    </row>
    <row r="89" spans="2:12" x14ac:dyDescent="0.35">
      <c r="B89" t="str">
        <f>B67</f>
        <v>Revenu</v>
      </c>
      <c r="D89" s="187">
        <f>D86</f>
        <v>146463</v>
      </c>
      <c r="E89" s="187">
        <f t="shared" ref="E89:K89" si="18">E86</f>
        <v>156949</v>
      </c>
      <c r="F89" s="187">
        <f t="shared" si="18"/>
        <v>164177</v>
      </c>
      <c r="G89" s="187">
        <f t="shared" si="18"/>
        <v>191754</v>
      </c>
      <c r="H89" s="187">
        <f t="shared" si="18"/>
        <v>225458</v>
      </c>
      <c r="I89" s="187">
        <f t="shared" si="18"/>
        <v>240893</v>
      </c>
      <c r="J89" s="187">
        <f t="shared" si="18"/>
        <v>255324</v>
      </c>
      <c r="K89" s="187">
        <f t="shared" si="18"/>
        <v>267021</v>
      </c>
    </row>
    <row r="90" spans="2:12" x14ac:dyDescent="0.35">
      <c r="B90" t="str">
        <f>B80</f>
        <v>Average Total Assets</v>
      </c>
      <c r="D90" s="187">
        <f>D80</f>
        <v>109513.5</v>
      </c>
      <c r="E90" s="187">
        <f t="shared" ref="E90:K90" si="19">E80</f>
        <v>117014</v>
      </c>
      <c r="F90" s="187">
        <f t="shared" si="19"/>
        <v>125059.5</v>
      </c>
      <c r="G90" s="187">
        <f t="shared" si="19"/>
        <v>135458</v>
      </c>
      <c r="H90" s="187">
        <f t="shared" si="19"/>
        <v>141891.5</v>
      </c>
      <c r="I90" s="187">
        <f t="shared" si="19"/>
        <v>144165.5</v>
      </c>
      <c r="J90" s="187">
        <f t="shared" si="19"/>
        <v>152060.5</v>
      </c>
      <c r="K90" s="187">
        <f t="shared" si="19"/>
        <v>169908</v>
      </c>
    </row>
    <row r="91" spans="2:12" x14ac:dyDescent="0.35">
      <c r="B91" s="210" t="str">
        <f>B69</f>
        <v>Average Turnover Ratio(B)</v>
      </c>
      <c r="C91" s="211"/>
      <c r="D91" s="213">
        <f>D89/D90</f>
        <v>1.3373967593036475</v>
      </c>
      <c r="E91" s="213">
        <f t="shared" ref="E91:K91" si="20">E89/E90</f>
        <v>1.3412839489291879</v>
      </c>
      <c r="F91" s="213">
        <f t="shared" si="20"/>
        <v>1.3127911114309589</v>
      </c>
      <c r="G91" s="213">
        <f t="shared" si="20"/>
        <v>1.4155974545615615</v>
      </c>
      <c r="H91" s="213">
        <f t="shared" si="20"/>
        <v>1.5889464837569551</v>
      </c>
      <c r="I91" s="213">
        <f t="shared" si="20"/>
        <v>1.670947626165761</v>
      </c>
      <c r="J91" s="213">
        <f t="shared" si="20"/>
        <v>1.679094833964113</v>
      </c>
      <c r="K91" s="213">
        <f t="shared" si="20"/>
        <v>1.5715622572215553</v>
      </c>
      <c r="L91" s="214"/>
    </row>
    <row r="93" spans="2:12" x14ac:dyDescent="0.35">
      <c r="B93" s="210" t="s">
        <v>368</v>
      </c>
      <c r="C93" s="210"/>
      <c r="D93" s="212">
        <f>D87*D91</f>
        <v>0.28820191117990024</v>
      </c>
      <c r="E93" s="212">
        <f t="shared" ref="E93:K93" si="21">E87*E91</f>
        <v>0.27729160613259951</v>
      </c>
      <c r="F93" s="212">
        <f t="shared" si="21"/>
        <v>0.26037206289806053</v>
      </c>
      <c r="G93" s="212">
        <f t="shared" si="21"/>
        <v>0.28384443886665978</v>
      </c>
      <c r="H93" s="212">
        <f t="shared" si="21"/>
        <v>0.29813625199536264</v>
      </c>
      <c r="I93" s="212">
        <f t="shared" si="21"/>
        <v>0.31976443740007149</v>
      </c>
      <c r="J93" s="212">
        <f t="shared" si="21"/>
        <v>0.32090516603588704</v>
      </c>
      <c r="K93" s="212">
        <f t="shared" si="21"/>
        <v>0.29106339901593803</v>
      </c>
      <c r="L93" s="211"/>
    </row>
    <row r="94" spans="2:12" x14ac:dyDescent="0.35">
      <c r="B94" s="2" t="s">
        <v>382</v>
      </c>
    </row>
    <row r="112" spans="2:12" x14ac:dyDescent="0.35">
      <c r="B112" s="203"/>
      <c r="C112" s="203"/>
      <c r="D112" s="203"/>
      <c r="E112" s="203"/>
      <c r="F112" s="203"/>
      <c r="G112" s="203"/>
      <c r="H112" s="203"/>
      <c r="I112" s="203"/>
      <c r="J112" s="203"/>
      <c r="K112" s="203"/>
      <c r="L112" s="203"/>
    </row>
  </sheetData>
  <mergeCells count="8">
    <mergeCell ref="B3:E3"/>
    <mergeCell ref="B77:K77"/>
    <mergeCell ref="B83:K83"/>
    <mergeCell ref="B51:L51"/>
    <mergeCell ref="B53:L53"/>
    <mergeCell ref="B55:L55"/>
    <mergeCell ref="B54:L54"/>
    <mergeCell ref="B61:K61"/>
  </mergeCells>
  <pageMargins left="0.7" right="0.7" top="0.75" bottom="0.75" header="0.3" footer="0.3"/>
  <pageSetup paperSize="9" scale="45"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44926-EA56-4BE5-8B4F-771250ED6262}">
  <sheetPr>
    <pageSetUpPr fitToPage="1"/>
  </sheetPr>
  <dimension ref="B3:L98"/>
  <sheetViews>
    <sheetView showGridLines="0" zoomScale="47" workbookViewId="0">
      <selection activeCell="P18" sqref="P18"/>
    </sheetView>
  </sheetViews>
  <sheetFormatPr defaultRowHeight="14.5" x14ac:dyDescent="0.35"/>
  <cols>
    <col min="1" max="1" width="1.81640625" customWidth="1"/>
    <col min="2" max="2" width="30.81640625" customWidth="1"/>
    <col min="4" max="4" width="11.7265625" bestFit="1" customWidth="1"/>
    <col min="5" max="11" width="10.26953125" bestFit="1" customWidth="1"/>
  </cols>
  <sheetData>
    <row r="3" spans="2:12" ht="21.5" thickBot="1" x14ac:dyDescent="0.55000000000000004">
      <c r="B3" s="288" t="str">
        <f>'Data Sheet'!B1</f>
        <v>TATA CONSULTANCY SERVICES LTD</v>
      </c>
      <c r="C3" s="288"/>
      <c r="D3" s="288"/>
      <c r="E3" s="288"/>
    </row>
    <row r="4" spans="2:12" ht="15.5" thickTop="1" thickBot="1" x14ac:dyDescent="0.4">
      <c r="B4" s="204" t="s">
        <v>377</v>
      </c>
    </row>
    <row r="5" spans="2:12" ht="15.5" thickTop="1" thickBot="1" x14ac:dyDescent="0.4">
      <c r="B5" s="205" t="str">
        <f>"INR"&amp;'Data Sheet'!B8</f>
        <v>INR2365.6</v>
      </c>
    </row>
    <row r="6" spans="2:12" ht="20.5" customHeight="1" thickTop="1" x14ac:dyDescent="0.35">
      <c r="B6" s="114" t="s">
        <v>378</v>
      </c>
    </row>
    <row r="7" spans="2:12" ht="3.5" customHeight="1" thickBot="1" x14ac:dyDescent="0.4">
      <c r="B7" s="73"/>
      <c r="C7" s="73"/>
      <c r="D7" s="73"/>
      <c r="E7" s="73"/>
      <c r="F7" s="73"/>
      <c r="G7" s="73"/>
      <c r="H7" s="73"/>
      <c r="I7" s="73"/>
      <c r="J7" s="73"/>
      <c r="K7" s="73"/>
      <c r="L7" s="73"/>
    </row>
    <row r="9" spans="2:12" x14ac:dyDescent="0.35">
      <c r="B9" s="293" t="s">
        <v>383</v>
      </c>
      <c r="C9" s="293"/>
      <c r="D9" s="293"/>
      <c r="E9" s="293"/>
      <c r="F9" s="293"/>
      <c r="G9" s="293"/>
      <c r="H9" s="293"/>
      <c r="I9" s="293"/>
      <c r="J9" s="293"/>
      <c r="K9" s="293"/>
      <c r="L9" s="293"/>
    </row>
    <row r="13" spans="2:12" ht="5.5" customHeight="1" x14ac:dyDescent="0.35"/>
    <row r="15" spans="2:12" x14ac:dyDescent="0.35">
      <c r="B15" s="114" t="s">
        <v>380</v>
      </c>
      <c r="C15" s="206"/>
      <c r="D15" s="206"/>
      <c r="E15" s="206"/>
      <c r="F15" s="206"/>
      <c r="G15" s="206"/>
      <c r="H15" s="206"/>
      <c r="I15" s="206"/>
      <c r="J15" s="206"/>
      <c r="K15" s="206"/>
      <c r="L15" s="206"/>
    </row>
    <row r="42" spans="2:2" x14ac:dyDescent="0.35">
      <c r="B42" s="2" t="s">
        <v>381</v>
      </c>
    </row>
    <row r="49" spans="2:12" ht="5" customHeight="1" x14ac:dyDescent="0.35"/>
    <row r="50" spans="2:12" ht="4" customHeight="1" x14ac:dyDescent="0.35"/>
    <row r="51" spans="2:12" ht="15" thickBot="1" x14ac:dyDescent="0.4">
      <c r="B51" s="289"/>
      <c r="C51" s="289"/>
      <c r="D51" s="289"/>
      <c r="E51" s="289"/>
      <c r="F51" s="289"/>
      <c r="G51" s="289"/>
      <c r="H51" s="289"/>
      <c r="I51" s="289"/>
      <c r="J51" s="289"/>
      <c r="K51" s="289"/>
      <c r="L51" s="289"/>
    </row>
    <row r="52" spans="2:12" ht="1" customHeight="1" x14ac:dyDescent="0.35"/>
    <row r="53" spans="2:12" x14ac:dyDescent="0.35">
      <c r="B53" s="290"/>
      <c r="C53" s="290"/>
      <c r="D53" s="290"/>
      <c r="E53" s="290"/>
      <c r="F53" s="290"/>
      <c r="G53" s="290"/>
      <c r="H53" s="290"/>
      <c r="I53" s="290"/>
      <c r="J53" s="290"/>
      <c r="K53" s="290"/>
      <c r="L53" s="290"/>
    </row>
    <row r="54" spans="2:12" ht="32.5" customHeight="1" x14ac:dyDescent="0.6">
      <c r="B54" s="292" t="s">
        <v>384</v>
      </c>
      <c r="C54" s="292"/>
      <c r="D54" s="292"/>
      <c r="E54" s="292"/>
      <c r="F54" s="292"/>
      <c r="G54" s="292"/>
      <c r="H54" s="292"/>
      <c r="I54" s="292"/>
      <c r="J54" s="292"/>
      <c r="K54" s="292"/>
      <c r="L54" s="292"/>
    </row>
    <row r="55" spans="2:12" x14ac:dyDescent="0.35">
      <c r="B55" s="276" t="s">
        <v>385</v>
      </c>
      <c r="C55" s="276"/>
      <c r="D55" s="276"/>
      <c r="E55" s="276"/>
      <c r="F55" s="276"/>
      <c r="G55" s="276"/>
      <c r="H55" s="276"/>
      <c r="I55" s="276"/>
      <c r="J55" s="276"/>
      <c r="K55" s="276"/>
      <c r="L55" s="276"/>
    </row>
    <row r="56" spans="2:12" x14ac:dyDescent="0.35">
      <c r="D56" s="186">
        <f>'Historicail Financial Statement'!D4</f>
        <v>43555</v>
      </c>
      <c r="E56" s="186">
        <f>'Historicail Financial Statement'!E4</f>
        <v>43921</v>
      </c>
      <c r="F56" s="186">
        <f>'Historicail Financial Statement'!F4</f>
        <v>44286</v>
      </c>
      <c r="G56" s="186">
        <f>'Historicail Financial Statement'!G4</f>
        <v>44651</v>
      </c>
      <c r="H56" s="186">
        <f>'Historicail Financial Statement'!H4</f>
        <v>45016</v>
      </c>
      <c r="I56" s="186">
        <f>'Historicail Financial Statement'!I4</f>
        <v>45382</v>
      </c>
      <c r="J56" s="186">
        <f>'Historicail Financial Statement'!J4</f>
        <v>45747</v>
      </c>
      <c r="K56" s="186">
        <f>'Historicail Financial Statement'!K4</f>
        <v>46112</v>
      </c>
      <c r="L56" s="99"/>
    </row>
    <row r="57" spans="2:12" x14ac:dyDescent="0.35">
      <c r="B57" t="s">
        <v>30</v>
      </c>
      <c r="D57" s="187">
        <f>'Instrc Growth'!D18</f>
        <v>2963</v>
      </c>
      <c r="E57" s="187">
        <f>'Instrc Growth'!E18</f>
        <v>2710</v>
      </c>
      <c r="F57" s="187">
        <f>'Instrc Growth'!F18</f>
        <v>-5677</v>
      </c>
      <c r="G57" s="187">
        <f>'Instrc Growth'!G18</f>
        <v>-2137</v>
      </c>
      <c r="H57" s="187">
        <f>'Instrc Growth'!H18</f>
        <v>5235</v>
      </c>
      <c r="I57" s="187">
        <f>'Instrc Growth'!I18</f>
        <v>6643</v>
      </c>
      <c r="J57" s="187">
        <f>'Instrc Growth'!J18</f>
        <v>4566</v>
      </c>
      <c r="K57" s="187">
        <f>'Instrc Growth'!K18</f>
        <v>5099</v>
      </c>
    </row>
    <row r="58" spans="2:12" x14ac:dyDescent="0.35">
      <c r="B58" t="s">
        <v>386</v>
      </c>
      <c r="D58" s="187">
        <f>'Data Sheet'!D66</f>
        <v>113901</v>
      </c>
      <c r="E58" s="187">
        <f>'Data Sheet'!E66</f>
        <v>120127</v>
      </c>
      <c r="F58" s="187">
        <f>'Data Sheet'!F66</f>
        <v>129992</v>
      </c>
      <c r="G58" s="187">
        <f>'Data Sheet'!G66</f>
        <v>140924</v>
      </c>
      <c r="H58" s="187">
        <f>'Data Sheet'!H66</f>
        <v>142859</v>
      </c>
      <c r="I58" s="187">
        <f>'Data Sheet'!I66</f>
        <v>145472</v>
      </c>
      <c r="J58" s="187">
        <f>'Data Sheet'!J66</f>
        <v>158649</v>
      </c>
      <c r="K58" s="187">
        <f>'Data Sheet'!K66</f>
        <v>181167</v>
      </c>
    </row>
    <row r="59" spans="2:12" x14ac:dyDescent="0.35">
      <c r="B59" s="207" t="s">
        <v>390</v>
      </c>
      <c r="C59" s="208"/>
      <c r="D59" s="209">
        <f>D57/D58</f>
        <v>2.6013819018270254E-2</v>
      </c>
      <c r="E59" s="209">
        <f t="shared" ref="E59:K59" si="0">E57/E58</f>
        <v>2.2559457907048375E-2</v>
      </c>
      <c r="F59" s="209">
        <f t="shared" si="0"/>
        <v>-4.3671918271893657E-2</v>
      </c>
      <c r="G59" s="209">
        <f>G57/G58</f>
        <v>-1.516420198120973E-2</v>
      </c>
      <c r="H59" s="209">
        <f t="shared" si="0"/>
        <v>3.6644523621192922E-2</v>
      </c>
      <c r="I59" s="209">
        <f t="shared" si="0"/>
        <v>4.5665145182578089E-2</v>
      </c>
      <c r="J59" s="209">
        <f t="shared" si="0"/>
        <v>2.8780515477563679E-2</v>
      </c>
      <c r="K59" s="209">
        <f t="shared" si="0"/>
        <v>2.8145302400547561E-2</v>
      </c>
      <c r="L59" s="208"/>
    </row>
    <row r="61" spans="2:12" x14ac:dyDescent="0.35">
      <c r="B61" s="276" t="s">
        <v>388</v>
      </c>
      <c r="C61" s="276"/>
      <c r="D61" s="276"/>
      <c r="E61" s="276"/>
      <c r="F61" s="276"/>
      <c r="G61" s="276"/>
      <c r="H61" s="276"/>
      <c r="I61" s="276"/>
      <c r="J61" s="276"/>
      <c r="K61" s="276"/>
      <c r="L61" s="203"/>
    </row>
    <row r="62" spans="2:12" x14ac:dyDescent="0.35">
      <c r="D62" s="186">
        <f>D56</f>
        <v>43555</v>
      </c>
      <c r="E62" s="186">
        <f t="shared" ref="E62:K62" si="1">E56</f>
        <v>43921</v>
      </c>
      <c r="F62" s="186">
        <f t="shared" si="1"/>
        <v>44286</v>
      </c>
      <c r="G62" s="186">
        <f t="shared" si="1"/>
        <v>44651</v>
      </c>
      <c r="H62" s="186">
        <f t="shared" si="1"/>
        <v>45016</v>
      </c>
      <c r="I62" s="186">
        <f t="shared" si="1"/>
        <v>45382</v>
      </c>
      <c r="J62" s="186">
        <f t="shared" si="1"/>
        <v>45747</v>
      </c>
      <c r="K62" s="186">
        <f t="shared" si="1"/>
        <v>46112</v>
      </c>
    </row>
    <row r="63" spans="2:12" x14ac:dyDescent="0.35">
      <c r="B63" t="s">
        <v>387</v>
      </c>
      <c r="D63" s="187">
        <f>'Historicail Financial Statement'!D41*'Historicail Financial Statement'!D43*'Historicail Financial Statement'!D49</f>
        <v>20312</v>
      </c>
      <c r="E63" s="187">
        <f>'Historicail Financial Statement'!E41*'Historicail Financial Statement'!E43*'Historicail Financial Statement'!E49</f>
        <v>5072.0000000000018</v>
      </c>
      <c r="F63" s="187">
        <f>'Historicail Financial Statement'!F41*'Historicail Financial Statement'!F43*'Historicail Financial Statement'!F49</f>
        <v>18502</v>
      </c>
      <c r="G63" s="187">
        <f>'Historicail Financial Statement'!G41*'Historicail Financial Statement'!G43*'Historicail Financial Statement'!G49</f>
        <v>22711.000000000004</v>
      </c>
      <c r="H63" s="187">
        <f>'Historicail Financial Statement'!H41*'Historicail Financial Statement'!H43*'Historicail Financial Statement'!H49</f>
        <v>213.00000000000657</v>
      </c>
      <c r="I63" s="187">
        <f>'Historicail Financial Statement'!I41*'Historicail Financial Statement'!I43*'Historicail Financial Statement'!I49</f>
        <v>19673</v>
      </c>
      <c r="J63" s="187">
        <f>'Historicail Financial Statement'!J41*'Historicail Financial Statement'!J43*'Historicail Financial Statement'!J49</f>
        <v>3185.0000000000036</v>
      </c>
      <c r="K63" s="187">
        <f>'Historicail Financial Statement'!K41*'Historicail Financial Statement'!K43*'Historicail Financial Statement'!K49</f>
        <v>9634.0000000000018</v>
      </c>
    </row>
    <row r="64" spans="2:12" x14ac:dyDescent="0.35">
      <c r="B64" t="str">
        <f>B58</f>
        <v>Total assets</v>
      </c>
      <c r="D64" s="187">
        <f>D58</f>
        <v>113901</v>
      </c>
      <c r="E64" s="187">
        <f t="shared" ref="E64:K64" si="2">E58</f>
        <v>120127</v>
      </c>
      <c r="F64" s="187">
        <f t="shared" si="2"/>
        <v>129992</v>
      </c>
      <c r="G64" s="187">
        <f t="shared" si="2"/>
        <v>140924</v>
      </c>
      <c r="H64" s="187">
        <f t="shared" si="2"/>
        <v>142859</v>
      </c>
      <c r="I64" s="187">
        <f t="shared" si="2"/>
        <v>145472</v>
      </c>
      <c r="J64" s="187">
        <f t="shared" si="2"/>
        <v>158649</v>
      </c>
      <c r="K64" s="187">
        <f t="shared" si="2"/>
        <v>181167</v>
      </c>
    </row>
    <row r="65" spans="2:12" x14ac:dyDescent="0.35">
      <c r="B65" s="207" t="s">
        <v>391</v>
      </c>
      <c r="C65" s="207"/>
      <c r="D65" s="209">
        <f>D63/D64</f>
        <v>0.17833030438714323</v>
      </c>
      <c r="E65" s="209">
        <f t="shared" ref="E65:K65" si="3">E63/E64</f>
        <v>4.2221981735996089E-2</v>
      </c>
      <c r="F65" s="209">
        <f t="shared" si="3"/>
        <v>0.14233183580528033</v>
      </c>
      <c r="G65" s="209">
        <f t="shared" si="3"/>
        <v>0.16115778717606655</v>
      </c>
      <c r="H65" s="209">
        <f t="shared" si="3"/>
        <v>1.4909806172520217E-3</v>
      </c>
      <c r="I65" s="209">
        <f t="shared" si="3"/>
        <v>0.1352356467223933</v>
      </c>
      <c r="J65" s="209">
        <f t="shared" si="3"/>
        <v>2.0075764738510825E-2</v>
      </c>
      <c r="K65" s="209">
        <f t="shared" si="3"/>
        <v>5.3177455055280494E-2</v>
      </c>
      <c r="L65" s="208"/>
    </row>
    <row r="66" spans="2:12" x14ac:dyDescent="0.35">
      <c r="B66" s="26"/>
      <c r="C66" s="26"/>
      <c r="D66" s="190"/>
      <c r="E66" s="190"/>
      <c r="F66" s="190"/>
      <c r="G66" s="190"/>
      <c r="H66" s="190"/>
      <c r="I66" s="190"/>
      <c r="J66" s="190"/>
      <c r="K66" s="190"/>
      <c r="L66" s="191"/>
    </row>
    <row r="67" spans="2:12" x14ac:dyDescent="0.35">
      <c r="B67" s="276" t="s">
        <v>389</v>
      </c>
      <c r="C67" s="276"/>
      <c r="D67" s="276"/>
      <c r="E67" s="276"/>
      <c r="F67" s="276"/>
      <c r="G67" s="276"/>
      <c r="H67" s="276"/>
      <c r="I67" s="276"/>
      <c r="J67" s="276"/>
      <c r="K67" s="276"/>
      <c r="L67" s="276"/>
    </row>
    <row r="68" spans="2:12" x14ac:dyDescent="0.35">
      <c r="D68" s="186">
        <f>D62</f>
        <v>43555</v>
      </c>
      <c r="E68" s="186">
        <f t="shared" ref="E68:K68" si="4">E62</f>
        <v>43921</v>
      </c>
      <c r="F68" s="186">
        <f t="shared" si="4"/>
        <v>44286</v>
      </c>
      <c r="G68" s="186">
        <f t="shared" si="4"/>
        <v>44651</v>
      </c>
      <c r="H68" s="186">
        <f t="shared" si="4"/>
        <v>45016</v>
      </c>
      <c r="I68" s="186">
        <f t="shared" si="4"/>
        <v>45382</v>
      </c>
      <c r="J68" s="186">
        <f t="shared" si="4"/>
        <v>45747</v>
      </c>
      <c r="K68" s="186">
        <f t="shared" si="4"/>
        <v>46112</v>
      </c>
    </row>
    <row r="69" spans="2:12" x14ac:dyDescent="0.35">
      <c r="B69" t="s">
        <v>107</v>
      </c>
      <c r="D69" s="187">
        <f>'Historicail Financial Statement'!D32</f>
        <v>41563</v>
      </c>
      <c r="E69" s="187">
        <f>'Historicail Financial Statement'!E32</f>
        <v>42248</v>
      </c>
      <c r="F69" s="187">
        <f>'Historicail Financial Statement'!F32</f>
        <v>43760</v>
      </c>
      <c r="G69" s="187">
        <f>'Historicail Financial Statement'!G32</f>
        <v>51687</v>
      </c>
      <c r="H69" s="187">
        <f>'Historicail Financial Statement'!H32</f>
        <v>56907</v>
      </c>
      <c r="I69" s="187">
        <f>'Historicail Financial Statement'!I32</f>
        <v>61997</v>
      </c>
      <c r="J69" s="187">
        <f>'Historicail Financial Statement'!J32</f>
        <v>65331</v>
      </c>
      <c r="K69" s="187">
        <f>'Historicail Financial Statement'!K32</f>
        <v>65487</v>
      </c>
    </row>
    <row r="70" spans="2:12" x14ac:dyDescent="0.35">
      <c r="B70" t="str">
        <f>B64</f>
        <v>Total assets</v>
      </c>
      <c r="D70" s="187">
        <f>D64</f>
        <v>113901</v>
      </c>
      <c r="E70" s="187">
        <f t="shared" ref="E70:K70" si="5">E64</f>
        <v>120127</v>
      </c>
      <c r="F70" s="187">
        <f t="shared" si="5"/>
        <v>129992</v>
      </c>
      <c r="G70" s="187">
        <f t="shared" si="5"/>
        <v>140924</v>
      </c>
      <c r="H70" s="187">
        <f t="shared" si="5"/>
        <v>142859</v>
      </c>
      <c r="I70" s="187">
        <f t="shared" si="5"/>
        <v>145472</v>
      </c>
      <c r="J70" s="187">
        <f t="shared" si="5"/>
        <v>158649</v>
      </c>
      <c r="K70" s="187">
        <f t="shared" si="5"/>
        <v>181167</v>
      </c>
    </row>
    <row r="71" spans="2:12" x14ac:dyDescent="0.35">
      <c r="B71" s="207" t="s">
        <v>392</v>
      </c>
      <c r="C71" s="207"/>
      <c r="D71" s="209">
        <f>D69/D70</f>
        <v>0.36490461014389691</v>
      </c>
      <c r="E71" s="209">
        <f t="shared" ref="E71:K71" si="6">E69/E70</f>
        <v>0.3516944566999925</v>
      </c>
      <c r="F71" s="209">
        <f t="shared" si="6"/>
        <v>0.33663610068311894</v>
      </c>
      <c r="G71" s="209">
        <f t="shared" si="6"/>
        <v>0.36677216088104225</v>
      </c>
      <c r="H71" s="209">
        <f t="shared" si="6"/>
        <v>0.39834382153032011</v>
      </c>
      <c r="I71" s="209">
        <f t="shared" si="6"/>
        <v>0.42617823361196655</v>
      </c>
      <c r="J71" s="209">
        <f t="shared" si="6"/>
        <v>0.41179585121872814</v>
      </c>
      <c r="K71" s="209">
        <f t="shared" si="6"/>
        <v>0.36147311596482801</v>
      </c>
      <c r="L71" s="208"/>
    </row>
    <row r="73" spans="2:12" x14ac:dyDescent="0.35">
      <c r="B73" s="276" t="s">
        <v>393</v>
      </c>
      <c r="C73" s="276"/>
      <c r="D73" s="276"/>
      <c r="E73" s="276"/>
      <c r="F73" s="276"/>
      <c r="G73" s="276"/>
      <c r="H73" s="276"/>
      <c r="I73" s="276"/>
      <c r="J73" s="276"/>
      <c r="K73" s="276"/>
      <c r="L73" s="276"/>
    </row>
    <row r="74" spans="2:12" x14ac:dyDescent="0.35">
      <c r="D74" s="186">
        <f>D68</f>
        <v>43555</v>
      </c>
      <c r="E74" s="186">
        <f t="shared" ref="E74:K74" si="7">E68</f>
        <v>43921</v>
      </c>
      <c r="F74" s="186">
        <f t="shared" si="7"/>
        <v>44286</v>
      </c>
      <c r="G74" s="186">
        <f t="shared" si="7"/>
        <v>44651</v>
      </c>
      <c r="H74" s="186">
        <f t="shared" si="7"/>
        <v>45016</v>
      </c>
      <c r="I74" s="186">
        <f t="shared" si="7"/>
        <v>45382</v>
      </c>
      <c r="J74" s="186">
        <f t="shared" si="7"/>
        <v>45747</v>
      </c>
      <c r="K74" s="186">
        <f t="shared" si="7"/>
        <v>46112</v>
      </c>
    </row>
    <row r="75" spans="2:12" x14ac:dyDescent="0.35">
      <c r="B75" t="s">
        <v>394</v>
      </c>
      <c r="D75" s="187">
        <f>'Data Sheet'!D70*'Data Sheet'!D90/1000000000</f>
        <v>7510.9608467649005</v>
      </c>
      <c r="E75" s="187">
        <f>'Data Sheet'!E70*'Data Sheet'!E90/1000000000</f>
        <v>6852.2297116266</v>
      </c>
      <c r="F75" s="187">
        <f>'Data Sheet'!F70*'Data Sheet'!F90/1000000000</f>
        <v>11755.030405688049</v>
      </c>
      <c r="G75" s="187">
        <f>'Data Sheet'!G70*'Data Sheet'!G90/1000000000</f>
        <v>13684.669182451349</v>
      </c>
      <c r="H75" s="187">
        <f>'Data Sheet'!H70*'Data Sheet'!H90/1000000000</f>
        <v>11730.552796700702</v>
      </c>
      <c r="I75" s="187">
        <f>'Data Sheet'!I70*'Data Sheet'!I90/1000000000</f>
        <v>14024.792646023401</v>
      </c>
      <c r="J75" s="187">
        <f>'Data Sheet'!J70*'Data Sheet'!J90/1000000000</f>
        <v>13047.366303035702</v>
      </c>
      <c r="K75" s="187">
        <f>'Data Sheet'!K70*'Data Sheet'!K90/1000000000</f>
        <v>8534.7066462101993</v>
      </c>
    </row>
    <row r="76" spans="2:12" x14ac:dyDescent="0.35">
      <c r="B76" t="s">
        <v>395</v>
      </c>
      <c r="D76" s="187">
        <f>'Data Sheet'!D59+'Data Sheet'!D60</f>
        <v>24455</v>
      </c>
      <c r="E76" s="187">
        <f>'Data Sheet'!E59+'Data Sheet'!E60</f>
        <v>36001</v>
      </c>
      <c r="F76" s="187">
        <f>'Data Sheet'!F59+'Data Sheet'!F60</f>
        <v>43559</v>
      </c>
      <c r="G76" s="187">
        <f>'Data Sheet'!G59+'Data Sheet'!G60</f>
        <v>51785</v>
      </c>
      <c r="H76" s="187">
        <f>'Data Sheet'!H59+'Data Sheet'!H60</f>
        <v>52435</v>
      </c>
      <c r="I76" s="187">
        <f>'Data Sheet'!I59+'Data Sheet'!I60</f>
        <v>54983</v>
      </c>
      <c r="J76" s="187">
        <f>'Data Sheet'!J59+'Data Sheet'!J60</f>
        <v>63893</v>
      </c>
      <c r="K76" s="187">
        <f>'Data Sheet'!K59+'Data Sheet'!K60</f>
        <v>73927</v>
      </c>
    </row>
    <row r="77" spans="2:12" x14ac:dyDescent="0.35">
      <c r="B77" s="207" t="s">
        <v>396</v>
      </c>
      <c r="C77" s="208"/>
      <c r="D77" s="209">
        <f>D75/D76</f>
        <v>0.30713395406930694</v>
      </c>
      <c r="E77" s="209">
        <f t="shared" ref="E77:K77" si="8">E75/E76</f>
        <v>0.19033442714442933</v>
      </c>
      <c r="F77" s="209">
        <f t="shared" si="8"/>
        <v>0.26986456084134275</v>
      </c>
      <c r="G77" s="209">
        <f t="shared" si="8"/>
        <v>0.26425932572079464</v>
      </c>
      <c r="H77" s="209">
        <f t="shared" si="8"/>
        <v>0.22371608270622106</v>
      </c>
      <c r="I77" s="209">
        <f t="shared" si="8"/>
        <v>0.25507507131337687</v>
      </c>
      <c r="J77" s="209">
        <f t="shared" si="8"/>
        <v>0.20420650623754874</v>
      </c>
      <c r="K77" s="209">
        <f t="shared" si="8"/>
        <v>0.11544776125380712</v>
      </c>
      <c r="L77" s="208"/>
    </row>
    <row r="79" spans="2:12" x14ac:dyDescent="0.35">
      <c r="B79" s="276" t="s">
        <v>397</v>
      </c>
      <c r="C79" s="276"/>
      <c r="D79" s="276"/>
      <c r="E79" s="276"/>
      <c r="F79" s="276"/>
      <c r="G79" s="276"/>
      <c r="H79" s="276"/>
      <c r="I79" s="276"/>
      <c r="J79" s="276"/>
      <c r="K79" s="276"/>
      <c r="L79" s="276"/>
    </row>
    <row r="80" spans="2:12" x14ac:dyDescent="0.35">
      <c r="B80" s="52"/>
      <c r="C80" s="52"/>
      <c r="D80" s="192">
        <f>D68</f>
        <v>43555</v>
      </c>
      <c r="E80" s="192">
        <f t="shared" ref="E80:K80" si="9">E68</f>
        <v>43921</v>
      </c>
      <c r="F80" s="192">
        <f t="shared" si="9"/>
        <v>44286</v>
      </c>
      <c r="G80" s="192">
        <f t="shared" si="9"/>
        <v>44651</v>
      </c>
      <c r="H80" s="192">
        <f t="shared" si="9"/>
        <v>45016</v>
      </c>
      <c r="I80" s="192">
        <f t="shared" si="9"/>
        <v>45382</v>
      </c>
      <c r="J80" s="192">
        <f t="shared" si="9"/>
        <v>45747</v>
      </c>
      <c r="K80" s="192">
        <f t="shared" si="9"/>
        <v>46112</v>
      </c>
      <c r="L80" s="52"/>
    </row>
    <row r="81" spans="2:12" x14ac:dyDescent="0.35">
      <c r="B81" s="193" t="s">
        <v>6</v>
      </c>
      <c r="C81" s="52"/>
      <c r="D81" s="187">
        <f>'Historicail Financial Statement'!D7</f>
        <v>146463</v>
      </c>
      <c r="E81" s="187">
        <f>'Historicail Financial Statement'!E7</f>
        <v>156949</v>
      </c>
      <c r="F81" s="187">
        <f>'Historicail Financial Statement'!F7</f>
        <v>164177</v>
      </c>
      <c r="G81" s="187">
        <f>'Historicail Financial Statement'!G7</f>
        <v>191754</v>
      </c>
      <c r="H81" s="187">
        <f>'Historicail Financial Statement'!H7</f>
        <v>225458</v>
      </c>
      <c r="I81" s="187">
        <f>'Historicail Financial Statement'!I7</f>
        <v>240893</v>
      </c>
      <c r="J81" s="187">
        <f>'Historicail Financial Statement'!J7</f>
        <v>255324</v>
      </c>
      <c r="K81" s="187">
        <f>'Historicail Financial Statement'!K7</f>
        <v>267021</v>
      </c>
      <c r="L81" s="52"/>
    </row>
    <row r="82" spans="2:12" x14ac:dyDescent="0.35">
      <c r="B82" t="s">
        <v>386</v>
      </c>
      <c r="D82" s="187">
        <f>D70</f>
        <v>113901</v>
      </c>
      <c r="E82" s="187">
        <f t="shared" ref="E82:K82" si="10">E70</f>
        <v>120127</v>
      </c>
      <c r="F82" s="187">
        <f t="shared" si="10"/>
        <v>129992</v>
      </c>
      <c r="G82" s="187">
        <f t="shared" si="10"/>
        <v>140924</v>
      </c>
      <c r="H82" s="187">
        <f t="shared" si="10"/>
        <v>142859</v>
      </c>
      <c r="I82" s="187">
        <f t="shared" si="10"/>
        <v>145472</v>
      </c>
      <c r="J82" s="187">
        <f t="shared" si="10"/>
        <v>158649</v>
      </c>
      <c r="K82" s="187">
        <f t="shared" si="10"/>
        <v>181167</v>
      </c>
    </row>
    <row r="83" spans="2:12" x14ac:dyDescent="0.35">
      <c r="B83" s="207" t="s">
        <v>397</v>
      </c>
      <c r="C83" s="207"/>
      <c r="D83" s="209">
        <f>D81/D82</f>
        <v>1.2858798430215714</v>
      </c>
      <c r="E83" s="209">
        <f t="shared" ref="E83:K83" si="11">E81/E82</f>
        <v>1.3065255937466183</v>
      </c>
      <c r="F83" s="209">
        <f t="shared" si="11"/>
        <v>1.2629777217059512</v>
      </c>
      <c r="G83" s="209">
        <f t="shared" si="11"/>
        <v>1.3606908688371038</v>
      </c>
      <c r="H83" s="209">
        <f t="shared" si="11"/>
        <v>1.5781854835887132</v>
      </c>
      <c r="I83" s="209">
        <f t="shared" si="11"/>
        <v>1.6559406621205455</v>
      </c>
      <c r="J83" s="209">
        <f t="shared" si="11"/>
        <v>1.6093640678478907</v>
      </c>
      <c r="K83" s="209">
        <f t="shared" si="11"/>
        <v>1.4738942522644853</v>
      </c>
      <c r="L83" s="207"/>
    </row>
    <row r="84" spans="2:12" x14ac:dyDescent="0.35">
      <c r="D84" s="187"/>
      <c r="E84" s="187"/>
      <c r="F84" s="187"/>
      <c r="G84" s="187"/>
      <c r="H84" s="187"/>
      <c r="I84" s="187"/>
      <c r="J84" s="187"/>
      <c r="K84" s="187"/>
    </row>
    <row r="85" spans="2:12" x14ac:dyDescent="0.35">
      <c r="B85" s="276" t="s">
        <v>398</v>
      </c>
      <c r="C85" s="276"/>
      <c r="D85" s="276"/>
      <c r="E85" s="276"/>
      <c r="F85" s="276"/>
      <c r="G85" s="276"/>
      <c r="H85" s="276"/>
      <c r="I85" s="276"/>
      <c r="J85" s="276"/>
      <c r="K85" s="276"/>
      <c r="L85" s="203"/>
    </row>
    <row r="86" spans="2:12" x14ac:dyDescent="0.35">
      <c r="D86" s="186">
        <f t="shared" ref="D86:K86" si="12">D62</f>
        <v>43555</v>
      </c>
      <c r="E86" s="186">
        <f t="shared" si="12"/>
        <v>43921</v>
      </c>
      <c r="F86" s="186">
        <f t="shared" si="12"/>
        <v>44286</v>
      </c>
      <c r="G86" s="186">
        <f t="shared" si="12"/>
        <v>44651</v>
      </c>
      <c r="H86" s="186">
        <f t="shared" si="12"/>
        <v>45016</v>
      </c>
      <c r="I86" s="186">
        <f t="shared" si="12"/>
        <v>45382</v>
      </c>
      <c r="J86" s="186">
        <f t="shared" si="12"/>
        <v>45747</v>
      </c>
      <c r="K86" s="186">
        <f t="shared" si="12"/>
        <v>46112</v>
      </c>
    </row>
    <row r="87" spans="2:12" x14ac:dyDescent="0.35">
      <c r="B87" t="s">
        <v>399</v>
      </c>
      <c r="D87" s="59">
        <f>(D59*1.2)+(D65*1.4)+(D71*3.3)+(D77*0.6)+(D83*1)</f>
        <v>2.9552244379019403</v>
      </c>
      <c r="E87" s="59">
        <f t="shared" ref="E87:K87" si="13">(E59*1.2)+(E65*1.4)+(E71*3.3)+(E77*0.6)+(E83*1)</f>
        <v>2.6675000810621032</v>
      </c>
      <c r="F87" s="59">
        <f t="shared" si="13"/>
        <v>2.6826538586661695</v>
      </c>
      <c r="G87" s="59">
        <f t="shared" si="13"/>
        <v>2.9370184548460614</v>
      </c>
      <c r="H87" s="59">
        <f t="shared" si="13"/>
        <v>3.0730105454720862</v>
      </c>
      <c r="I87" s="59">
        <f t="shared" si="13"/>
        <v>3.4595019554585056</v>
      </c>
      <c r="J87" s="59">
        <f t="shared" si="13"/>
        <v>3.1534569698192141</v>
      </c>
      <c r="K87" s="59">
        <f t="shared" si="13"/>
        <v>2.8442469916587516</v>
      </c>
    </row>
    <row r="88" spans="2:12" x14ac:dyDescent="0.35">
      <c r="B88" s="2" t="s">
        <v>400</v>
      </c>
      <c r="D88" s="194" t="str">
        <f>IF(D87&lt;1.81,"Disterred",IF(D87&gt;3,"Stong","GrayZone"))</f>
        <v>GrayZone</v>
      </c>
      <c r="E88" s="194" t="str">
        <f t="shared" ref="E88:K88" si="14">IF(E87&lt;1.81,"Disterred",IF(E87&gt;3,"Stong","GrayZone"))</f>
        <v>GrayZone</v>
      </c>
      <c r="F88" s="194" t="str">
        <f t="shared" si="14"/>
        <v>GrayZone</v>
      </c>
      <c r="G88" s="194" t="str">
        <f t="shared" si="14"/>
        <v>GrayZone</v>
      </c>
      <c r="H88" s="194" t="str">
        <f t="shared" si="14"/>
        <v>Stong</v>
      </c>
      <c r="I88" s="194" t="str">
        <f t="shared" si="14"/>
        <v>Stong</v>
      </c>
      <c r="J88" s="194" t="str">
        <f t="shared" si="14"/>
        <v>Stong</v>
      </c>
      <c r="K88" s="194" t="str">
        <f t="shared" si="14"/>
        <v>GrayZone</v>
      </c>
    </row>
    <row r="98" spans="2:12" x14ac:dyDescent="0.35">
      <c r="B98" s="203"/>
      <c r="C98" s="203"/>
      <c r="D98" s="203"/>
      <c r="E98" s="203"/>
      <c r="F98" s="203"/>
      <c r="G98" s="203"/>
      <c r="H98" s="203"/>
      <c r="I98" s="203"/>
      <c r="J98" s="203"/>
      <c r="K98" s="203"/>
      <c r="L98" s="203"/>
    </row>
  </sheetData>
  <mergeCells count="11">
    <mergeCell ref="B85:K85"/>
    <mergeCell ref="B9:L9"/>
    <mergeCell ref="B67:L67"/>
    <mergeCell ref="B73:L73"/>
    <mergeCell ref="B79:L79"/>
    <mergeCell ref="B61:K61"/>
    <mergeCell ref="B3:E3"/>
    <mergeCell ref="B51:L51"/>
    <mergeCell ref="B53:L53"/>
    <mergeCell ref="B54:L54"/>
    <mergeCell ref="B55:L55"/>
  </mergeCells>
  <pageMargins left="0.7" right="0.7" top="0.75" bottom="0.75" header="0.3" footer="0.3"/>
  <pageSetup paperSize="9" scale="52"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B3741-928D-437D-B3DB-EC901AE01BB7}">
  <sheetPr>
    <pageSetUpPr fitToPage="1"/>
  </sheetPr>
  <dimension ref="B2:N74"/>
  <sheetViews>
    <sheetView showGridLines="0" zoomScale="70" zoomScaleNormal="70" workbookViewId="0">
      <selection activeCell="J24" sqref="J24"/>
    </sheetView>
  </sheetViews>
  <sheetFormatPr defaultRowHeight="14.5" x14ac:dyDescent="0.35"/>
  <cols>
    <col min="1" max="1" width="1.81640625" customWidth="1"/>
    <col min="2" max="2" width="29" bestFit="1" customWidth="1"/>
    <col min="4" max="4" width="13.6328125" bestFit="1" customWidth="1"/>
    <col min="5" max="6" width="12.1796875" bestFit="1" customWidth="1"/>
    <col min="7" max="7" width="12.453125" bestFit="1" customWidth="1"/>
    <col min="8" max="8" width="13.6328125" bestFit="1" customWidth="1"/>
    <col min="10" max="10" width="37.54296875" bestFit="1" customWidth="1"/>
    <col min="11" max="11" width="12.90625" bestFit="1" customWidth="1"/>
  </cols>
  <sheetData>
    <row r="2" spans="2:11" x14ac:dyDescent="0.35">
      <c r="C2" s="276" t="s">
        <v>569</v>
      </c>
      <c r="D2" s="276"/>
      <c r="E2" s="276"/>
      <c r="F2" s="276"/>
      <c r="G2" s="276"/>
    </row>
    <row r="4" spans="2:11" ht="15" thickBot="1" x14ac:dyDescent="0.4">
      <c r="B4" s="114" t="s">
        <v>477</v>
      </c>
      <c r="C4" s="114"/>
      <c r="D4" s="155">
        <f>'Historicail Financial Statement'!K4</f>
        <v>46112</v>
      </c>
      <c r="E4" s="156">
        <f>D4+365</f>
        <v>46477</v>
      </c>
      <c r="F4" s="156">
        <f t="shared" ref="F4:H4" si="0">E4+365</f>
        <v>46842</v>
      </c>
      <c r="G4" s="156">
        <f t="shared" si="0"/>
        <v>47207</v>
      </c>
      <c r="H4" s="156">
        <f t="shared" si="0"/>
        <v>47572</v>
      </c>
      <c r="J4" s="80" t="s">
        <v>488</v>
      </c>
      <c r="K4" s="78"/>
    </row>
    <row r="5" spans="2:11" ht="15" thickTop="1" x14ac:dyDescent="0.35">
      <c r="J5" t="s">
        <v>489</v>
      </c>
      <c r="K5">
        <f>'Data Sheet'!B8</f>
        <v>2365.6</v>
      </c>
    </row>
    <row r="6" spans="2:11" x14ac:dyDescent="0.35">
      <c r="B6" t="s">
        <v>6</v>
      </c>
      <c r="D6" s="59">
        <f>'Historicail Financial Statement'!K7</f>
        <v>267021</v>
      </c>
      <c r="E6">
        <f>D6*(1+E20)</f>
        <v>293723.10000000003</v>
      </c>
      <c r="F6">
        <f t="shared" ref="F6:H6" si="1">E6*(1+F20)</f>
        <v>323095.41000000009</v>
      </c>
      <c r="G6">
        <f t="shared" si="1"/>
        <v>355404.95100000012</v>
      </c>
      <c r="H6">
        <f t="shared" si="1"/>
        <v>390945.44610000018</v>
      </c>
      <c r="J6" t="s">
        <v>490</v>
      </c>
      <c r="K6" s="119">
        <f>'Data Sheet'!B6</f>
        <v>361.80875042272578</v>
      </c>
    </row>
    <row r="7" spans="2:11" x14ac:dyDescent="0.35">
      <c r="B7" t="s">
        <v>98</v>
      </c>
      <c r="D7" s="59">
        <f>'Historicail Financial Statement'!K10</f>
        <v>4399</v>
      </c>
      <c r="E7">
        <f>E6*E21</f>
        <v>4838.9000000000005</v>
      </c>
      <c r="F7">
        <f t="shared" ref="F7:H7" si="2">F6*F21</f>
        <v>5322.7900000000009</v>
      </c>
      <c r="G7">
        <f t="shared" si="2"/>
        <v>5855.0690000000013</v>
      </c>
      <c r="H7">
        <f t="shared" si="2"/>
        <v>6440.5759000000025</v>
      </c>
      <c r="J7" t="s">
        <v>491</v>
      </c>
      <c r="K7" s="119">
        <f>K5*K6</f>
        <v>855894.78</v>
      </c>
    </row>
    <row r="8" spans="2:11" x14ac:dyDescent="0.35">
      <c r="B8" t="s">
        <v>478</v>
      </c>
      <c r="D8" s="59">
        <f>D6-D7</f>
        <v>262622</v>
      </c>
      <c r="E8">
        <f>E6-E7</f>
        <v>288884.2</v>
      </c>
      <c r="F8">
        <f t="shared" ref="F8:H8" si="3">F6-F7</f>
        <v>317772.62000000011</v>
      </c>
      <c r="G8">
        <f t="shared" si="3"/>
        <v>349549.8820000001</v>
      </c>
      <c r="H8">
        <f t="shared" si="3"/>
        <v>384504.87020000018</v>
      </c>
      <c r="J8" t="s">
        <v>492</v>
      </c>
      <c r="K8" s="119">
        <f>'One Page Profil'!L51</f>
        <v>11283</v>
      </c>
    </row>
    <row r="9" spans="2:11" x14ac:dyDescent="0.35">
      <c r="B9" t="s">
        <v>479</v>
      </c>
      <c r="D9" s="59">
        <f>'Historicail Financial Statement'!K15</f>
        <v>190224</v>
      </c>
      <c r="E9">
        <f>E6*E22</f>
        <v>209246.40000000002</v>
      </c>
      <c r="F9">
        <f t="shared" ref="F9:H9" si="4">F6*F22</f>
        <v>230171.04000000007</v>
      </c>
      <c r="G9">
        <f t="shared" si="4"/>
        <v>253188.14400000009</v>
      </c>
      <c r="H9">
        <f t="shared" si="4"/>
        <v>278506.95840000012</v>
      </c>
      <c r="J9" s="2" t="s">
        <v>493</v>
      </c>
      <c r="K9" s="202">
        <f>K7+K8</f>
        <v>867177.78</v>
      </c>
    </row>
    <row r="10" spans="2:11" x14ac:dyDescent="0.35">
      <c r="B10" t="s">
        <v>104</v>
      </c>
      <c r="D10" s="59">
        <f>D8-D9</f>
        <v>72398</v>
      </c>
      <c r="E10">
        <f>E8-E9</f>
        <v>79637.799999999988</v>
      </c>
      <c r="F10">
        <f t="shared" ref="F10:H10" si="5">F8-F9</f>
        <v>87601.580000000045</v>
      </c>
      <c r="G10">
        <f t="shared" si="5"/>
        <v>96361.738000000012</v>
      </c>
      <c r="H10">
        <f t="shared" si="5"/>
        <v>105997.91180000006</v>
      </c>
      <c r="J10" t="s">
        <v>494</v>
      </c>
      <c r="K10" s="59">
        <f>D10</f>
        <v>72398</v>
      </c>
    </row>
    <row r="11" spans="2:11" x14ac:dyDescent="0.35">
      <c r="B11" t="s">
        <v>10</v>
      </c>
      <c r="D11" s="59">
        <f>'Historicail Financial Statement'!K20</f>
        <v>5560</v>
      </c>
      <c r="E11" s="59">
        <f>E23</f>
        <v>5560</v>
      </c>
      <c r="F11" s="59">
        <f t="shared" ref="F11:H11" si="6">F23</f>
        <v>5560</v>
      </c>
      <c r="G11" s="59">
        <f t="shared" si="6"/>
        <v>5560</v>
      </c>
      <c r="H11" s="59">
        <f t="shared" si="6"/>
        <v>5560</v>
      </c>
      <c r="J11" t="s">
        <v>495</v>
      </c>
      <c r="K11" s="119">
        <f>K9/K10</f>
        <v>11.977924528301887</v>
      </c>
    </row>
    <row r="12" spans="2:11" x14ac:dyDescent="0.35">
      <c r="B12" t="s">
        <v>107</v>
      </c>
      <c r="D12" s="59">
        <f>D10-D11</f>
        <v>66838</v>
      </c>
      <c r="E12" s="59">
        <f>E10-E11</f>
        <v>74077.799999999988</v>
      </c>
      <c r="F12" s="59">
        <f t="shared" ref="F12:H12" si="7">F10-F11</f>
        <v>82041.580000000045</v>
      </c>
      <c r="G12" s="59">
        <f t="shared" si="7"/>
        <v>90801.738000000012</v>
      </c>
      <c r="H12" s="59">
        <f t="shared" si="7"/>
        <v>100437.91180000006</v>
      </c>
      <c r="J12" t="s">
        <v>496</v>
      </c>
      <c r="K12" s="74">
        <v>0.25</v>
      </c>
    </row>
    <row r="13" spans="2:11" x14ac:dyDescent="0.35">
      <c r="B13" t="s">
        <v>480</v>
      </c>
      <c r="D13" s="59">
        <f>'Historicail Financial Statement'!K26</f>
        <v>1227</v>
      </c>
      <c r="E13" s="59">
        <f>E37+E38</f>
        <v>-28597.210000000003</v>
      </c>
      <c r="F13" s="59">
        <f t="shared" ref="F13:H13" si="8">F37+F38</f>
        <v>-25050.456024999999</v>
      </c>
      <c r="G13" s="59">
        <f t="shared" si="8"/>
        <v>-18229.8388336875</v>
      </c>
      <c r="H13" s="59">
        <f t="shared" si="8"/>
        <v>-11264.207219918902</v>
      </c>
      <c r="J13" t="s">
        <v>497</v>
      </c>
      <c r="K13" s="217">
        <f>'Instrc Growth'!K18/'Historicail Financial Statement'!K7</f>
        <v>1.9095876354294231E-2</v>
      </c>
    </row>
    <row r="14" spans="2:11" x14ac:dyDescent="0.35">
      <c r="B14" t="s">
        <v>111</v>
      </c>
      <c r="D14" s="59">
        <f>D12-D13</f>
        <v>65611</v>
      </c>
      <c r="E14" s="59">
        <f>E12+E13</f>
        <v>45480.589999999982</v>
      </c>
      <c r="F14" s="59">
        <f>F12-F13</f>
        <v>107092.03602500004</v>
      </c>
      <c r="G14" s="59">
        <f t="shared" ref="G14:H14" si="9">G12-G13</f>
        <v>109031.57683368752</v>
      </c>
      <c r="H14" s="59">
        <f t="shared" si="9"/>
        <v>111702.11901991896</v>
      </c>
    </row>
    <row r="15" spans="2:11" ht="15" thickBot="1" x14ac:dyDescent="0.4">
      <c r="B15" t="s">
        <v>481</v>
      </c>
      <c r="D15" s="59">
        <f>'Historicail Financial Statement'!K35</f>
        <v>16033</v>
      </c>
      <c r="E15">
        <f>E14*$K$12</f>
        <v>11370.147499999995</v>
      </c>
      <c r="F15">
        <f t="shared" ref="F15:H15" si="10">F14*$K$12</f>
        <v>26773.009006250009</v>
      </c>
      <c r="G15">
        <f t="shared" si="10"/>
        <v>27257.89420842188</v>
      </c>
      <c r="H15">
        <f t="shared" si="10"/>
        <v>27925.52975497974</v>
      </c>
      <c r="J15" s="80" t="s">
        <v>498</v>
      </c>
      <c r="K15" s="78"/>
    </row>
    <row r="16" spans="2:11" ht="15.5" thickTop="1" thickBot="1" x14ac:dyDescent="0.4">
      <c r="B16" s="42" t="s">
        <v>482</v>
      </c>
      <c r="C16" s="44"/>
      <c r="D16" s="118">
        <f>D14-D15</f>
        <v>49578</v>
      </c>
      <c r="E16" s="118">
        <f>E14-E15</f>
        <v>34110.44249999999</v>
      </c>
      <c r="F16" s="118">
        <f t="shared" ref="F16:H16" si="11">F14-F15</f>
        <v>80319.027018750028</v>
      </c>
      <c r="G16" s="118">
        <f t="shared" si="11"/>
        <v>81773.682625265646</v>
      </c>
      <c r="H16" s="118">
        <f t="shared" si="11"/>
        <v>83776.589264939219</v>
      </c>
      <c r="K16" s="161" t="s">
        <v>511</v>
      </c>
    </row>
    <row r="17" spans="2:11" ht="15" thickTop="1" x14ac:dyDescent="0.35">
      <c r="J17" t="s">
        <v>499</v>
      </c>
      <c r="K17" s="229">
        <v>3</v>
      </c>
    </row>
    <row r="18" spans="2:11" ht="15" thickBot="1" x14ac:dyDescent="0.4">
      <c r="B18" s="80" t="s">
        <v>483</v>
      </c>
      <c r="C18" s="78"/>
      <c r="D18" s="78"/>
      <c r="E18" s="78"/>
      <c r="F18" s="78"/>
      <c r="G18" s="78"/>
      <c r="H18" s="78"/>
      <c r="J18" t="s">
        <v>500</v>
      </c>
      <c r="K18" s="230">
        <v>3.5</v>
      </c>
    </row>
    <row r="19" spans="2:11" ht="15" thickTop="1" x14ac:dyDescent="0.35">
      <c r="K19" t="s">
        <v>512</v>
      </c>
    </row>
    <row r="20" spans="2:11" x14ac:dyDescent="0.35">
      <c r="B20" t="s">
        <v>484</v>
      </c>
      <c r="D20" s="233" t="s">
        <v>97</v>
      </c>
      <c r="E20" s="217">
        <v>0.1</v>
      </c>
      <c r="F20" s="217">
        <v>0.1</v>
      </c>
      <c r="G20" s="217">
        <v>0.1</v>
      </c>
      <c r="H20" s="217">
        <v>0.1</v>
      </c>
      <c r="J20" t="s">
        <v>499</v>
      </c>
      <c r="K20" s="231">
        <v>0.05</v>
      </c>
    </row>
    <row r="21" spans="2:11" x14ac:dyDescent="0.35">
      <c r="B21" t="s">
        <v>485</v>
      </c>
      <c r="D21" s="32">
        <f>$D$7/$D$6</f>
        <v>1.6474359694555858E-2</v>
      </c>
      <c r="E21" s="32">
        <f t="shared" ref="E21:H21" si="12">$D$7/$D$6</f>
        <v>1.6474359694555858E-2</v>
      </c>
      <c r="F21" s="32">
        <f t="shared" si="12"/>
        <v>1.6474359694555858E-2</v>
      </c>
      <c r="G21" s="32">
        <f t="shared" si="12"/>
        <v>1.6474359694555858E-2</v>
      </c>
      <c r="H21" s="32">
        <f t="shared" si="12"/>
        <v>1.6474359694555858E-2</v>
      </c>
      <c r="J21" t="s">
        <v>500</v>
      </c>
      <c r="K21" s="232">
        <v>7.0000000000000007E-2</v>
      </c>
    </row>
    <row r="22" spans="2:11" x14ac:dyDescent="0.35">
      <c r="B22" t="s">
        <v>486</v>
      </c>
      <c r="D22" s="32">
        <f>$D$9/$D$6</f>
        <v>0.71239340726010314</v>
      </c>
      <c r="E22" s="32">
        <f t="shared" ref="E22:H22" si="13">$D$9/$D$6</f>
        <v>0.71239340726010314</v>
      </c>
      <c r="F22" s="32">
        <f t="shared" si="13"/>
        <v>0.71239340726010314</v>
      </c>
      <c r="G22" s="32">
        <f t="shared" si="13"/>
        <v>0.71239340726010314</v>
      </c>
      <c r="H22" s="32">
        <f t="shared" si="13"/>
        <v>0.71239340726010314</v>
      </c>
    </row>
    <row r="23" spans="2:11" x14ac:dyDescent="0.35">
      <c r="B23" t="s">
        <v>487</v>
      </c>
      <c r="D23" s="59">
        <f>$D$11</f>
        <v>5560</v>
      </c>
      <c r="E23" s="59">
        <f t="shared" ref="E23:H23" si="14">$D$11</f>
        <v>5560</v>
      </c>
      <c r="F23" s="59">
        <f t="shared" si="14"/>
        <v>5560</v>
      </c>
      <c r="G23" s="59">
        <f t="shared" si="14"/>
        <v>5560</v>
      </c>
      <c r="H23" s="59">
        <f t="shared" si="14"/>
        <v>5560</v>
      </c>
      <c r="J23" t="s">
        <v>501</v>
      </c>
      <c r="K23">
        <v>600</v>
      </c>
    </row>
    <row r="25" spans="2:11" ht="15" thickBot="1" x14ac:dyDescent="0.4">
      <c r="B25" s="90" t="s">
        <v>513</v>
      </c>
      <c r="C25" s="73"/>
      <c r="D25" s="73"/>
      <c r="E25" s="73"/>
      <c r="F25" s="73"/>
      <c r="G25" s="73"/>
      <c r="H25" s="73"/>
      <c r="J25" t="s">
        <v>502</v>
      </c>
    </row>
    <row r="26" spans="2:11" x14ac:dyDescent="0.35">
      <c r="B26" t="s">
        <v>514</v>
      </c>
      <c r="D26" s="59">
        <f>D16</f>
        <v>49578</v>
      </c>
      <c r="E26" s="59">
        <f t="shared" ref="E26:H26" si="15">E16</f>
        <v>34110.44249999999</v>
      </c>
      <c r="F26" s="59">
        <f t="shared" si="15"/>
        <v>80319.027018750028</v>
      </c>
      <c r="G26" s="59">
        <f t="shared" si="15"/>
        <v>81773.682625265646</v>
      </c>
      <c r="H26" s="59">
        <f t="shared" si="15"/>
        <v>83776.589264939219</v>
      </c>
      <c r="J26" t="s">
        <v>499</v>
      </c>
      <c r="K26" s="269">
        <f>K10*K17</f>
        <v>217194</v>
      </c>
    </row>
    <row r="27" spans="2:11" x14ac:dyDescent="0.35">
      <c r="B27" t="s">
        <v>515</v>
      </c>
      <c r="D27" s="59">
        <f>D11</f>
        <v>5560</v>
      </c>
      <c r="E27" s="59">
        <f t="shared" ref="E27:H27" si="16">E11</f>
        <v>5560</v>
      </c>
      <c r="F27" s="59">
        <f t="shared" si="16"/>
        <v>5560</v>
      </c>
      <c r="G27" s="59">
        <f t="shared" si="16"/>
        <v>5560</v>
      </c>
      <c r="H27" s="59">
        <f t="shared" si="16"/>
        <v>5560</v>
      </c>
      <c r="J27" t="s">
        <v>500</v>
      </c>
      <c r="K27" s="270">
        <f>K10*K18</f>
        <v>253393</v>
      </c>
    </row>
    <row r="28" spans="2:11" x14ac:dyDescent="0.35">
      <c r="B28" t="s">
        <v>272</v>
      </c>
      <c r="D28" s="59">
        <f>D6*$K$13</f>
        <v>5099</v>
      </c>
      <c r="E28" s="59">
        <f t="shared" ref="E28:H28" si="17">E6*$K$13</f>
        <v>5608.9000000000005</v>
      </c>
      <c r="F28" s="59">
        <f t="shared" si="17"/>
        <v>6169.7900000000018</v>
      </c>
      <c r="G28" s="59">
        <f t="shared" si="17"/>
        <v>6786.7690000000021</v>
      </c>
      <c r="H28" s="59">
        <f t="shared" si="17"/>
        <v>7465.4459000000033</v>
      </c>
      <c r="J28" t="s">
        <v>503</v>
      </c>
      <c r="K28" s="269">
        <f>K26+K27</f>
        <v>470587</v>
      </c>
    </row>
    <row r="29" spans="2:11" ht="15" thickBot="1" x14ac:dyDescent="0.4">
      <c r="B29" t="s">
        <v>516</v>
      </c>
      <c r="D29" s="59">
        <f>D27</f>
        <v>5560</v>
      </c>
      <c r="E29" s="59">
        <f t="shared" ref="E29:H29" si="18">E27</f>
        <v>5560</v>
      </c>
      <c r="F29" s="59">
        <f t="shared" si="18"/>
        <v>5560</v>
      </c>
      <c r="G29" s="59">
        <f t="shared" si="18"/>
        <v>5560</v>
      </c>
      <c r="H29" s="59">
        <f t="shared" si="18"/>
        <v>5560</v>
      </c>
    </row>
    <row r="30" spans="2:11" ht="15" thickBot="1" x14ac:dyDescent="0.4">
      <c r="B30" s="42" t="s">
        <v>517</v>
      </c>
      <c r="C30" s="42"/>
      <c r="D30" s="118">
        <f>SUM(D26:D29)</f>
        <v>65797</v>
      </c>
      <c r="E30" s="118">
        <f>SUM(E26:E29)</f>
        <v>50839.342499999992</v>
      </c>
      <c r="F30" s="118">
        <f t="shared" ref="F30:H30" si="19">SUM(F26:F29)</f>
        <v>97608.817018750036</v>
      </c>
      <c r="G30" s="118">
        <f t="shared" si="19"/>
        <v>99680.451625265647</v>
      </c>
      <c r="H30" s="118">
        <f t="shared" si="19"/>
        <v>102362.03516493923</v>
      </c>
      <c r="J30" t="s">
        <v>504</v>
      </c>
      <c r="K30" s="267">
        <v>0.3</v>
      </c>
    </row>
    <row r="31" spans="2:11" ht="15" thickTop="1" x14ac:dyDescent="0.35">
      <c r="J31" t="s">
        <v>505</v>
      </c>
      <c r="K31" s="268">
        <f>K9*(1+K30)</f>
        <v>1127331.1140000001</v>
      </c>
    </row>
    <row r="32" spans="2:11" ht="15" thickBot="1" x14ac:dyDescent="0.4">
      <c r="B32" s="80" t="s">
        <v>518</v>
      </c>
      <c r="C32" s="78"/>
      <c r="D32" s="78"/>
      <c r="E32" s="78"/>
      <c r="F32" s="78"/>
      <c r="G32" s="78"/>
      <c r="H32" s="78"/>
      <c r="J32" t="s">
        <v>506</v>
      </c>
      <c r="K32" s="268">
        <f>K31+K8</f>
        <v>1138614.1140000001</v>
      </c>
    </row>
    <row r="33" spans="2:11" ht="15" thickTop="1" x14ac:dyDescent="0.35">
      <c r="B33" t="s">
        <v>519</v>
      </c>
      <c r="E33" s="59">
        <f>K26</f>
        <v>217194</v>
      </c>
      <c r="F33" s="59">
        <f>E33+E41</f>
        <v>216594</v>
      </c>
      <c r="G33" s="59">
        <f t="shared" ref="G33:H33" si="20">F33+F41</f>
        <v>215994</v>
      </c>
      <c r="H33" s="59">
        <f t="shared" si="20"/>
        <v>215394</v>
      </c>
    </row>
    <row r="34" spans="2:11" x14ac:dyDescent="0.35">
      <c r="B34" t="s">
        <v>520</v>
      </c>
      <c r="E34" s="59">
        <f>K27</f>
        <v>253393</v>
      </c>
      <c r="F34" s="59">
        <f>E34+E42</f>
        <v>203153.6575</v>
      </c>
      <c r="G34" s="59">
        <f>F34+F42</f>
        <v>106144.84048124996</v>
      </c>
      <c r="H34" s="59">
        <f t="shared" ref="H34" si="21">G34+G42</f>
        <v>7064.3888559843181</v>
      </c>
      <c r="J34" s="2" t="s">
        <v>507</v>
      </c>
      <c r="K34" s="119">
        <f>K32-K28</f>
        <v>668027.11400000006</v>
      </c>
    </row>
    <row r="35" spans="2:11" x14ac:dyDescent="0.35">
      <c r="E35" s="59"/>
      <c r="F35" s="59"/>
      <c r="G35" s="59"/>
      <c r="H35" s="59"/>
    </row>
    <row r="36" spans="2:11" ht="15" thickBot="1" x14ac:dyDescent="0.4">
      <c r="B36" t="s">
        <v>521</v>
      </c>
      <c r="E36" s="59"/>
      <c r="F36" s="59"/>
      <c r="G36" s="59"/>
      <c r="H36" s="59"/>
      <c r="J36" s="80" t="s">
        <v>508</v>
      </c>
      <c r="K36" s="78"/>
    </row>
    <row r="37" spans="2:11" ht="15" thickTop="1" x14ac:dyDescent="0.35">
      <c r="B37" t="s">
        <v>499</v>
      </c>
      <c r="E37" s="59">
        <f>-E33*$K$20</f>
        <v>-10859.7</v>
      </c>
      <c r="F37" s="59">
        <f>-F33*$K$20</f>
        <v>-10829.7</v>
      </c>
      <c r="G37" s="59">
        <f t="shared" ref="G37:H37" si="22">-G33*$K$20</f>
        <v>-10799.7</v>
      </c>
      <c r="H37" s="59">
        <f t="shared" si="22"/>
        <v>-10769.7</v>
      </c>
      <c r="J37" t="s">
        <v>509</v>
      </c>
    </row>
    <row r="38" spans="2:11" x14ac:dyDescent="0.35">
      <c r="B38" t="s">
        <v>500</v>
      </c>
      <c r="E38" s="59">
        <f>-E34*$K$21</f>
        <v>-17737.510000000002</v>
      </c>
      <c r="F38" s="59">
        <f>-F34*$K$21</f>
        <v>-14220.756025000001</v>
      </c>
      <c r="G38" s="59">
        <f t="shared" ref="G38" si="23">-G34*$K$21</f>
        <v>-7430.1388336874979</v>
      </c>
      <c r="H38" s="59">
        <f>-H34*$K$21</f>
        <v>-494.50721991890231</v>
      </c>
      <c r="J38" t="s">
        <v>510</v>
      </c>
    </row>
    <row r="39" spans="2:11" x14ac:dyDescent="0.35">
      <c r="E39" s="59"/>
      <c r="F39" s="59"/>
      <c r="G39" s="59"/>
      <c r="H39" s="59"/>
    </row>
    <row r="40" spans="2:11" x14ac:dyDescent="0.35">
      <c r="B40" t="s">
        <v>522</v>
      </c>
      <c r="E40" s="59"/>
      <c r="F40" s="59"/>
      <c r="G40" s="59"/>
      <c r="H40" s="59"/>
    </row>
    <row r="41" spans="2:11" x14ac:dyDescent="0.35">
      <c r="B41" t="s">
        <v>499</v>
      </c>
      <c r="E41" s="59">
        <f>-$K$23</f>
        <v>-600</v>
      </c>
      <c r="F41" s="59">
        <f t="shared" ref="F41:H41" si="24">-$K$23</f>
        <v>-600</v>
      </c>
      <c r="G41" s="59">
        <f t="shared" si="24"/>
        <v>-600</v>
      </c>
      <c r="H41" s="59">
        <f t="shared" si="24"/>
        <v>-600</v>
      </c>
    </row>
    <row r="42" spans="2:11" x14ac:dyDescent="0.35">
      <c r="B42" t="s">
        <v>500</v>
      </c>
      <c r="E42" s="59">
        <f>-E30-E41</f>
        <v>-50239.342499999992</v>
      </c>
      <c r="F42" s="59">
        <f>-F30-F41</f>
        <v>-97008.817018750036</v>
      </c>
      <c r="G42" s="59">
        <f>-G30-G41</f>
        <v>-99080.451625265647</v>
      </c>
      <c r="H42" s="59">
        <f>-H30-H41</f>
        <v>-101762.03516493923</v>
      </c>
    </row>
    <row r="43" spans="2:11" ht="15" thickBot="1" x14ac:dyDescent="0.4"/>
    <row r="44" spans="2:11" ht="15" thickBot="1" x14ac:dyDescent="0.4">
      <c r="B44" s="218" t="s">
        <v>523</v>
      </c>
      <c r="C44" s="219"/>
      <c r="D44" s="219"/>
      <c r="E44" s="219"/>
      <c r="F44" s="219"/>
      <c r="G44" s="219"/>
      <c r="H44" s="219"/>
    </row>
    <row r="45" spans="2:11" ht="15" thickTop="1" x14ac:dyDescent="0.35">
      <c r="B45" s="220" t="s">
        <v>499</v>
      </c>
      <c r="C45" s="221"/>
      <c r="D45" s="222">
        <f>H33+H37</f>
        <v>204624.3</v>
      </c>
      <c r="E45" s="221"/>
      <c r="F45" s="221"/>
      <c r="G45" s="221"/>
      <c r="H45" s="221"/>
    </row>
    <row r="46" spans="2:11" x14ac:dyDescent="0.35">
      <c r="B46" s="220" t="s">
        <v>500</v>
      </c>
      <c r="C46" s="221"/>
      <c r="D46" s="222">
        <f>H34+(H38)</f>
        <v>6569.8816360654155</v>
      </c>
      <c r="E46" s="221"/>
      <c r="F46" s="221"/>
      <c r="G46" s="221"/>
      <c r="H46" s="221"/>
    </row>
    <row r="47" spans="2:11" x14ac:dyDescent="0.35">
      <c r="B47" s="220"/>
      <c r="C47" s="221"/>
      <c r="D47" s="221"/>
      <c r="E47" s="221"/>
      <c r="F47" s="221"/>
      <c r="G47" s="221"/>
      <c r="H47" s="221"/>
    </row>
    <row r="48" spans="2:11" x14ac:dyDescent="0.35">
      <c r="B48" s="220" t="s">
        <v>524</v>
      </c>
      <c r="C48" s="221"/>
      <c r="D48" s="223">
        <f>H10*K11</f>
        <v>1269634.9876980009</v>
      </c>
      <c r="E48" s="221"/>
      <c r="F48" s="221"/>
      <c r="G48" s="221"/>
      <c r="H48" s="221"/>
    </row>
    <row r="49" spans="2:14" x14ac:dyDescent="0.35">
      <c r="B49" s="220" t="s">
        <v>525</v>
      </c>
      <c r="C49" s="221"/>
      <c r="D49" s="222">
        <f>D45+D46</f>
        <v>211194.18163606539</v>
      </c>
      <c r="E49" s="221"/>
      <c r="F49" s="221"/>
      <c r="G49" s="221"/>
      <c r="H49" s="221"/>
    </row>
    <row r="50" spans="2:14" x14ac:dyDescent="0.35">
      <c r="B50" s="220" t="s">
        <v>526</v>
      </c>
      <c r="C50" s="221"/>
      <c r="D50" s="223">
        <f>D48-D49</f>
        <v>1058440.8060619354</v>
      </c>
      <c r="E50" s="221"/>
      <c r="F50" s="221"/>
      <c r="G50" s="221"/>
      <c r="H50" s="221"/>
    </row>
    <row r="51" spans="2:14" x14ac:dyDescent="0.35">
      <c r="B51" s="220" t="s">
        <v>527</v>
      </c>
      <c r="C51" s="221"/>
      <c r="D51" s="223">
        <f>-K34</f>
        <v>-668027.11400000006</v>
      </c>
      <c r="E51" s="221">
        <v>0</v>
      </c>
      <c r="F51" s="221">
        <v>0</v>
      </c>
      <c r="G51" s="221">
        <v>0</v>
      </c>
      <c r="H51" s="223">
        <f>D50</f>
        <v>1058440.8060619354</v>
      </c>
    </row>
    <row r="52" spans="2:14" x14ac:dyDescent="0.35">
      <c r="B52" s="224" t="s">
        <v>528</v>
      </c>
      <c r="C52" s="206"/>
      <c r="D52" s="225">
        <f>IRR(D51:H51)</f>
        <v>0.12193609707636299</v>
      </c>
      <c r="E52" s="206"/>
      <c r="F52" s="206"/>
      <c r="G52" s="206"/>
      <c r="H52" s="206"/>
    </row>
    <row r="54" spans="2:14" x14ac:dyDescent="0.35">
      <c r="B54" s="226" t="s">
        <v>529</v>
      </c>
      <c r="C54" s="227">
        <f>-H51/D51</f>
        <v>1.5844279129992549</v>
      </c>
      <c r="E54" s="228"/>
      <c r="F54" s="119"/>
      <c r="J54" s="123"/>
    </row>
    <row r="55" spans="2:14" x14ac:dyDescent="0.35">
      <c r="B55" s="226"/>
      <c r="C55" s="227"/>
      <c r="E55" s="228"/>
      <c r="F55" s="119"/>
      <c r="J55" s="123"/>
    </row>
    <row r="56" spans="2:14" x14ac:dyDescent="0.35">
      <c r="E56" s="294" t="s">
        <v>336</v>
      </c>
      <c r="F56" s="294"/>
      <c r="G56" s="294"/>
      <c r="H56" s="294"/>
    </row>
    <row r="57" spans="2:14" x14ac:dyDescent="0.35">
      <c r="B57" s="102"/>
      <c r="C57" s="102"/>
      <c r="D57" s="102"/>
      <c r="I57" s="102"/>
      <c r="J57" s="102"/>
      <c r="K57" s="102"/>
      <c r="L57" s="102"/>
      <c r="M57" s="102"/>
      <c r="N57" s="102"/>
    </row>
    <row r="58" spans="2:14" ht="15" thickBot="1" x14ac:dyDescent="0.4">
      <c r="B58" s="102"/>
      <c r="C58" s="102"/>
      <c r="D58" s="272"/>
      <c r="E58" s="295" t="str">
        <f>J11</f>
        <v>EV/EBITDA multiple</v>
      </c>
      <c r="F58" s="295"/>
      <c r="G58" s="295"/>
      <c r="H58" s="295"/>
      <c r="I58" s="272"/>
      <c r="J58" s="102"/>
      <c r="K58" s="102"/>
      <c r="L58" s="102"/>
      <c r="M58" s="102"/>
      <c r="N58" s="102"/>
    </row>
    <row r="59" spans="2:14" ht="15" thickTop="1" x14ac:dyDescent="0.35">
      <c r="B59" s="102"/>
      <c r="C59" s="102"/>
      <c r="D59" s="271">
        <f>D52</f>
        <v>0.12193609707636299</v>
      </c>
      <c r="E59" s="102">
        <v>8</v>
      </c>
      <c r="F59" s="102">
        <v>10</v>
      </c>
      <c r="G59" s="102">
        <v>11.98</v>
      </c>
      <c r="H59" s="102">
        <v>13</v>
      </c>
      <c r="I59" s="102">
        <v>15</v>
      </c>
      <c r="J59" s="102"/>
      <c r="K59" s="102"/>
      <c r="L59" s="102"/>
      <c r="M59" s="102"/>
      <c r="N59" s="102"/>
    </row>
    <row r="60" spans="2:14" x14ac:dyDescent="0.35">
      <c r="B60" s="102"/>
      <c r="C60" s="102"/>
      <c r="D60" s="234">
        <v>0.08</v>
      </c>
      <c r="E60" s="217">
        <f t="dataTable" ref="E60:I63" dt2D="1" dtr="1" r1="K11" r2="E20"/>
        <v>-1.9315147317559345E-2</v>
      </c>
      <c r="F60" s="217">
        <v>5.4510136779876373E-2</v>
      </c>
      <c r="G60" s="217">
        <v>0.11488770199063691</v>
      </c>
      <c r="H60" s="217">
        <v>0.14251094416448074</v>
      </c>
      <c r="I60" s="217">
        <v>0.19149949765704322</v>
      </c>
      <c r="J60" s="102"/>
      <c r="K60" s="102"/>
      <c r="L60" s="102"/>
      <c r="M60" s="102"/>
      <c r="N60" s="102"/>
    </row>
    <row r="61" spans="2:14" x14ac:dyDescent="0.35">
      <c r="B61" s="102"/>
      <c r="C61" s="102"/>
      <c r="D61" s="234">
        <v>0.1</v>
      </c>
      <c r="E61" s="217">
        <v>-1.1901170357973889E-2</v>
      </c>
      <c r="F61" s="217">
        <v>6.1697741097666681E-2</v>
      </c>
      <c r="G61" s="217">
        <v>0.12199439080468322</v>
      </c>
      <c r="H61" s="217">
        <v>0.14960487802364408</v>
      </c>
      <c r="I61" s="217">
        <v>0.19860141976210088</v>
      </c>
      <c r="J61" s="102"/>
      <c r="K61" s="102"/>
      <c r="L61" s="102"/>
      <c r="M61" s="102"/>
      <c r="N61" s="102"/>
    </row>
    <row r="62" spans="2:14" x14ac:dyDescent="0.35">
      <c r="B62" s="102"/>
      <c r="C62" s="102"/>
      <c r="D62" s="234">
        <v>0.12</v>
      </c>
      <c r="E62" s="217">
        <v>-4.650421460290044E-3</v>
      </c>
      <c r="F62" s="217">
        <v>6.8742262257667441E-2</v>
      </c>
      <c r="G62" s="217">
        <v>0.1289685484200922</v>
      </c>
      <c r="H62" s="217">
        <v>0.15656986607418344</v>
      </c>
      <c r="I62" s="217">
        <v>0.20557929928236063</v>
      </c>
      <c r="J62" s="102"/>
      <c r="K62" s="102"/>
      <c r="L62" s="102"/>
      <c r="M62" s="102"/>
      <c r="N62" s="102"/>
    </row>
    <row r="63" spans="2:14" x14ac:dyDescent="0.35">
      <c r="B63" s="102"/>
      <c r="C63" s="102"/>
      <c r="D63" s="234">
        <v>0.14000000000000001</v>
      </c>
      <c r="E63" s="217">
        <v>2.4452461708057704E-3</v>
      </c>
      <c r="F63" s="217">
        <v>7.5650175008810105E-2</v>
      </c>
      <c r="G63" s="217">
        <v>0.13581580220956346</v>
      </c>
      <c r="H63" s="217">
        <v>0.16341124817095176</v>
      </c>
      <c r="I63" s="217">
        <v>0.21243807668491876</v>
      </c>
      <c r="J63" s="102"/>
      <c r="K63" s="102"/>
      <c r="L63" s="102"/>
      <c r="M63" s="102"/>
      <c r="N63" s="102"/>
    </row>
    <row r="64" spans="2:14" x14ac:dyDescent="0.35">
      <c r="B64" s="102"/>
      <c r="C64" s="102"/>
      <c r="D64" s="5"/>
      <c r="E64" s="106"/>
      <c r="F64" s="106"/>
      <c r="G64" s="106"/>
      <c r="H64" s="106"/>
      <c r="I64" s="106"/>
      <c r="J64" s="102"/>
      <c r="K64" s="102"/>
      <c r="L64" s="102"/>
      <c r="M64" s="102"/>
      <c r="N64" s="102"/>
    </row>
    <row r="65" spans="2:14" x14ac:dyDescent="0.35">
      <c r="B65" s="102"/>
      <c r="C65" s="102"/>
      <c r="D65" s="102"/>
      <c r="E65" s="106"/>
      <c r="F65" s="106"/>
      <c r="G65" s="106"/>
      <c r="H65" s="102"/>
      <c r="I65" s="102"/>
      <c r="J65" s="102"/>
      <c r="K65" s="102"/>
      <c r="L65" s="102"/>
      <c r="M65" s="102"/>
      <c r="N65" s="102"/>
    </row>
    <row r="66" spans="2:14" x14ac:dyDescent="0.35">
      <c r="B66" s="102"/>
      <c r="C66" s="102"/>
      <c r="D66" s="102"/>
      <c r="E66" s="102"/>
      <c r="F66" s="102"/>
      <c r="G66" s="102"/>
      <c r="H66" s="102"/>
      <c r="I66" s="102"/>
      <c r="J66" s="102"/>
      <c r="K66" s="102"/>
      <c r="L66" s="102"/>
      <c r="M66" s="102"/>
      <c r="N66" s="102"/>
    </row>
    <row r="67" spans="2:14" x14ac:dyDescent="0.35">
      <c r="B67" s="102"/>
      <c r="C67" s="102"/>
      <c r="D67" s="102"/>
      <c r="E67" s="102"/>
      <c r="F67" s="102"/>
      <c r="G67" s="102"/>
      <c r="H67" s="102"/>
      <c r="I67" s="102"/>
      <c r="J67" s="102"/>
      <c r="K67" s="102"/>
      <c r="L67" s="102"/>
      <c r="M67" s="102"/>
      <c r="N67" s="102"/>
    </row>
    <row r="68" spans="2:14" x14ac:dyDescent="0.35">
      <c r="B68" s="102"/>
      <c r="C68" s="102"/>
      <c r="D68" s="102"/>
      <c r="E68" s="102"/>
      <c r="F68" s="102"/>
      <c r="G68" s="102"/>
      <c r="H68" s="102"/>
      <c r="I68" s="102"/>
      <c r="J68" s="102"/>
      <c r="K68" s="102"/>
      <c r="L68" s="102"/>
      <c r="M68" s="102"/>
      <c r="N68" s="102"/>
    </row>
    <row r="69" spans="2:14" x14ac:dyDescent="0.35">
      <c r="B69" s="102"/>
      <c r="C69" s="102"/>
      <c r="D69" s="102"/>
      <c r="E69" s="102"/>
      <c r="F69" s="102"/>
      <c r="G69" s="102"/>
      <c r="H69" s="102"/>
      <c r="I69" s="102"/>
      <c r="J69" s="102"/>
      <c r="K69" s="102"/>
      <c r="L69" s="102"/>
      <c r="M69" s="102"/>
      <c r="N69" s="102"/>
    </row>
    <row r="70" spans="2:14" x14ac:dyDescent="0.35">
      <c r="B70" s="102"/>
      <c r="C70" s="102"/>
      <c r="D70" s="102"/>
      <c r="E70" s="102"/>
      <c r="F70" s="102"/>
      <c r="G70" s="106"/>
      <c r="H70" s="102"/>
      <c r="I70" s="102"/>
      <c r="J70" s="102"/>
      <c r="K70" s="102"/>
      <c r="L70" s="102"/>
      <c r="M70" s="102"/>
      <c r="N70" s="102"/>
    </row>
    <row r="71" spans="2:14" x14ac:dyDescent="0.35">
      <c r="B71" s="102"/>
      <c r="C71" s="102"/>
      <c r="D71" s="102"/>
      <c r="E71" s="102"/>
      <c r="F71" s="102"/>
      <c r="G71" s="106"/>
      <c r="H71" s="102"/>
      <c r="I71" s="102"/>
      <c r="J71" s="102"/>
      <c r="K71" s="102"/>
      <c r="L71" s="102"/>
      <c r="M71" s="102"/>
      <c r="N71" s="102"/>
    </row>
    <row r="72" spans="2:14" x14ac:dyDescent="0.35">
      <c r="B72" s="102"/>
      <c r="C72" s="102"/>
      <c r="D72" s="102"/>
      <c r="E72" s="102"/>
      <c r="F72" s="102"/>
      <c r="G72" s="102"/>
      <c r="H72" s="102"/>
      <c r="I72" s="102"/>
      <c r="J72" s="102"/>
      <c r="K72" s="102"/>
      <c r="L72" s="102"/>
      <c r="M72" s="102"/>
      <c r="N72" s="102"/>
    </row>
    <row r="73" spans="2:14" x14ac:dyDescent="0.35">
      <c r="B73" s="102"/>
      <c r="C73" s="102"/>
      <c r="D73" s="102"/>
      <c r="E73" s="102"/>
      <c r="F73" s="102"/>
      <c r="G73" s="102"/>
      <c r="H73" s="102"/>
      <c r="I73" s="102"/>
      <c r="J73" s="102"/>
      <c r="K73" s="102"/>
      <c r="L73" s="102"/>
      <c r="M73" s="102"/>
      <c r="N73" s="102"/>
    </row>
    <row r="74" spans="2:14" x14ac:dyDescent="0.35">
      <c r="B74" s="102"/>
      <c r="C74" s="102"/>
      <c r="D74" s="102"/>
      <c r="E74" s="102"/>
      <c r="F74" s="102"/>
      <c r="G74" s="102"/>
      <c r="H74" s="102"/>
      <c r="I74" s="102"/>
      <c r="J74" s="102"/>
      <c r="K74" s="102"/>
      <c r="L74" s="102"/>
      <c r="M74" s="102"/>
      <c r="N74" s="102"/>
    </row>
  </sheetData>
  <mergeCells count="3">
    <mergeCell ref="E56:H56"/>
    <mergeCell ref="E58:H58"/>
    <mergeCell ref="C2:G2"/>
  </mergeCells>
  <pageMargins left="0.7" right="0.7" top="0.75" bottom="0.75" header="0.3" footer="0.3"/>
  <pageSetup scale="52"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273F9-55EE-4866-9934-9F49CC8EA4AE}">
  <sheetPr>
    <pageSetUpPr fitToPage="1"/>
  </sheetPr>
  <dimension ref="B2:E58"/>
  <sheetViews>
    <sheetView showGridLines="0" topLeftCell="A136" workbookViewId="0">
      <selection activeCell="D62" sqref="D62"/>
    </sheetView>
  </sheetViews>
  <sheetFormatPr defaultRowHeight="14.5" x14ac:dyDescent="0.35"/>
  <cols>
    <col min="1" max="1" width="1.81640625" customWidth="1"/>
    <col min="2" max="2" width="54.81640625" bestFit="1" customWidth="1"/>
    <col min="5" max="5" width="10.36328125" bestFit="1" customWidth="1"/>
  </cols>
  <sheetData>
    <row r="2" spans="2:5" x14ac:dyDescent="0.35">
      <c r="B2" s="276" t="s">
        <v>556</v>
      </c>
      <c r="C2" s="276"/>
      <c r="D2" s="276"/>
      <c r="E2" s="276"/>
    </row>
    <row r="3" spans="2:5" x14ac:dyDescent="0.35">
      <c r="C3" s="102"/>
    </row>
    <row r="4" spans="2:5" ht="23" thickBot="1" x14ac:dyDescent="0.4">
      <c r="B4" s="296" t="s">
        <v>530</v>
      </c>
      <c r="C4" s="296"/>
      <c r="D4" s="296"/>
      <c r="E4" s="296"/>
    </row>
    <row r="5" spans="2:5" ht="15" thickTop="1" x14ac:dyDescent="0.35">
      <c r="C5" s="102"/>
    </row>
    <row r="6" spans="2:5" ht="17.5" x14ac:dyDescent="0.35">
      <c r="B6" s="235" t="s">
        <v>531</v>
      </c>
      <c r="C6" s="236"/>
      <c r="D6" s="237"/>
      <c r="E6" s="237"/>
    </row>
    <row r="7" spans="2:5" x14ac:dyDescent="0.35">
      <c r="C7" s="102"/>
    </row>
    <row r="8" spans="2:5" ht="15.5" x14ac:dyDescent="0.35">
      <c r="B8" s="238" t="s">
        <v>557</v>
      </c>
      <c r="C8" s="239"/>
      <c r="D8" s="240"/>
      <c r="E8" s="240"/>
    </row>
    <row r="9" spans="2:5" x14ac:dyDescent="0.35">
      <c r="B9" s="53" t="s">
        <v>532</v>
      </c>
      <c r="C9" s="241"/>
      <c r="D9" s="53"/>
      <c r="E9" s="242">
        <f>'TCS-LBO'!K5</f>
        <v>2365.6</v>
      </c>
    </row>
    <row r="10" spans="2:5" x14ac:dyDescent="0.35">
      <c r="B10" s="53" t="s">
        <v>558</v>
      </c>
      <c r="C10" s="241"/>
      <c r="D10" s="53"/>
      <c r="E10" s="243">
        <f>'TCS-LBO'!K6</f>
        <v>361.80875042272578</v>
      </c>
    </row>
    <row r="11" spans="2:5" x14ac:dyDescent="0.35">
      <c r="B11" s="53" t="s">
        <v>559</v>
      </c>
      <c r="C11" s="241"/>
      <c r="D11" s="53"/>
      <c r="E11" s="242">
        <f>'Historicail Financial Statement'!K7</f>
        <v>267021</v>
      </c>
    </row>
    <row r="12" spans="2:5" x14ac:dyDescent="0.35">
      <c r="B12" s="53" t="s">
        <v>533</v>
      </c>
      <c r="C12" s="241"/>
      <c r="D12" s="53"/>
      <c r="E12" s="244">
        <v>0.25</v>
      </c>
    </row>
    <row r="13" spans="2:5" ht="15" thickBot="1" x14ac:dyDescent="0.4">
      <c r="B13" s="245" t="s">
        <v>534</v>
      </c>
      <c r="C13" s="246"/>
      <c r="D13" s="245"/>
      <c r="E13" s="247">
        <f>WACC!E20</f>
        <v>7.1250000000000008E-2</v>
      </c>
    </row>
    <row r="14" spans="2:5" ht="15.5" thickTop="1" thickBot="1" x14ac:dyDescent="0.4">
      <c r="C14" s="102"/>
    </row>
    <row r="15" spans="2:5" ht="15.5" x14ac:dyDescent="0.35">
      <c r="B15" s="248" t="s">
        <v>560</v>
      </c>
      <c r="C15" s="249"/>
      <c r="D15" s="185"/>
      <c r="E15" s="185"/>
    </row>
    <row r="16" spans="2:5" x14ac:dyDescent="0.35">
      <c r="B16" s="53" t="s">
        <v>532</v>
      </c>
      <c r="C16" s="241"/>
      <c r="D16" s="53"/>
      <c r="E16" s="260">
        <v>323</v>
      </c>
    </row>
    <row r="17" spans="2:5" x14ac:dyDescent="0.35">
      <c r="B17" s="53" t="s">
        <v>333</v>
      </c>
      <c r="C17" s="241"/>
      <c r="D17" s="250"/>
      <c r="E17" s="261">
        <v>27.9</v>
      </c>
    </row>
    <row r="18" spans="2:5" x14ac:dyDescent="0.35">
      <c r="B18" s="53" t="s">
        <v>559</v>
      </c>
      <c r="C18" s="241"/>
      <c r="D18" s="53"/>
      <c r="E18" s="53">
        <v>5309.96</v>
      </c>
    </row>
    <row r="19" spans="2:5" x14ac:dyDescent="0.35">
      <c r="B19" s="53" t="s">
        <v>533</v>
      </c>
      <c r="C19" s="241"/>
      <c r="D19" s="53"/>
      <c r="E19" s="262">
        <v>0.22</v>
      </c>
    </row>
    <row r="20" spans="2:5" ht="15" thickBot="1" x14ac:dyDescent="0.4">
      <c r="B20" s="245" t="s">
        <v>534</v>
      </c>
      <c r="C20" s="246"/>
      <c r="D20" s="245"/>
      <c r="E20" s="263">
        <v>7.4999999999999997E-2</v>
      </c>
    </row>
    <row r="21" spans="2:5" ht="15" thickTop="1" x14ac:dyDescent="0.35">
      <c r="C21" s="102"/>
    </row>
    <row r="22" spans="2:5" ht="18" thickBot="1" x14ac:dyDescent="0.4">
      <c r="B22" s="251" t="s">
        <v>535</v>
      </c>
      <c r="C22" s="252"/>
      <c r="D22" s="163"/>
      <c r="E22" s="163"/>
    </row>
    <row r="23" spans="2:5" x14ac:dyDescent="0.35">
      <c r="C23" s="102"/>
    </row>
    <row r="24" spans="2:5" ht="15.5" x14ac:dyDescent="0.35">
      <c r="B24" s="53" t="s">
        <v>536</v>
      </c>
      <c r="C24" s="241"/>
      <c r="D24" s="53"/>
      <c r="E24" s="253">
        <v>0.5</v>
      </c>
    </row>
    <row r="25" spans="2:5" ht="15.5" x14ac:dyDescent="0.35">
      <c r="B25" s="53" t="s">
        <v>537</v>
      </c>
      <c r="C25" s="241"/>
      <c r="D25" s="53"/>
      <c r="E25" s="253">
        <v>0.2</v>
      </c>
    </row>
    <row r="26" spans="2:5" ht="15.5" x14ac:dyDescent="0.35">
      <c r="B26" s="53" t="s">
        <v>538</v>
      </c>
      <c r="C26" s="241"/>
      <c r="D26" s="53"/>
      <c r="E26" s="253">
        <v>0.5</v>
      </c>
    </row>
    <row r="27" spans="2:5" ht="15.5" x14ac:dyDescent="0.35">
      <c r="B27" s="53" t="s">
        <v>539</v>
      </c>
      <c r="C27" s="241"/>
      <c r="D27" s="53"/>
      <c r="E27" s="253">
        <v>0.3</v>
      </c>
    </row>
    <row r="28" spans="2:5" ht="15.5" x14ac:dyDescent="0.35">
      <c r="B28" s="53" t="s">
        <v>567</v>
      </c>
      <c r="C28" s="241"/>
      <c r="D28" s="53"/>
      <c r="E28" s="254">
        <v>50</v>
      </c>
    </row>
    <row r="29" spans="2:5" ht="16" thickBot="1" x14ac:dyDescent="0.4">
      <c r="B29" s="245" t="s">
        <v>568</v>
      </c>
      <c r="C29" s="246"/>
      <c r="D29" s="245"/>
      <c r="E29" s="255">
        <v>5</v>
      </c>
    </row>
    <row r="30" spans="2:5" ht="15" thickTop="1" x14ac:dyDescent="0.35">
      <c r="C30" s="102"/>
    </row>
    <row r="31" spans="2:5" ht="23" thickBot="1" x14ac:dyDescent="0.4">
      <c r="B31" s="297" t="s">
        <v>540</v>
      </c>
      <c r="C31" s="297"/>
      <c r="D31" s="297"/>
      <c r="E31" s="297"/>
    </row>
    <row r="32" spans="2:5" ht="15" thickBot="1" x14ac:dyDescent="0.4">
      <c r="C32" s="102"/>
    </row>
    <row r="33" spans="2:5" x14ac:dyDescent="0.35">
      <c r="B33" s="256" t="s">
        <v>541</v>
      </c>
      <c r="C33" s="249"/>
      <c r="D33" s="185"/>
      <c r="E33" s="185"/>
    </row>
    <row r="34" spans="2:5" x14ac:dyDescent="0.35">
      <c r="B34" s="53" t="s">
        <v>542</v>
      </c>
      <c r="C34" s="241"/>
      <c r="D34" s="53"/>
      <c r="E34" s="241">
        <f>E16*(1+E24)</f>
        <v>484.5</v>
      </c>
    </row>
    <row r="35" spans="2:5" x14ac:dyDescent="0.35">
      <c r="B35" s="53" t="s">
        <v>543</v>
      </c>
      <c r="C35" s="241"/>
      <c r="D35" s="53"/>
      <c r="E35" s="241">
        <f>E34*E17</f>
        <v>13517.55</v>
      </c>
    </row>
    <row r="36" spans="2:5" x14ac:dyDescent="0.35">
      <c r="B36" s="53" t="s">
        <v>544</v>
      </c>
      <c r="C36" s="241"/>
      <c r="D36" s="53"/>
      <c r="E36" s="241">
        <f>$E$35*E25</f>
        <v>2703.51</v>
      </c>
    </row>
    <row r="37" spans="2:5" x14ac:dyDescent="0.35">
      <c r="B37" s="53" t="s">
        <v>545</v>
      </c>
      <c r="C37" s="241"/>
      <c r="D37" s="53"/>
      <c r="E37" s="241">
        <f>$E$35*E26</f>
        <v>6758.7749999999996</v>
      </c>
    </row>
    <row r="38" spans="2:5" x14ac:dyDescent="0.35">
      <c r="B38" s="53" t="s">
        <v>546</v>
      </c>
      <c r="C38" s="241"/>
      <c r="D38" s="53"/>
      <c r="E38" s="241">
        <f>$E$35*E27</f>
        <v>4055.2649999999994</v>
      </c>
    </row>
    <row r="39" spans="2:5" ht="15" thickBot="1" x14ac:dyDescent="0.4">
      <c r="B39" s="245" t="s">
        <v>547</v>
      </c>
      <c r="C39" s="246"/>
      <c r="D39" s="245"/>
      <c r="E39" s="246">
        <f>SUM(E36:E38)</f>
        <v>13517.55</v>
      </c>
    </row>
    <row r="40" spans="2:5" ht="15" thickTop="1" x14ac:dyDescent="0.35">
      <c r="C40" s="102"/>
    </row>
    <row r="41" spans="2:5" x14ac:dyDescent="0.35">
      <c r="B41" s="2" t="s">
        <v>548</v>
      </c>
      <c r="C41" s="102"/>
    </row>
    <row r="42" spans="2:5" x14ac:dyDescent="0.35">
      <c r="B42" s="53" t="s">
        <v>566</v>
      </c>
      <c r="C42" s="241"/>
      <c r="D42" s="53"/>
      <c r="E42" s="241">
        <f>E11</f>
        <v>267021</v>
      </c>
    </row>
    <row r="43" spans="2:5" x14ac:dyDescent="0.35">
      <c r="B43" s="53" t="s">
        <v>549</v>
      </c>
      <c r="C43" s="241"/>
      <c r="D43" s="53"/>
      <c r="E43" s="241">
        <f>E18</f>
        <v>5309.96</v>
      </c>
    </row>
    <row r="44" spans="2:5" x14ac:dyDescent="0.35">
      <c r="B44" s="53" t="s">
        <v>550</v>
      </c>
      <c r="C44" s="241"/>
      <c r="D44" s="53"/>
      <c r="E44" s="241">
        <f>E28*(1-E12)</f>
        <v>37.5</v>
      </c>
    </row>
    <row r="45" spans="2:5" x14ac:dyDescent="0.35">
      <c r="B45" s="53" t="s">
        <v>551</v>
      </c>
      <c r="C45" s="241"/>
      <c r="D45" s="53"/>
      <c r="E45" s="241">
        <f>E38*E13*(1-E12)</f>
        <v>216.70322343749999</v>
      </c>
    </row>
    <row r="46" spans="2:5" ht="15" thickBot="1" x14ac:dyDescent="0.4">
      <c r="B46" s="245" t="s">
        <v>565</v>
      </c>
      <c r="C46" s="246"/>
      <c r="D46" s="245"/>
      <c r="E46" s="246">
        <f>SUM(E42:E44)-E45-E29</f>
        <v>272146.75677656254</v>
      </c>
    </row>
    <row r="47" spans="2:5" ht="15" thickTop="1" x14ac:dyDescent="0.35">
      <c r="C47" s="102"/>
    </row>
    <row r="48" spans="2:5" ht="15" thickBot="1" x14ac:dyDescent="0.4">
      <c r="B48" s="2" t="s">
        <v>552</v>
      </c>
      <c r="C48" s="102"/>
    </row>
    <row r="49" spans="2:5" x14ac:dyDescent="0.35">
      <c r="B49" s="185" t="s">
        <v>563</v>
      </c>
      <c r="C49" s="249"/>
      <c r="D49" s="185"/>
      <c r="E49" s="249">
        <f>E10</f>
        <v>361.80875042272578</v>
      </c>
    </row>
    <row r="50" spans="2:5" x14ac:dyDescent="0.35">
      <c r="B50" s="53" t="s">
        <v>553</v>
      </c>
      <c r="C50" s="241"/>
      <c r="D50" s="53"/>
      <c r="E50" s="257">
        <f>E37/E9</f>
        <v>2.8571081332431518</v>
      </c>
    </row>
    <row r="51" spans="2:5" ht="15" thickBot="1" x14ac:dyDescent="0.4">
      <c r="B51" s="245" t="s">
        <v>564</v>
      </c>
      <c r="C51" s="246"/>
      <c r="D51" s="245"/>
      <c r="E51" s="246">
        <f>E49+E50</f>
        <v>364.66585855596895</v>
      </c>
    </row>
    <row r="52" spans="2:5" ht="15" thickTop="1" x14ac:dyDescent="0.35">
      <c r="C52" s="102"/>
    </row>
    <row r="53" spans="2:5" ht="22.5" x14ac:dyDescent="0.35">
      <c r="B53" s="258" t="s">
        <v>554</v>
      </c>
      <c r="C53" s="259"/>
      <c r="D53" s="163"/>
      <c r="E53" s="163"/>
    </row>
    <row r="54" spans="2:5" ht="15" thickBot="1" x14ac:dyDescent="0.4">
      <c r="C54" s="102"/>
    </row>
    <row r="55" spans="2:5" x14ac:dyDescent="0.35">
      <c r="B55" s="185" t="s">
        <v>561</v>
      </c>
      <c r="C55" s="249"/>
      <c r="D55" s="185"/>
      <c r="E55" s="264">
        <f>E11/E49</f>
        <v>738.01697633907747</v>
      </c>
    </row>
    <row r="56" spans="2:5" x14ac:dyDescent="0.35">
      <c r="B56" s="53" t="s">
        <v>562</v>
      </c>
      <c r="C56" s="241"/>
      <c r="D56" s="53"/>
      <c r="E56" s="265">
        <f>E46/E51</f>
        <v>746.29074916480954</v>
      </c>
    </row>
    <row r="57" spans="2:5" ht="15" thickBot="1" x14ac:dyDescent="0.4">
      <c r="B57" s="245" t="s">
        <v>555</v>
      </c>
      <c r="C57" s="246"/>
      <c r="D57" s="245"/>
      <c r="E57" s="266">
        <f>E56/E55-1</f>
        <v>1.1210816405299973E-2</v>
      </c>
    </row>
    <row r="58" spans="2:5" ht="15" thickTop="1" x14ac:dyDescent="0.35"/>
  </sheetData>
  <mergeCells count="3">
    <mergeCell ref="B2:E2"/>
    <mergeCell ref="B4:E4"/>
    <mergeCell ref="B31:E31"/>
  </mergeCells>
  <pageMargins left="0.7" right="0.7" top="0.75" bottom="0.75" header="0.3" footer="0.3"/>
  <pageSetup paperSize="9" scale="8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B9DF99E-00E4-424D-A1FD-D61CFA8E550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vt:i4>
      </vt:variant>
    </vt:vector>
  </HeadingPairs>
  <TitlesOfParts>
    <vt:vector size="25" baseType="lpstr">
      <vt:lpstr>Sheet3</vt:lpstr>
      <vt:lpstr>Profit &amp; Loss</vt:lpstr>
      <vt:lpstr>Quarters</vt:lpstr>
      <vt:lpstr>Balance Sheet</vt:lpstr>
      <vt:lpstr>Cash Flow</vt:lpstr>
      <vt:lpstr>Customization</vt:lpstr>
      <vt:lpstr>Data Sheet</vt:lpstr>
      <vt:lpstr>One Page Profil</vt:lpstr>
      <vt:lpstr>Historicail Financial Statement</vt:lpstr>
      <vt:lpstr>Ratio Analysis</vt:lpstr>
      <vt:lpstr>FORECASTING</vt:lpstr>
      <vt:lpstr>COMMANSIZE STATMENT</vt:lpstr>
      <vt:lpstr>Risk Free Rate</vt:lpstr>
      <vt:lpstr>WACC</vt:lpstr>
      <vt:lpstr>Regretion Beta</vt:lpstr>
      <vt:lpstr>Instrc Growth</vt:lpstr>
      <vt:lpstr>DCF</vt:lpstr>
      <vt:lpstr>Comps_val</vt:lpstr>
      <vt:lpstr>FootballFeledValuvetionAnalysis</vt:lpstr>
      <vt:lpstr>VAR</vt:lpstr>
      <vt:lpstr>Dupoint Analysis</vt:lpstr>
      <vt:lpstr>Altman's Zscore Analysis</vt:lpstr>
      <vt:lpstr>TCS-LBO</vt:lpstr>
      <vt:lpstr>TCS-M&amp;A Modeling</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koteswara rao</cp:lastModifiedBy>
  <cp:lastPrinted>2026-08-11T09:54:20Z</cp:lastPrinted>
  <dcterms:created xsi:type="dcterms:W3CDTF">2012-08-17T09:55:37Z</dcterms:created>
  <dcterms:modified xsi:type="dcterms:W3CDTF">2026-08-11T10:02:33Z</dcterms:modified>
</cp:coreProperties>
</file>